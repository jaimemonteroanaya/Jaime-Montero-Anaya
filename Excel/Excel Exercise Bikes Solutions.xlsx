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1970EB09-5D9E-45FC-A101-1148B59AD5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1" sheetId="5" r:id="rId2"/>
    <sheet name="2" sheetId="6" r:id="rId3"/>
    <sheet name="3" sheetId="7" r:id="rId4"/>
    <sheet name="areas for question 4" sheetId="8" r:id="rId5"/>
    <sheet name="4" sheetId="9" r:id="rId6"/>
    <sheet name="DISTRICTS" sheetId="4" r:id="rId7"/>
  </sheets>
  <definedNames>
    <definedName name="_xlnm._FilterDatabase" localSheetId="0" hidden="1">data!$A$1:$M$892</definedName>
  </definedNames>
  <calcPr calcId="191029" concurrentCalc="0"/>
  <pivotCaches>
    <pivotCache cacheId="40" r:id="rId8"/>
    <pivotCache cacheId="4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892" i="1" l="1"/>
  <c r="E892" i="1"/>
  <c r="D891" i="1"/>
  <c r="E891" i="1"/>
  <c r="D890" i="1"/>
  <c r="E890" i="1"/>
  <c r="D889" i="1"/>
  <c r="E889" i="1"/>
  <c r="D888" i="1"/>
  <c r="E888" i="1"/>
  <c r="D887" i="1"/>
  <c r="E887" i="1"/>
  <c r="D886" i="1"/>
  <c r="E886" i="1"/>
  <c r="D885" i="1"/>
  <c r="E885" i="1"/>
  <c r="D884" i="1"/>
  <c r="E884" i="1"/>
  <c r="D883" i="1"/>
  <c r="E883" i="1"/>
  <c r="D882" i="1"/>
  <c r="E882" i="1"/>
  <c r="D881" i="1"/>
  <c r="E881" i="1"/>
  <c r="D880" i="1"/>
  <c r="E880" i="1"/>
  <c r="D879" i="1"/>
  <c r="E879" i="1"/>
  <c r="D878" i="1"/>
  <c r="E878" i="1"/>
  <c r="D877" i="1"/>
  <c r="E877" i="1"/>
  <c r="D876" i="1"/>
  <c r="E876" i="1"/>
  <c r="D875" i="1"/>
  <c r="E875" i="1"/>
  <c r="D874" i="1"/>
  <c r="E874" i="1"/>
  <c r="D873" i="1"/>
  <c r="E873" i="1"/>
  <c r="D872" i="1"/>
  <c r="E872" i="1"/>
  <c r="D871" i="1"/>
  <c r="E871" i="1"/>
  <c r="D870" i="1"/>
  <c r="E870" i="1"/>
  <c r="D869" i="1"/>
  <c r="E869" i="1"/>
  <c r="D868" i="1"/>
  <c r="E868" i="1"/>
  <c r="D867" i="1"/>
  <c r="E867" i="1"/>
  <c r="D866" i="1"/>
  <c r="E866" i="1"/>
  <c r="D865" i="1"/>
  <c r="E865" i="1"/>
  <c r="D864" i="1"/>
  <c r="E864" i="1"/>
  <c r="D863" i="1"/>
  <c r="E863" i="1"/>
  <c r="D862" i="1"/>
  <c r="E862" i="1"/>
  <c r="D861" i="1"/>
  <c r="E861" i="1"/>
  <c r="D860" i="1"/>
  <c r="E860" i="1"/>
  <c r="D859" i="1"/>
  <c r="E859" i="1"/>
  <c r="D858" i="1"/>
  <c r="E858" i="1"/>
  <c r="D857" i="1"/>
  <c r="E857" i="1"/>
  <c r="D856" i="1"/>
  <c r="E856" i="1"/>
  <c r="D855" i="1"/>
  <c r="E855" i="1"/>
  <c r="D854" i="1"/>
  <c r="E854" i="1"/>
  <c r="D853" i="1"/>
  <c r="E853" i="1"/>
  <c r="D852" i="1"/>
  <c r="E852" i="1"/>
  <c r="D851" i="1"/>
  <c r="E851" i="1"/>
  <c r="D850" i="1"/>
  <c r="E850" i="1"/>
  <c r="D849" i="1"/>
  <c r="E849" i="1"/>
  <c r="D848" i="1"/>
  <c r="E848" i="1"/>
  <c r="D847" i="1"/>
  <c r="E847" i="1"/>
  <c r="D846" i="1"/>
  <c r="E846" i="1"/>
  <c r="D845" i="1"/>
  <c r="E845" i="1"/>
  <c r="D844" i="1"/>
  <c r="E844" i="1"/>
  <c r="D843" i="1"/>
  <c r="E843" i="1"/>
  <c r="D842" i="1"/>
  <c r="E842" i="1"/>
  <c r="D841" i="1"/>
  <c r="E841" i="1"/>
  <c r="D840" i="1"/>
  <c r="E840" i="1"/>
  <c r="D839" i="1"/>
  <c r="E839" i="1"/>
  <c r="D838" i="1"/>
  <c r="E838" i="1"/>
  <c r="D837" i="1"/>
  <c r="E837" i="1"/>
  <c r="D836" i="1"/>
  <c r="E836" i="1"/>
  <c r="D835" i="1"/>
  <c r="E835" i="1"/>
  <c r="D834" i="1"/>
  <c r="E834" i="1"/>
  <c r="D833" i="1"/>
  <c r="E833" i="1"/>
  <c r="D832" i="1"/>
  <c r="E832" i="1"/>
  <c r="D831" i="1"/>
  <c r="E831" i="1"/>
  <c r="D830" i="1"/>
  <c r="E830" i="1"/>
  <c r="D829" i="1"/>
  <c r="E829" i="1"/>
  <c r="D828" i="1"/>
  <c r="E828" i="1"/>
  <c r="D827" i="1"/>
  <c r="E827" i="1"/>
  <c r="D826" i="1"/>
  <c r="E826" i="1"/>
  <c r="D825" i="1"/>
  <c r="E825" i="1"/>
  <c r="D824" i="1"/>
  <c r="E824" i="1"/>
  <c r="D823" i="1"/>
  <c r="E823" i="1"/>
  <c r="D822" i="1"/>
  <c r="E822" i="1"/>
  <c r="D821" i="1"/>
  <c r="E821" i="1"/>
  <c r="D820" i="1"/>
  <c r="E820" i="1"/>
  <c r="D819" i="1"/>
  <c r="E819" i="1"/>
  <c r="D818" i="1"/>
  <c r="E818" i="1"/>
  <c r="D817" i="1"/>
  <c r="E817" i="1"/>
  <c r="D816" i="1"/>
  <c r="E816" i="1"/>
  <c r="D815" i="1"/>
  <c r="E815" i="1"/>
  <c r="D814" i="1"/>
  <c r="E814" i="1"/>
  <c r="D813" i="1"/>
  <c r="E813" i="1"/>
  <c r="D812" i="1"/>
  <c r="E812" i="1"/>
  <c r="D811" i="1"/>
  <c r="E811" i="1"/>
  <c r="D810" i="1"/>
  <c r="E810" i="1"/>
  <c r="D809" i="1"/>
  <c r="E809" i="1"/>
  <c r="D808" i="1"/>
  <c r="E808" i="1"/>
  <c r="D807" i="1"/>
  <c r="E807" i="1"/>
  <c r="D806" i="1"/>
  <c r="E806" i="1"/>
  <c r="D805" i="1"/>
  <c r="E805" i="1"/>
  <c r="D804" i="1"/>
  <c r="E804" i="1"/>
  <c r="D803" i="1"/>
  <c r="E803" i="1"/>
  <c r="D802" i="1"/>
  <c r="E802" i="1"/>
  <c r="D801" i="1"/>
  <c r="E801" i="1"/>
  <c r="D800" i="1"/>
  <c r="E800" i="1"/>
  <c r="D799" i="1"/>
  <c r="E799" i="1"/>
  <c r="D798" i="1"/>
  <c r="E798" i="1"/>
  <c r="D797" i="1"/>
  <c r="E797" i="1"/>
  <c r="D796" i="1"/>
  <c r="E796" i="1"/>
  <c r="D795" i="1"/>
  <c r="E795" i="1"/>
  <c r="D794" i="1"/>
  <c r="E794" i="1"/>
  <c r="D793" i="1"/>
  <c r="E793" i="1"/>
  <c r="D792" i="1"/>
  <c r="E792" i="1"/>
  <c r="D791" i="1"/>
  <c r="E791" i="1"/>
  <c r="D790" i="1"/>
  <c r="E790" i="1"/>
  <c r="D789" i="1"/>
  <c r="E789" i="1"/>
  <c r="D788" i="1"/>
  <c r="E788" i="1"/>
  <c r="D787" i="1"/>
  <c r="E787" i="1"/>
  <c r="D786" i="1"/>
  <c r="E786" i="1"/>
  <c r="D785" i="1"/>
  <c r="E785" i="1"/>
  <c r="D784" i="1"/>
  <c r="E784" i="1"/>
  <c r="D783" i="1"/>
  <c r="E783" i="1"/>
  <c r="D782" i="1"/>
  <c r="E782" i="1"/>
  <c r="D781" i="1"/>
  <c r="E781" i="1"/>
  <c r="D780" i="1"/>
  <c r="E780" i="1"/>
  <c r="D779" i="1"/>
  <c r="E779" i="1"/>
  <c r="D778" i="1"/>
  <c r="E778" i="1"/>
  <c r="D777" i="1"/>
  <c r="E777" i="1"/>
  <c r="D776" i="1"/>
  <c r="E776" i="1"/>
  <c r="D775" i="1"/>
  <c r="E775" i="1"/>
  <c r="D774" i="1"/>
  <c r="E774" i="1"/>
  <c r="D773" i="1"/>
  <c r="E773" i="1"/>
  <c r="D772" i="1"/>
  <c r="E772" i="1"/>
  <c r="D771" i="1"/>
  <c r="E771" i="1"/>
  <c r="D770" i="1"/>
  <c r="E770" i="1"/>
  <c r="D769" i="1"/>
  <c r="E769" i="1"/>
  <c r="D768" i="1"/>
  <c r="E768" i="1"/>
  <c r="D767" i="1"/>
  <c r="E767" i="1"/>
  <c r="D766" i="1"/>
  <c r="E766" i="1"/>
  <c r="D765" i="1"/>
  <c r="E765" i="1"/>
  <c r="D764" i="1"/>
  <c r="E764" i="1"/>
  <c r="D763" i="1"/>
  <c r="E763" i="1"/>
  <c r="D762" i="1"/>
  <c r="E762" i="1"/>
  <c r="D761" i="1"/>
  <c r="E761" i="1"/>
  <c r="D760" i="1"/>
  <c r="E760" i="1"/>
  <c r="D759" i="1"/>
  <c r="E759" i="1"/>
  <c r="D758" i="1"/>
  <c r="E758" i="1"/>
  <c r="D757" i="1"/>
  <c r="E757" i="1"/>
  <c r="D756" i="1"/>
  <c r="E756" i="1"/>
  <c r="D755" i="1"/>
  <c r="E755" i="1"/>
  <c r="D754" i="1"/>
  <c r="E754" i="1"/>
  <c r="D753" i="1"/>
  <c r="E753" i="1"/>
  <c r="D752" i="1"/>
  <c r="E752" i="1"/>
  <c r="D751" i="1"/>
  <c r="E751" i="1"/>
  <c r="D750" i="1"/>
  <c r="E750" i="1"/>
  <c r="D749" i="1"/>
  <c r="E749" i="1"/>
  <c r="D748" i="1"/>
  <c r="E748" i="1"/>
  <c r="D747" i="1"/>
  <c r="E747" i="1"/>
  <c r="D746" i="1"/>
  <c r="E746" i="1"/>
  <c r="D745" i="1"/>
  <c r="E745" i="1"/>
  <c r="D744" i="1"/>
  <c r="E744" i="1"/>
  <c r="D743" i="1"/>
  <c r="E743" i="1"/>
  <c r="D742" i="1"/>
  <c r="E742" i="1"/>
  <c r="D741" i="1"/>
  <c r="E741" i="1"/>
  <c r="D740" i="1"/>
  <c r="E740" i="1"/>
  <c r="D739" i="1"/>
  <c r="E739" i="1"/>
  <c r="D738" i="1"/>
  <c r="E738" i="1"/>
  <c r="D737" i="1"/>
  <c r="E737" i="1"/>
  <c r="D736" i="1"/>
  <c r="E736" i="1"/>
  <c r="D735" i="1"/>
  <c r="E735" i="1"/>
  <c r="D734" i="1"/>
  <c r="E734" i="1"/>
  <c r="D733" i="1"/>
  <c r="E733" i="1"/>
  <c r="D732" i="1"/>
  <c r="E732" i="1"/>
  <c r="D731" i="1"/>
  <c r="E731" i="1"/>
  <c r="D730" i="1"/>
  <c r="E730" i="1"/>
  <c r="D729" i="1"/>
  <c r="E729" i="1"/>
  <c r="D728" i="1"/>
  <c r="E728" i="1"/>
  <c r="D727" i="1"/>
  <c r="E727" i="1"/>
  <c r="D726" i="1"/>
  <c r="E726" i="1"/>
  <c r="D725" i="1"/>
  <c r="E725" i="1"/>
  <c r="D724" i="1"/>
  <c r="E724" i="1"/>
  <c r="D723" i="1"/>
  <c r="E723" i="1"/>
  <c r="D722" i="1"/>
  <c r="E722" i="1"/>
  <c r="D721" i="1"/>
  <c r="E721" i="1"/>
  <c r="D720" i="1"/>
  <c r="E720" i="1"/>
  <c r="D719" i="1"/>
  <c r="E719" i="1"/>
  <c r="D718" i="1"/>
  <c r="E718" i="1"/>
  <c r="D717" i="1"/>
  <c r="E717" i="1"/>
  <c r="D716" i="1"/>
  <c r="E716" i="1"/>
  <c r="D715" i="1"/>
  <c r="E715" i="1"/>
  <c r="D714" i="1"/>
  <c r="E714" i="1"/>
  <c r="D713" i="1"/>
  <c r="E713" i="1"/>
  <c r="D712" i="1"/>
  <c r="E712" i="1"/>
  <c r="D711" i="1"/>
  <c r="E711" i="1"/>
  <c r="D710" i="1"/>
  <c r="E710" i="1"/>
  <c r="D709" i="1"/>
  <c r="E709" i="1"/>
  <c r="D708" i="1"/>
  <c r="E708" i="1"/>
  <c r="D707" i="1"/>
  <c r="E707" i="1"/>
  <c r="D706" i="1"/>
  <c r="E706" i="1"/>
  <c r="D705" i="1"/>
  <c r="E705" i="1"/>
  <c r="D704" i="1"/>
  <c r="E704" i="1"/>
  <c r="D703" i="1"/>
  <c r="E703" i="1"/>
  <c r="D702" i="1"/>
  <c r="E702" i="1"/>
  <c r="D701" i="1"/>
  <c r="E701" i="1"/>
  <c r="D700" i="1"/>
  <c r="E700" i="1"/>
  <c r="D699" i="1"/>
  <c r="E699" i="1"/>
  <c r="D698" i="1"/>
  <c r="E698" i="1"/>
  <c r="D697" i="1"/>
  <c r="E697" i="1"/>
  <c r="D696" i="1"/>
  <c r="E696" i="1"/>
  <c r="D695" i="1"/>
  <c r="E695" i="1"/>
  <c r="D694" i="1"/>
  <c r="E694" i="1"/>
  <c r="D693" i="1"/>
  <c r="E693" i="1"/>
  <c r="D692" i="1"/>
  <c r="E692" i="1"/>
  <c r="D691" i="1"/>
  <c r="E691" i="1"/>
  <c r="D690" i="1"/>
  <c r="E690" i="1"/>
  <c r="D689" i="1"/>
  <c r="E689" i="1"/>
  <c r="D688" i="1"/>
  <c r="E688" i="1"/>
  <c r="D687" i="1"/>
  <c r="E687" i="1"/>
  <c r="D686" i="1"/>
  <c r="E686" i="1"/>
  <c r="D685" i="1"/>
  <c r="E685" i="1"/>
  <c r="D684" i="1"/>
  <c r="E684" i="1"/>
  <c r="D683" i="1"/>
  <c r="E683" i="1"/>
  <c r="D682" i="1"/>
  <c r="E682" i="1"/>
  <c r="D681" i="1"/>
  <c r="E681" i="1"/>
  <c r="D680" i="1"/>
  <c r="E680" i="1"/>
  <c r="D679" i="1"/>
  <c r="E679" i="1"/>
  <c r="D678" i="1"/>
  <c r="E678" i="1"/>
  <c r="D677" i="1"/>
  <c r="E677" i="1"/>
  <c r="D676" i="1"/>
  <c r="E676" i="1"/>
  <c r="D675" i="1"/>
  <c r="E675" i="1"/>
  <c r="D674" i="1"/>
  <c r="E674" i="1"/>
  <c r="D673" i="1"/>
  <c r="E673" i="1"/>
  <c r="D672" i="1"/>
  <c r="E672" i="1"/>
  <c r="D671" i="1"/>
  <c r="E671" i="1"/>
  <c r="D670" i="1"/>
  <c r="E670" i="1"/>
  <c r="D669" i="1"/>
  <c r="E669" i="1"/>
  <c r="D668" i="1"/>
  <c r="E668" i="1"/>
  <c r="D667" i="1"/>
  <c r="E667" i="1"/>
  <c r="D666" i="1"/>
  <c r="E666" i="1"/>
  <c r="D665" i="1"/>
  <c r="E665" i="1"/>
  <c r="D664" i="1"/>
  <c r="E664" i="1"/>
  <c r="D663" i="1"/>
  <c r="E663" i="1"/>
  <c r="D662" i="1"/>
  <c r="E662" i="1"/>
  <c r="D661" i="1"/>
  <c r="E661" i="1"/>
  <c r="D660" i="1"/>
  <c r="E660" i="1"/>
  <c r="D659" i="1"/>
  <c r="E659" i="1"/>
  <c r="D658" i="1"/>
  <c r="E658" i="1"/>
  <c r="D657" i="1"/>
  <c r="E657" i="1"/>
  <c r="D656" i="1"/>
  <c r="E656" i="1"/>
  <c r="D655" i="1"/>
  <c r="E655" i="1"/>
  <c r="D654" i="1"/>
  <c r="E654" i="1"/>
  <c r="D653" i="1"/>
  <c r="E653" i="1"/>
  <c r="D652" i="1"/>
  <c r="E652" i="1"/>
  <c r="D651" i="1"/>
  <c r="E651" i="1"/>
  <c r="D650" i="1"/>
  <c r="E650" i="1"/>
  <c r="D649" i="1"/>
  <c r="E649" i="1"/>
  <c r="D648" i="1"/>
  <c r="E648" i="1"/>
  <c r="D647" i="1"/>
  <c r="E647" i="1"/>
  <c r="D646" i="1"/>
  <c r="E646" i="1"/>
  <c r="D645" i="1"/>
  <c r="E645" i="1"/>
  <c r="D644" i="1"/>
  <c r="E644" i="1"/>
  <c r="D643" i="1"/>
  <c r="E643" i="1"/>
  <c r="D642" i="1"/>
  <c r="E642" i="1"/>
  <c r="D641" i="1"/>
  <c r="E641" i="1"/>
  <c r="D640" i="1"/>
  <c r="E640" i="1"/>
  <c r="D639" i="1"/>
  <c r="E639" i="1"/>
  <c r="D638" i="1"/>
  <c r="E638" i="1"/>
  <c r="D637" i="1"/>
  <c r="E637" i="1"/>
  <c r="D636" i="1"/>
  <c r="E636" i="1"/>
  <c r="D635" i="1"/>
  <c r="E635" i="1"/>
  <c r="D634" i="1"/>
  <c r="E634" i="1"/>
  <c r="D633" i="1"/>
  <c r="E633" i="1"/>
  <c r="D632" i="1"/>
  <c r="E632" i="1"/>
  <c r="D631" i="1"/>
  <c r="E631" i="1"/>
  <c r="D630" i="1"/>
  <c r="E630" i="1"/>
  <c r="D629" i="1"/>
  <c r="E629" i="1"/>
  <c r="D628" i="1"/>
  <c r="E628" i="1"/>
  <c r="D627" i="1"/>
  <c r="E627" i="1"/>
  <c r="D626" i="1"/>
  <c r="E626" i="1"/>
  <c r="D625" i="1"/>
  <c r="E625" i="1"/>
  <c r="D624" i="1"/>
  <c r="E624" i="1"/>
  <c r="D623" i="1"/>
  <c r="E623" i="1"/>
  <c r="D622" i="1"/>
  <c r="E622" i="1"/>
  <c r="D621" i="1"/>
  <c r="E621" i="1"/>
  <c r="D620" i="1"/>
  <c r="E620" i="1"/>
  <c r="D619" i="1"/>
  <c r="E619" i="1"/>
  <c r="D618" i="1"/>
  <c r="E618" i="1"/>
  <c r="D617" i="1"/>
  <c r="E617" i="1"/>
  <c r="D616" i="1"/>
  <c r="E616" i="1"/>
  <c r="D615" i="1"/>
  <c r="E615" i="1"/>
  <c r="D614" i="1"/>
  <c r="E614" i="1"/>
  <c r="D613" i="1"/>
  <c r="E613" i="1"/>
  <c r="D612" i="1"/>
  <c r="E612" i="1"/>
  <c r="D611" i="1"/>
  <c r="E611" i="1"/>
  <c r="D610" i="1"/>
  <c r="E610" i="1"/>
  <c r="D609" i="1"/>
  <c r="E609" i="1"/>
  <c r="D608" i="1"/>
  <c r="E608" i="1"/>
  <c r="D607" i="1"/>
  <c r="E607" i="1"/>
  <c r="D606" i="1"/>
  <c r="E606" i="1"/>
  <c r="D605" i="1"/>
  <c r="E605" i="1"/>
  <c r="D604" i="1"/>
  <c r="E604" i="1"/>
  <c r="D603" i="1"/>
  <c r="E603" i="1"/>
  <c r="D602" i="1"/>
  <c r="E602" i="1"/>
  <c r="D601" i="1"/>
  <c r="E601" i="1"/>
  <c r="D600" i="1"/>
  <c r="E600" i="1"/>
  <c r="D599" i="1"/>
  <c r="E599" i="1"/>
  <c r="D598" i="1"/>
  <c r="E598" i="1"/>
  <c r="D597" i="1"/>
  <c r="E597" i="1"/>
  <c r="D596" i="1"/>
  <c r="E596" i="1"/>
  <c r="D595" i="1"/>
  <c r="E595" i="1"/>
  <c r="D594" i="1"/>
  <c r="E594" i="1"/>
  <c r="D593" i="1"/>
  <c r="E593" i="1"/>
  <c r="D592" i="1"/>
  <c r="E592" i="1"/>
  <c r="D591" i="1"/>
  <c r="E591" i="1"/>
  <c r="D590" i="1"/>
  <c r="E590" i="1"/>
  <c r="D589" i="1"/>
  <c r="E589" i="1"/>
  <c r="D588" i="1"/>
  <c r="E588" i="1"/>
  <c r="D587" i="1"/>
  <c r="E587" i="1"/>
  <c r="D586" i="1"/>
  <c r="E586" i="1"/>
  <c r="D585" i="1"/>
  <c r="E585" i="1"/>
  <c r="D584" i="1"/>
  <c r="E584" i="1"/>
  <c r="D583" i="1"/>
  <c r="E583" i="1"/>
  <c r="D582" i="1"/>
  <c r="E582" i="1"/>
  <c r="D581" i="1"/>
  <c r="E581" i="1"/>
  <c r="D580" i="1"/>
  <c r="E580" i="1"/>
  <c r="D579" i="1"/>
  <c r="E579" i="1"/>
  <c r="D578" i="1"/>
  <c r="E578" i="1"/>
  <c r="D577" i="1"/>
  <c r="E577" i="1"/>
  <c r="D576" i="1"/>
  <c r="E576" i="1"/>
  <c r="D575" i="1"/>
  <c r="E575" i="1"/>
  <c r="D574" i="1"/>
  <c r="E574" i="1"/>
  <c r="D573" i="1"/>
  <c r="E573" i="1"/>
  <c r="D572" i="1"/>
  <c r="E572" i="1"/>
  <c r="D571" i="1"/>
  <c r="E571" i="1"/>
  <c r="D570" i="1"/>
  <c r="E570" i="1"/>
  <c r="D569" i="1"/>
  <c r="E569" i="1"/>
  <c r="D568" i="1"/>
  <c r="E568" i="1"/>
  <c r="D567" i="1"/>
  <c r="E567" i="1"/>
  <c r="D566" i="1"/>
  <c r="E566" i="1"/>
  <c r="D565" i="1"/>
  <c r="E565" i="1"/>
  <c r="D564" i="1"/>
  <c r="E564" i="1"/>
  <c r="D563" i="1"/>
  <c r="E563" i="1"/>
  <c r="D562" i="1"/>
  <c r="E562" i="1"/>
  <c r="D561" i="1"/>
  <c r="E561" i="1"/>
  <c r="D560" i="1"/>
  <c r="E560" i="1"/>
  <c r="D559" i="1"/>
  <c r="E559" i="1"/>
  <c r="D558" i="1"/>
  <c r="E558" i="1"/>
  <c r="D557" i="1"/>
  <c r="E557" i="1"/>
  <c r="D556" i="1"/>
  <c r="E556" i="1"/>
  <c r="D555" i="1"/>
  <c r="E555" i="1"/>
  <c r="D554" i="1"/>
  <c r="E554" i="1"/>
  <c r="D553" i="1"/>
  <c r="E553" i="1"/>
  <c r="D552" i="1"/>
  <c r="E552" i="1"/>
  <c r="D551" i="1"/>
  <c r="E551" i="1"/>
  <c r="D550" i="1"/>
  <c r="E550" i="1"/>
  <c r="D549" i="1"/>
  <c r="E549" i="1"/>
  <c r="D548" i="1"/>
  <c r="E548" i="1"/>
  <c r="D547" i="1"/>
  <c r="E547" i="1"/>
  <c r="D546" i="1"/>
  <c r="E546" i="1"/>
  <c r="D545" i="1"/>
  <c r="E545" i="1"/>
  <c r="D544" i="1"/>
  <c r="E544" i="1"/>
  <c r="D543" i="1"/>
  <c r="E543" i="1"/>
  <c r="D542" i="1"/>
  <c r="E542" i="1"/>
  <c r="D541" i="1"/>
  <c r="E541" i="1"/>
  <c r="D540" i="1"/>
  <c r="E540" i="1"/>
  <c r="D539" i="1"/>
  <c r="E539" i="1"/>
  <c r="D538" i="1"/>
  <c r="E538" i="1"/>
  <c r="D537" i="1"/>
  <c r="E537" i="1"/>
  <c r="D536" i="1"/>
  <c r="E536" i="1"/>
  <c r="D535" i="1"/>
  <c r="E535" i="1"/>
  <c r="D534" i="1"/>
  <c r="E534" i="1"/>
  <c r="D533" i="1"/>
  <c r="E533" i="1"/>
  <c r="D532" i="1"/>
  <c r="E532" i="1"/>
  <c r="D531" i="1"/>
  <c r="E531" i="1"/>
  <c r="D530" i="1"/>
  <c r="E530" i="1"/>
  <c r="D529" i="1"/>
  <c r="E529" i="1"/>
  <c r="D528" i="1"/>
  <c r="E528" i="1"/>
  <c r="D527" i="1"/>
  <c r="E527" i="1"/>
  <c r="D526" i="1"/>
  <c r="E526" i="1"/>
  <c r="D525" i="1"/>
  <c r="E525" i="1"/>
  <c r="D524" i="1"/>
  <c r="E524" i="1"/>
  <c r="D523" i="1"/>
  <c r="E523" i="1"/>
  <c r="D522" i="1"/>
  <c r="E522" i="1"/>
  <c r="D521" i="1"/>
  <c r="E521" i="1"/>
  <c r="D520" i="1"/>
  <c r="E520" i="1"/>
  <c r="D519" i="1"/>
  <c r="E519" i="1"/>
  <c r="D518" i="1"/>
  <c r="E518" i="1"/>
  <c r="D517" i="1"/>
  <c r="E517" i="1"/>
  <c r="D516" i="1"/>
  <c r="E516" i="1"/>
  <c r="D515" i="1"/>
  <c r="E515" i="1"/>
  <c r="D514" i="1"/>
  <c r="E514" i="1"/>
  <c r="D513" i="1"/>
  <c r="E513" i="1"/>
  <c r="D512" i="1"/>
  <c r="E512" i="1"/>
  <c r="D511" i="1"/>
  <c r="E511" i="1"/>
  <c r="D510" i="1"/>
  <c r="E510" i="1"/>
  <c r="D509" i="1"/>
  <c r="E509" i="1"/>
  <c r="D508" i="1"/>
  <c r="E508" i="1"/>
  <c r="D507" i="1"/>
  <c r="E507" i="1"/>
  <c r="D506" i="1"/>
  <c r="E506" i="1"/>
  <c r="D505" i="1"/>
  <c r="E505" i="1"/>
  <c r="D504" i="1"/>
  <c r="E504" i="1"/>
  <c r="D503" i="1"/>
  <c r="E503" i="1"/>
  <c r="D502" i="1"/>
  <c r="E502" i="1"/>
  <c r="D501" i="1"/>
  <c r="E501" i="1"/>
  <c r="D500" i="1"/>
  <c r="E500" i="1"/>
  <c r="D499" i="1"/>
  <c r="E499" i="1"/>
  <c r="D498" i="1"/>
  <c r="E498" i="1"/>
  <c r="D497" i="1"/>
  <c r="E497" i="1"/>
  <c r="D496" i="1"/>
  <c r="E496" i="1"/>
  <c r="D495" i="1"/>
  <c r="E495" i="1"/>
  <c r="D494" i="1"/>
  <c r="E494" i="1"/>
  <c r="D493" i="1"/>
  <c r="E493" i="1"/>
  <c r="D492" i="1"/>
  <c r="E492" i="1"/>
  <c r="D491" i="1"/>
  <c r="E491" i="1"/>
  <c r="D490" i="1"/>
  <c r="E490" i="1"/>
  <c r="D489" i="1"/>
  <c r="E489" i="1"/>
  <c r="D488" i="1"/>
  <c r="E488" i="1"/>
  <c r="D487" i="1"/>
  <c r="E487" i="1"/>
  <c r="D486" i="1"/>
  <c r="E486" i="1"/>
  <c r="D485" i="1"/>
  <c r="E485" i="1"/>
  <c r="D484" i="1"/>
  <c r="E484" i="1"/>
  <c r="D483" i="1"/>
  <c r="E483" i="1"/>
  <c r="D482" i="1"/>
  <c r="E482" i="1"/>
  <c r="D481" i="1"/>
  <c r="E481" i="1"/>
  <c r="D480" i="1"/>
  <c r="E480" i="1"/>
  <c r="D479" i="1"/>
  <c r="E479" i="1"/>
  <c r="D478" i="1"/>
  <c r="E478" i="1"/>
  <c r="D477" i="1"/>
  <c r="E477" i="1"/>
  <c r="D476" i="1"/>
  <c r="E476" i="1"/>
  <c r="D475" i="1"/>
  <c r="E475" i="1"/>
  <c r="D474" i="1"/>
  <c r="E474" i="1"/>
  <c r="D473" i="1"/>
  <c r="E473" i="1"/>
  <c r="D472" i="1"/>
  <c r="E472" i="1"/>
  <c r="D471" i="1"/>
  <c r="E471" i="1"/>
  <c r="D470" i="1"/>
  <c r="E470" i="1"/>
  <c r="D469" i="1"/>
  <c r="E469" i="1"/>
  <c r="D468" i="1"/>
  <c r="E468" i="1"/>
  <c r="D467" i="1"/>
  <c r="E467" i="1"/>
  <c r="D466" i="1"/>
  <c r="E466" i="1"/>
  <c r="D465" i="1"/>
  <c r="E465" i="1"/>
  <c r="D464" i="1"/>
  <c r="E464" i="1"/>
  <c r="D463" i="1"/>
  <c r="E463" i="1"/>
  <c r="D462" i="1"/>
  <c r="E462" i="1"/>
  <c r="D461" i="1"/>
  <c r="E461" i="1"/>
  <c r="D460" i="1"/>
  <c r="E460" i="1"/>
  <c r="D459" i="1"/>
  <c r="E459" i="1"/>
  <c r="D458" i="1"/>
  <c r="E458" i="1"/>
  <c r="D457" i="1"/>
  <c r="E457" i="1"/>
  <c r="D456" i="1"/>
  <c r="E456" i="1"/>
  <c r="D455" i="1"/>
  <c r="E455" i="1"/>
  <c r="D454" i="1"/>
  <c r="E454" i="1"/>
  <c r="D453" i="1"/>
  <c r="E453" i="1"/>
  <c r="D452" i="1"/>
  <c r="E452" i="1"/>
  <c r="D451" i="1"/>
  <c r="E451" i="1"/>
  <c r="D450" i="1"/>
  <c r="E450" i="1"/>
  <c r="D449" i="1"/>
  <c r="E449" i="1"/>
  <c r="D448" i="1"/>
  <c r="E448" i="1"/>
  <c r="D447" i="1"/>
  <c r="E447" i="1"/>
  <c r="D446" i="1"/>
  <c r="E446" i="1"/>
  <c r="D445" i="1"/>
  <c r="E445" i="1"/>
  <c r="D444" i="1"/>
  <c r="E444" i="1"/>
  <c r="D443" i="1"/>
  <c r="E443" i="1"/>
  <c r="D442" i="1"/>
  <c r="E442" i="1"/>
  <c r="D441" i="1"/>
  <c r="E441" i="1"/>
  <c r="D440" i="1"/>
  <c r="E440" i="1"/>
  <c r="D439" i="1"/>
  <c r="E439" i="1"/>
  <c r="D438" i="1"/>
  <c r="E438" i="1"/>
  <c r="D437" i="1"/>
  <c r="E437" i="1"/>
  <c r="D436" i="1"/>
  <c r="E436" i="1"/>
  <c r="D435" i="1"/>
  <c r="E435" i="1"/>
  <c r="D434" i="1"/>
  <c r="E434" i="1"/>
  <c r="D433" i="1"/>
  <c r="E433" i="1"/>
  <c r="D432" i="1"/>
  <c r="E432" i="1"/>
  <c r="D431" i="1"/>
  <c r="E431" i="1"/>
  <c r="D430" i="1"/>
  <c r="E430" i="1"/>
  <c r="D429" i="1"/>
  <c r="E429" i="1"/>
  <c r="D428" i="1"/>
  <c r="E428" i="1"/>
  <c r="D427" i="1"/>
  <c r="E427" i="1"/>
  <c r="D426" i="1"/>
  <c r="E426" i="1"/>
  <c r="D425" i="1"/>
  <c r="E425" i="1"/>
  <c r="D424" i="1"/>
  <c r="E424" i="1"/>
  <c r="D423" i="1"/>
  <c r="E423" i="1"/>
  <c r="D422" i="1"/>
  <c r="E422" i="1"/>
  <c r="D421" i="1"/>
  <c r="E421" i="1"/>
  <c r="D420" i="1"/>
  <c r="E420" i="1"/>
  <c r="D419" i="1"/>
  <c r="E419" i="1"/>
  <c r="D418" i="1"/>
  <c r="E418" i="1"/>
  <c r="D417" i="1"/>
  <c r="E417" i="1"/>
  <c r="D416" i="1"/>
  <c r="E416" i="1"/>
  <c r="D415" i="1"/>
  <c r="E415" i="1"/>
  <c r="D414" i="1"/>
  <c r="E414" i="1"/>
  <c r="D413" i="1"/>
  <c r="E413" i="1"/>
  <c r="D412" i="1"/>
  <c r="E412" i="1"/>
  <c r="D411" i="1"/>
  <c r="E411" i="1"/>
  <c r="D410" i="1"/>
  <c r="E410" i="1"/>
  <c r="D409" i="1"/>
  <c r="E409" i="1"/>
  <c r="D408" i="1"/>
  <c r="E408" i="1"/>
  <c r="D407" i="1"/>
  <c r="E407" i="1"/>
  <c r="D406" i="1"/>
  <c r="E406" i="1"/>
  <c r="D405" i="1"/>
  <c r="E405" i="1"/>
  <c r="D404" i="1"/>
  <c r="E404" i="1"/>
  <c r="D403" i="1"/>
  <c r="E403" i="1"/>
  <c r="D402" i="1"/>
  <c r="E402" i="1"/>
  <c r="D401" i="1"/>
  <c r="E401" i="1"/>
  <c r="D400" i="1"/>
  <c r="E400" i="1"/>
  <c r="D399" i="1"/>
  <c r="E399" i="1"/>
  <c r="D398" i="1"/>
  <c r="E398" i="1"/>
  <c r="D397" i="1"/>
  <c r="E397" i="1"/>
  <c r="D396" i="1"/>
  <c r="E396" i="1"/>
  <c r="D395" i="1"/>
  <c r="E395" i="1"/>
  <c r="D394" i="1"/>
  <c r="E394" i="1"/>
  <c r="D393" i="1"/>
  <c r="E393" i="1"/>
  <c r="D392" i="1"/>
  <c r="E392" i="1"/>
  <c r="D391" i="1"/>
  <c r="E391" i="1"/>
  <c r="D390" i="1"/>
  <c r="E390" i="1"/>
  <c r="D389" i="1"/>
  <c r="E389" i="1"/>
  <c r="D388" i="1"/>
  <c r="E388" i="1"/>
  <c r="D387" i="1"/>
  <c r="E387" i="1"/>
  <c r="D386" i="1"/>
  <c r="E386" i="1"/>
  <c r="D385" i="1"/>
  <c r="E385" i="1"/>
  <c r="D384" i="1"/>
  <c r="E384" i="1"/>
  <c r="D383" i="1"/>
  <c r="E383" i="1"/>
  <c r="D382" i="1"/>
  <c r="E382" i="1"/>
  <c r="D381" i="1"/>
  <c r="E381" i="1"/>
  <c r="D380" i="1"/>
  <c r="E380" i="1"/>
  <c r="D379" i="1"/>
  <c r="E379" i="1"/>
  <c r="D378" i="1"/>
  <c r="E378" i="1"/>
  <c r="D377" i="1"/>
  <c r="E377" i="1"/>
  <c r="D376" i="1"/>
  <c r="E376" i="1"/>
  <c r="D375" i="1"/>
  <c r="E375" i="1"/>
  <c r="D374" i="1"/>
  <c r="E374" i="1"/>
  <c r="D373" i="1"/>
  <c r="E373" i="1"/>
  <c r="D372" i="1"/>
  <c r="E372" i="1"/>
  <c r="D371" i="1"/>
  <c r="E371" i="1"/>
  <c r="D370" i="1"/>
  <c r="E370" i="1"/>
  <c r="D369" i="1"/>
  <c r="E369" i="1"/>
  <c r="D368" i="1"/>
  <c r="E368" i="1"/>
  <c r="D367" i="1"/>
  <c r="E367" i="1"/>
  <c r="D366" i="1"/>
  <c r="E366" i="1"/>
  <c r="D365" i="1"/>
  <c r="E365" i="1"/>
  <c r="D364" i="1"/>
  <c r="E364" i="1"/>
  <c r="D363" i="1"/>
  <c r="E363" i="1"/>
  <c r="D362" i="1"/>
  <c r="E362" i="1"/>
  <c r="D361" i="1"/>
  <c r="E361" i="1"/>
  <c r="D360" i="1"/>
  <c r="E360" i="1"/>
  <c r="D359" i="1"/>
  <c r="E359" i="1"/>
  <c r="D358" i="1"/>
  <c r="E358" i="1"/>
  <c r="D357" i="1"/>
  <c r="E357" i="1"/>
  <c r="D356" i="1"/>
  <c r="E356" i="1"/>
  <c r="D355" i="1"/>
  <c r="E355" i="1"/>
  <c r="D354" i="1"/>
  <c r="E354" i="1"/>
  <c r="D353" i="1"/>
  <c r="E353" i="1"/>
  <c r="D352" i="1"/>
  <c r="E352" i="1"/>
  <c r="D351" i="1"/>
  <c r="E351" i="1"/>
  <c r="D350" i="1"/>
  <c r="E350" i="1"/>
  <c r="D349" i="1"/>
  <c r="E349" i="1"/>
  <c r="D348" i="1"/>
  <c r="E348" i="1"/>
  <c r="D347" i="1"/>
  <c r="E347" i="1"/>
  <c r="D346" i="1"/>
  <c r="E346" i="1"/>
  <c r="D345" i="1"/>
  <c r="E345" i="1"/>
  <c r="D344" i="1"/>
  <c r="E344" i="1"/>
  <c r="D343" i="1"/>
  <c r="E343" i="1"/>
  <c r="D342" i="1"/>
  <c r="E342" i="1"/>
  <c r="D341" i="1"/>
  <c r="E341" i="1"/>
  <c r="D340" i="1"/>
  <c r="E340" i="1"/>
  <c r="D339" i="1"/>
  <c r="E339" i="1"/>
  <c r="D338" i="1"/>
  <c r="E338" i="1"/>
  <c r="D337" i="1"/>
  <c r="E337" i="1"/>
  <c r="D336" i="1"/>
  <c r="E336" i="1"/>
  <c r="D335" i="1"/>
  <c r="E335" i="1"/>
  <c r="D334" i="1"/>
  <c r="E334" i="1"/>
  <c r="D333" i="1"/>
  <c r="E333" i="1"/>
  <c r="D332" i="1"/>
  <c r="E332" i="1"/>
  <c r="D331" i="1"/>
  <c r="E331" i="1"/>
  <c r="D330" i="1"/>
  <c r="E330" i="1"/>
  <c r="D329" i="1"/>
  <c r="E329" i="1"/>
  <c r="D328" i="1"/>
  <c r="E328" i="1"/>
  <c r="D327" i="1"/>
  <c r="E327" i="1"/>
  <c r="D326" i="1"/>
  <c r="E326" i="1"/>
  <c r="D325" i="1"/>
  <c r="E325" i="1"/>
  <c r="D324" i="1"/>
  <c r="E324" i="1"/>
  <c r="D323" i="1"/>
  <c r="E323" i="1"/>
  <c r="D322" i="1"/>
  <c r="E322" i="1"/>
  <c r="D321" i="1"/>
  <c r="E321" i="1"/>
  <c r="D320" i="1"/>
  <c r="E320" i="1"/>
  <c r="D319" i="1"/>
  <c r="E319" i="1"/>
  <c r="D318" i="1"/>
  <c r="E318" i="1"/>
  <c r="D317" i="1"/>
  <c r="E317" i="1"/>
  <c r="D316" i="1"/>
  <c r="E316" i="1"/>
  <c r="D315" i="1"/>
  <c r="E315" i="1"/>
  <c r="D314" i="1"/>
  <c r="E314" i="1"/>
  <c r="D313" i="1"/>
  <c r="E313" i="1"/>
  <c r="D312" i="1"/>
  <c r="E312" i="1"/>
  <c r="D311" i="1"/>
  <c r="E311" i="1"/>
  <c r="D310" i="1"/>
  <c r="E310" i="1"/>
  <c r="D309" i="1"/>
  <c r="E309" i="1"/>
  <c r="D308" i="1"/>
  <c r="E308" i="1"/>
  <c r="D307" i="1"/>
  <c r="E307" i="1"/>
  <c r="D306" i="1"/>
  <c r="E306" i="1"/>
  <c r="D305" i="1"/>
  <c r="E305" i="1"/>
  <c r="D304" i="1"/>
  <c r="E304" i="1"/>
  <c r="D303" i="1"/>
  <c r="E303" i="1"/>
  <c r="D302" i="1"/>
  <c r="E302" i="1"/>
  <c r="D301" i="1"/>
  <c r="E301" i="1"/>
  <c r="D300" i="1"/>
  <c r="E300" i="1"/>
  <c r="D299" i="1"/>
  <c r="E299" i="1"/>
  <c r="D298" i="1"/>
  <c r="E298" i="1"/>
  <c r="D297" i="1"/>
  <c r="E297" i="1"/>
  <c r="D296" i="1"/>
  <c r="E296" i="1"/>
  <c r="D295" i="1"/>
  <c r="E295" i="1"/>
  <c r="D294" i="1"/>
  <c r="E294" i="1"/>
  <c r="D293" i="1"/>
  <c r="E293" i="1"/>
  <c r="D292" i="1"/>
  <c r="E292" i="1"/>
  <c r="D291" i="1"/>
  <c r="E291" i="1"/>
  <c r="D290" i="1"/>
  <c r="E290" i="1"/>
  <c r="D289" i="1"/>
  <c r="E289" i="1"/>
  <c r="D288" i="1"/>
  <c r="E288" i="1"/>
  <c r="D287" i="1"/>
  <c r="E287" i="1"/>
  <c r="D286" i="1"/>
  <c r="E286" i="1"/>
  <c r="D285" i="1"/>
  <c r="E285" i="1"/>
  <c r="D284" i="1"/>
  <c r="E284" i="1"/>
  <c r="D283" i="1"/>
  <c r="E283" i="1"/>
  <c r="D282" i="1"/>
  <c r="E282" i="1"/>
  <c r="D281" i="1"/>
  <c r="E281" i="1"/>
  <c r="D280" i="1"/>
  <c r="E280" i="1"/>
  <c r="D279" i="1"/>
  <c r="E279" i="1"/>
  <c r="D278" i="1"/>
  <c r="E278" i="1"/>
  <c r="D277" i="1"/>
  <c r="E277" i="1"/>
  <c r="D276" i="1"/>
  <c r="E276" i="1"/>
  <c r="D275" i="1"/>
  <c r="E275" i="1"/>
  <c r="D274" i="1"/>
  <c r="E274" i="1"/>
  <c r="D273" i="1"/>
  <c r="E273" i="1"/>
  <c r="D272" i="1"/>
  <c r="E272" i="1"/>
  <c r="D271" i="1"/>
  <c r="E271" i="1"/>
  <c r="D270" i="1"/>
  <c r="E270" i="1"/>
  <c r="D269" i="1"/>
  <c r="E269" i="1"/>
  <c r="D268" i="1"/>
  <c r="E268" i="1"/>
  <c r="D267" i="1"/>
  <c r="E267" i="1"/>
  <c r="D266" i="1"/>
  <c r="E266" i="1"/>
  <c r="D265" i="1"/>
  <c r="E265" i="1"/>
  <c r="D264" i="1"/>
  <c r="E264" i="1"/>
  <c r="D263" i="1"/>
  <c r="E263" i="1"/>
  <c r="D262" i="1"/>
  <c r="E262" i="1"/>
  <c r="D261" i="1"/>
  <c r="E261" i="1"/>
  <c r="D260" i="1"/>
  <c r="E260" i="1"/>
  <c r="D259" i="1"/>
  <c r="E259" i="1"/>
  <c r="D258" i="1"/>
  <c r="E258" i="1"/>
  <c r="D257" i="1"/>
  <c r="E257" i="1"/>
  <c r="D256" i="1"/>
  <c r="E256" i="1"/>
  <c r="D255" i="1"/>
  <c r="E255" i="1"/>
  <c r="D254" i="1"/>
  <c r="E254" i="1"/>
  <c r="D253" i="1"/>
  <c r="E253" i="1"/>
  <c r="D252" i="1"/>
  <c r="E252" i="1"/>
  <c r="D251" i="1"/>
  <c r="E251" i="1"/>
  <c r="D250" i="1"/>
  <c r="E250" i="1"/>
  <c r="D249" i="1"/>
  <c r="E249" i="1"/>
  <c r="D248" i="1"/>
  <c r="E248" i="1"/>
  <c r="D247" i="1"/>
  <c r="E247" i="1"/>
  <c r="D246" i="1"/>
  <c r="E246" i="1"/>
  <c r="D245" i="1"/>
  <c r="E245" i="1"/>
  <c r="D244" i="1"/>
  <c r="E244" i="1"/>
  <c r="D243" i="1"/>
  <c r="E243" i="1"/>
  <c r="D242" i="1"/>
  <c r="E242" i="1"/>
  <c r="D241" i="1"/>
  <c r="E241" i="1"/>
  <c r="D240" i="1"/>
  <c r="E240" i="1"/>
  <c r="D239" i="1"/>
  <c r="E239" i="1"/>
  <c r="D238" i="1"/>
  <c r="E238" i="1"/>
  <c r="D237" i="1"/>
  <c r="E237" i="1"/>
  <c r="D236" i="1"/>
  <c r="E236" i="1"/>
  <c r="D235" i="1"/>
  <c r="E235" i="1"/>
  <c r="D234" i="1"/>
  <c r="E234" i="1"/>
  <c r="D233" i="1"/>
  <c r="E233" i="1"/>
  <c r="D232" i="1"/>
  <c r="E232" i="1"/>
  <c r="D231" i="1"/>
  <c r="E231" i="1"/>
  <c r="D230" i="1"/>
  <c r="E230" i="1"/>
  <c r="D229" i="1"/>
  <c r="E229" i="1"/>
  <c r="D228" i="1"/>
  <c r="E228" i="1"/>
  <c r="D227" i="1"/>
  <c r="E227" i="1"/>
  <c r="D226" i="1"/>
  <c r="E226" i="1"/>
  <c r="D225" i="1"/>
  <c r="E225" i="1"/>
  <c r="D224" i="1"/>
  <c r="E224" i="1"/>
  <c r="D223" i="1"/>
  <c r="E223" i="1"/>
  <c r="D222" i="1"/>
  <c r="E222" i="1"/>
  <c r="D221" i="1"/>
  <c r="E221" i="1"/>
  <c r="D220" i="1"/>
  <c r="E220" i="1"/>
  <c r="D219" i="1"/>
  <c r="E219" i="1"/>
  <c r="D218" i="1"/>
  <c r="E218" i="1"/>
  <c r="D217" i="1"/>
  <c r="E217" i="1"/>
  <c r="D216" i="1"/>
  <c r="E216" i="1"/>
  <c r="D215" i="1"/>
  <c r="E215" i="1"/>
  <c r="D214" i="1"/>
  <c r="E214" i="1"/>
  <c r="D213" i="1"/>
  <c r="E213" i="1"/>
  <c r="D212" i="1"/>
  <c r="E212" i="1"/>
  <c r="D211" i="1"/>
  <c r="E211" i="1"/>
  <c r="D210" i="1"/>
  <c r="E210" i="1"/>
  <c r="D209" i="1"/>
  <c r="E209" i="1"/>
  <c r="D208" i="1"/>
  <c r="E208" i="1"/>
  <c r="D207" i="1"/>
  <c r="E207" i="1"/>
  <c r="D206" i="1"/>
  <c r="E206" i="1"/>
  <c r="D205" i="1"/>
  <c r="E205" i="1"/>
  <c r="D204" i="1"/>
  <c r="E204" i="1"/>
  <c r="D203" i="1"/>
  <c r="E203" i="1"/>
  <c r="D202" i="1"/>
  <c r="E202" i="1"/>
  <c r="D201" i="1"/>
  <c r="E201" i="1"/>
  <c r="D200" i="1"/>
  <c r="E200" i="1"/>
  <c r="D199" i="1"/>
  <c r="E199" i="1"/>
  <c r="D198" i="1"/>
  <c r="E198" i="1"/>
  <c r="D197" i="1"/>
  <c r="E197" i="1"/>
  <c r="D196" i="1"/>
  <c r="E196" i="1"/>
  <c r="D195" i="1"/>
  <c r="E195" i="1"/>
  <c r="D194" i="1"/>
  <c r="E194" i="1"/>
  <c r="D193" i="1"/>
  <c r="E193" i="1"/>
  <c r="D192" i="1"/>
  <c r="E192" i="1"/>
  <c r="D191" i="1"/>
  <c r="E191" i="1"/>
  <c r="D190" i="1"/>
  <c r="E190" i="1"/>
  <c r="D189" i="1"/>
  <c r="E189" i="1"/>
  <c r="D188" i="1"/>
  <c r="E188" i="1"/>
  <c r="D187" i="1"/>
  <c r="E187" i="1"/>
  <c r="D186" i="1"/>
  <c r="E186" i="1"/>
  <c r="D185" i="1"/>
  <c r="E185" i="1"/>
  <c r="D184" i="1"/>
  <c r="E184" i="1"/>
  <c r="D183" i="1"/>
  <c r="E183" i="1"/>
  <c r="D182" i="1"/>
  <c r="E182" i="1"/>
  <c r="D181" i="1"/>
  <c r="E181" i="1"/>
  <c r="D180" i="1"/>
  <c r="E180" i="1"/>
  <c r="D179" i="1"/>
  <c r="E179" i="1"/>
  <c r="D178" i="1"/>
  <c r="E178" i="1"/>
  <c r="D177" i="1"/>
  <c r="E177" i="1"/>
  <c r="D176" i="1"/>
  <c r="E176" i="1"/>
  <c r="D175" i="1"/>
  <c r="E175" i="1"/>
  <c r="D174" i="1"/>
  <c r="E174" i="1"/>
  <c r="D173" i="1"/>
  <c r="E173" i="1"/>
  <c r="D172" i="1"/>
  <c r="E172" i="1"/>
  <c r="D171" i="1"/>
  <c r="E171" i="1"/>
  <c r="D170" i="1"/>
  <c r="E170" i="1"/>
  <c r="D169" i="1"/>
  <c r="E169" i="1"/>
  <c r="D168" i="1"/>
  <c r="E168" i="1"/>
  <c r="D167" i="1"/>
  <c r="E167" i="1"/>
  <c r="D166" i="1"/>
  <c r="E166" i="1"/>
  <c r="D165" i="1"/>
  <c r="E165" i="1"/>
  <c r="D164" i="1"/>
  <c r="E164" i="1"/>
  <c r="D163" i="1"/>
  <c r="E163" i="1"/>
  <c r="D162" i="1"/>
  <c r="E162" i="1"/>
  <c r="D161" i="1"/>
  <c r="E161" i="1"/>
  <c r="D160" i="1"/>
  <c r="E160" i="1"/>
  <c r="D159" i="1"/>
  <c r="E159" i="1"/>
  <c r="D158" i="1"/>
  <c r="E158" i="1"/>
  <c r="D157" i="1"/>
  <c r="E157" i="1"/>
  <c r="D156" i="1"/>
  <c r="E156" i="1"/>
  <c r="D155" i="1"/>
  <c r="E155" i="1"/>
  <c r="D154" i="1"/>
  <c r="E154" i="1"/>
  <c r="D153" i="1"/>
  <c r="E153" i="1"/>
  <c r="D152" i="1"/>
  <c r="E152" i="1"/>
  <c r="D151" i="1"/>
  <c r="E151" i="1"/>
  <c r="D150" i="1"/>
  <c r="E150" i="1"/>
  <c r="D149" i="1"/>
  <c r="E149" i="1"/>
  <c r="D148" i="1"/>
  <c r="E148" i="1"/>
  <c r="D147" i="1"/>
  <c r="E147" i="1"/>
  <c r="D146" i="1"/>
  <c r="E146" i="1"/>
  <c r="D145" i="1"/>
  <c r="E145" i="1"/>
  <c r="D144" i="1"/>
  <c r="E144" i="1"/>
  <c r="D143" i="1"/>
  <c r="E143" i="1"/>
  <c r="D142" i="1"/>
  <c r="E142" i="1"/>
  <c r="D141" i="1"/>
  <c r="E141" i="1"/>
  <c r="D140" i="1"/>
  <c r="E140" i="1"/>
  <c r="D139" i="1"/>
  <c r="E139" i="1"/>
  <c r="D138" i="1"/>
  <c r="E138" i="1"/>
  <c r="D137" i="1"/>
  <c r="E137" i="1"/>
  <c r="D136" i="1"/>
  <c r="E136" i="1"/>
  <c r="D135" i="1"/>
  <c r="E135" i="1"/>
  <c r="D134" i="1"/>
  <c r="E134" i="1"/>
  <c r="D133" i="1"/>
  <c r="E133" i="1"/>
  <c r="D132" i="1"/>
  <c r="E132" i="1"/>
  <c r="D131" i="1"/>
  <c r="E131" i="1"/>
  <c r="D130" i="1"/>
  <c r="E130" i="1"/>
  <c r="D129" i="1"/>
  <c r="E129" i="1"/>
  <c r="D128" i="1"/>
  <c r="E128" i="1"/>
  <c r="D127" i="1"/>
  <c r="E127" i="1"/>
  <c r="D126" i="1"/>
  <c r="E126" i="1"/>
  <c r="D125" i="1"/>
  <c r="E125" i="1"/>
  <c r="D124" i="1"/>
  <c r="E124" i="1"/>
  <c r="D123" i="1"/>
  <c r="E123" i="1"/>
  <c r="D122" i="1"/>
  <c r="E122" i="1"/>
  <c r="D121" i="1"/>
  <c r="E121" i="1"/>
  <c r="D120" i="1"/>
  <c r="E120" i="1"/>
  <c r="D119" i="1"/>
  <c r="E119" i="1"/>
  <c r="D118" i="1"/>
  <c r="E118" i="1"/>
  <c r="D117" i="1"/>
  <c r="E117" i="1"/>
  <c r="D116" i="1"/>
  <c r="E116" i="1"/>
  <c r="D115" i="1"/>
  <c r="E115" i="1"/>
  <c r="D114" i="1"/>
  <c r="E114" i="1"/>
  <c r="D113" i="1"/>
  <c r="E113" i="1"/>
  <c r="D112" i="1"/>
  <c r="E112" i="1"/>
  <c r="D111" i="1"/>
  <c r="E111" i="1"/>
  <c r="D110" i="1"/>
  <c r="E110" i="1"/>
  <c r="D109" i="1"/>
  <c r="E109" i="1"/>
  <c r="D108" i="1"/>
  <c r="E108" i="1"/>
  <c r="D107" i="1"/>
  <c r="E107" i="1"/>
  <c r="D106" i="1"/>
  <c r="E106" i="1"/>
  <c r="D105" i="1"/>
  <c r="E105" i="1"/>
  <c r="D104" i="1"/>
  <c r="E104" i="1"/>
  <c r="D103" i="1"/>
  <c r="E103" i="1"/>
  <c r="D102" i="1"/>
  <c r="E102" i="1"/>
  <c r="D101" i="1"/>
  <c r="E101" i="1"/>
  <c r="D100" i="1"/>
  <c r="E100" i="1"/>
  <c r="D99" i="1"/>
  <c r="E99" i="1"/>
  <c r="D98" i="1"/>
  <c r="E98" i="1"/>
  <c r="D97" i="1"/>
  <c r="E97" i="1"/>
  <c r="D96" i="1"/>
  <c r="E96" i="1"/>
  <c r="D95" i="1"/>
  <c r="E95" i="1"/>
  <c r="D94" i="1"/>
  <c r="E94" i="1"/>
  <c r="D93" i="1"/>
  <c r="E93" i="1"/>
  <c r="D92" i="1"/>
  <c r="E92" i="1"/>
  <c r="D91" i="1"/>
  <c r="E91" i="1"/>
  <c r="D90" i="1"/>
  <c r="E90" i="1"/>
  <c r="D89" i="1"/>
  <c r="E89" i="1"/>
  <c r="D88" i="1"/>
  <c r="E88" i="1"/>
  <c r="D87" i="1"/>
  <c r="E87" i="1"/>
  <c r="D86" i="1"/>
  <c r="E86" i="1"/>
  <c r="D85" i="1"/>
  <c r="E85" i="1"/>
  <c r="D84" i="1"/>
  <c r="E84" i="1"/>
  <c r="D83" i="1"/>
  <c r="E83" i="1"/>
  <c r="D82" i="1"/>
  <c r="E82" i="1"/>
  <c r="D81" i="1"/>
  <c r="E81" i="1"/>
  <c r="D80" i="1"/>
  <c r="E80" i="1"/>
  <c r="D79" i="1"/>
  <c r="E79" i="1"/>
  <c r="D78" i="1"/>
  <c r="E78" i="1"/>
  <c r="D77" i="1"/>
  <c r="E77" i="1"/>
  <c r="D76" i="1"/>
  <c r="E76" i="1"/>
  <c r="D75" i="1"/>
  <c r="E75" i="1"/>
  <c r="D74" i="1"/>
  <c r="E74" i="1"/>
  <c r="D73" i="1"/>
  <c r="E73" i="1"/>
  <c r="D72" i="1"/>
  <c r="E72" i="1"/>
  <c r="D71" i="1"/>
  <c r="E71" i="1"/>
  <c r="D70" i="1"/>
  <c r="E70" i="1"/>
  <c r="D69" i="1"/>
  <c r="E69" i="1"/>
  <c r="D68" i="1"/>
  <c r="E68" i="1"/>
  <c r="D67" i="1"/>
  <c r="E67" i="1"/>
  <c r="D66" i="1"/>
  <c r="E66" i="1"/>
  <c r="D65" i="1"/>
  <c r="E65" i="1"/>
  <c r="D64" i="1"/>
  <c r="E64" i="1"/>
  <c r="D63" i="1"/>
  <c r="E63" i="1"/>
  <c r="D62" i="1"/>
  <c r="E62" i="1"/>
  <c r="D61" i="1"/>
  <c r="E61" i="1"/>
  <c r="D60" i="1"/>
  <c r="E60" i="1"/>
  <c r="D59" i="1"/>
  <c r="E59" i="1"/>
  <c r="D58" i="1"/>
  <c r="E58" i="1"/>
  <c r="D57" i="1"/>
  <c r="E57" i="1"/>
  <c r="D56" i="1"/>
  <c r="E56" i="1"/>
  <c r="D55" i="1"/>
  <c r="E55" i="1"/>
  <c r="D54" i="1"/>
  <c r="E54" i="1"/>
  <c r="D53" i="1"/>
  <c r="E53" i="1"/>
  <c r="D52" i="1"/>
  <c r="E52" i="1"/>
  <c r="D51" i="1"/>
  <c r="E51" i="1"/>
  <c r="D50" i="1"/>
  <c r="E50" i="1"/>
  <c r="D49" i="1"/>
  <c r="E49" i="1"/>
  <c r="D48" i="1"/>
  <c r="E48" i="1"/>
  <c r="D47" i="1"/>
  <c r="E47" i="1"/>
  <c r="D46" i="1"/>
  <c r="E46" i="1"/>
  <c r="D45" i="1"/>
  <c r="E45" i="1"/>
  <c r="D44" i="1"/>
  <c r="E44" i="1"/>
  <c r="D43" i="1"/>
  <c r="E43" i="1"/>
  <c r="D42" i="1"/>
  <c r="E42" i="1"/>
  <c r="D41" i="1"/>
  <c r="E41" i="1"/>
  <c r="D40" i="1"/>
  <c r="E40" i="1"/>
  <c r="D39" i="1"/>
  <c r="E39" i="1"/>
  <c r="D38" i="1"/>
  <c r="E38" i="1"/>
  <c r="D37" i="1"/>
  <c r="E37" i="1"/>
  <c r="D36" i="1"/>
  <c r="E36" i="1"/>
  <c r="D35" i="1"/>
  <c r="E35" i="1"/>
  <c r="D34" i="1"/>
  <c r="E34" i="1"/>
  <c r="D33" i="1"/>
  <c r="E33" i="1"/>
  <c r="D32" i="1"/>
  <c r="E32" i="1"/>
  <c r="D31" i="1"/>
  <c r="E31" i="1"/>
  <c r="D30" i="1"/>
  <c r="E30" i="1"/>
  <c r="D29" i="1"/>
  <c r="E29" i="1"/>
  <c r="D28" i="1"/>
  <c r="E28" i="1"/>
  <c r="D27" i="1"/>
  <c r="E27" i="1"/>
  <c r="D26" i="1"/>
  <c r="E26" i="1"/>
  <c r="D25" i="1"/>
  <c r="E25" i="1"/>
  <c r="D24" i="1"/>
  <c r="E24" i="1"/>
  <c r="D23" i="1"/>
  <c r="E23" i="1"/>
  <c r="D22" i="1"/>
  <c r="E22" i="1"/>
  <c r="D21" i="1"/>
  <c r="E21" i="1"/>
  <c r="D20" i="1"/>
  <c r="E20" i="1"/>
  <c r="D19" i="1"/>
  <c r="E19" i="1"/>
  <c r="D18" i="1"/>
  <c r="E18" i="1"/>
  <c r="D17" i="1"/>
  <c r="E17" i="1"/>
  <c r="D16" i="1"/>
  <c r="E16" i="1"/>
  <c r="D15" i="1"/>
  <c r="E15" i="1"/>
  <c r="D14" i="1"/>
  <c r="E14" i="1"/>
  <c r="D13" i="1"/>
  <c r="E13" i="1"/>
  <c r="D12" i="1"/>
  <c r="E12" i="1"/>
  <c r="D11" i="1"/>
  <c r="E11" i="1"/>
  <c r="D10" i="1"/>
  <c r="E10" i="1"/>
  <c r="D9" i="1"/>
  <c r="E9" i="1"/>
  <c r="D8" i="1"/>
  <c r="E8" i="1"/>
  <c r="D7" i="1"/>
  <c r="E7" i="1"/>
  <c r="D6" i="1"/>
  <c r="E6" i="1"/>
  <c r="D5" i="1"/>
  <c r="E5" i="1"/>
  <c r="D4" i="1"/>
  <c r="E4" i="1"/>
  <c r="D3" i="1"/>
  <c r="E3" i="1"/>
  <c r="D2" i="1"/>
  <c r="E2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<sst xmlns="http://schemas.openxmlformats.org/spreadsheetml/2006/main" count="7673" uniqueCount="1523">
  <si>
    <t>2019S000659</t>
  </si>
  <si>
    <t>CALL. CASTELLO / CALL. DON RAMON DE LA CRUZ</t>
  </si>
  <si>
    <t>SALAMANCA</t>
  </si>
  <si>
    <t>2019S000036</t>
  </si>
  <si>
    <t>AVDA. GRAN VIA DE HORTALEZA / GTA. LUIS ROSALES</t>
  </si>
  <si>
    <t>HORTALEZA</t>
  </si>
  <si>
    <t>2019S000133</t>
  </si>
  <si>
    <t>CALL. FELIPE ALVAREZ</t>
  </si>
  <si>
    <t>VILLA DE VALLECAS</t>
  </si>
  <si>
    <t>2019S000132</t>
  </si>
  <si>
    <t>AVDA. SANTA EUGENIA / CALL. REAL DE ARGANDA</t>
  </si>
  <si>
    <t>2019S000045</t>
  </si>
  <si>
    <t>CTRA. DEHESA DE LA VILLA</t>
  </si>
  <si>
    <t>MONCLOA-ARAVACA</t>
  </si>
  <si>
    <t>2019S000306</t>
  </si>
  <si>
    <t>CALL. PRADILLO</t>
  </si>
  <si>
    <t>CHAMARTÍN</t>
  </si>
  <si>
    <t>2019S000641</t>
  </si>
  <si>
    <t>CALL. CAÑON DEL RIO LOBOS</t>
  </si>
  <si>
    <t>MORATALAZ</t>
  </si>
  <si>
    <t>2019S000904</t>
  </si>
  <si>
    <t>CALL. NUESTRA SEÑORA DE VALVERDE / CALL. DOCTOR JUAN BRAVO</t>
  </si>
  <si>
    <t>FUENCARRAL-EL PARDO</t>
  </si>
  <si>
    <t>2019S002373</t>
  </si>
  <si>
    <t>CALL. PUERTO DE LA CRUZ VERDE</t>
  </si>
  <si>
    <t>ARGANZUELA</t>
  </si>
  <si>
    <t>2019S001738</t>
  </si>
  <si>
    <t>C/ MONASTERIO DE ARLANZA-AV. SANTUARIO DE VALVERDE</t>
  </si>
  <si>
    <t>2019S001943</t>
  </si>
  <si>
    <t>CALL. ANTONIO DE LEYVA</t>
  </si>
  <si>
    <t>CARABANCHEL</t>
  </si>
  <si>
    <t>2019S001678</t>
  </si>
  <si>
    <t>CALL. GRAN VIA</t>
  </si>
  <si>
    <t>CENTRO</t>
  </si>
  <si>
    <t/>
  </si>
  <si>
    <t>2019S002882</t>
  </si>
  <si>
    <t>PASEO. JUAN ANTONIO VALLEJO-NAJERA BOTAS / CALL. GASOMETRO</t>
  </si>
  <si>
    <t>2019S003283</t>
  </si>
  <si>
    <t>CALL. GRAN VIA / CALL. SAN BERNARDO</t>
  </si>
  <si>
    <t>2019S002594</t>
  </si>
  <si>
    <t>POLIG. ALUCHE-AVENIDA DE LOS POBLADOS / CALL. SECOYA</t>
  </si>
  <si>
    <t>LATINA</t>
  </si>
  <si>
    <t>2019S006584</t>
  </si>
  <si>
    <t>CALL. GENERAL RICARDOS / GTA. VALLE DE ORO</t>
  </si>
  <si>
    <t>2019S002591</t>
  </si>
  <si>
    <t>AVDA. POBLADOS / CALL. SECOYA</t>
  </si>
  <si>
    <t>2019S003364</t>
  </si>
  <si>
    <t>AVDA. ENSANCHE DE VALLECAS</t>
  </si>
  <si>
    <t>2019S002704</t>
  </si>
  <si>
    <t>CALL. SANCHIDRIAN</t>
  </si>
  <si>
    <t>2019S003463</t>
  </si>
  <si>
    <t>CALL. MIGUEL ANGEL / PASEO. GENERAL MARTINEZ CAMPOS</t>
  </si>
  <si>
    <t>CHAMBERÍ</t>
  </si>
  <si>
    <t>2019S004134</t>
  </si>
  <si>
    <t>PASEO. EL PARDO</t>
  </si>
  <si>
    <t>2019S003277</t>
  </si>
  <si>
    <t>CALL. SANTA GENOVEVA / PLAZA. AGUSTIN GONZALEZ</t>
  </si>
  <si>
    <t>CIUDAD LINEAL</t>
  </si>
  <si>
    <t>2019S002788</t>
  </si>
  <si>
    <t>CALL. FLORA</t>
  </si>
  <si>
    <t>2019S003749</t>
  </si>
  <si>
    <t>PLAZA. CONDE DEL VALLE DE SUCHIL</t>
  </si>
  <si>
    <t>2019S003306</t>
  </si>
  <si>
    <t>AVDA. DAROCA / CALL. NICOLAS SALMERON</t>
  </si>
  <si>
    <t>2019S004601</t>
  </si>
  <si>
    <t>CALL. ARENAL / CALL. DONADOS</t>
  </si>
  <si>
    <t>2019S004151</t>
  </si>
  <si>
    <t>CALL. SERRANO</t>
  </si>
  <si>
    <t>2019S003662</t>
  </si>
  <si>
    <t>CALL. DOCE DE OCTUBRE</t>
  </si>
  <si>
    <t>RETIRO</t>
  </si>
  <si>
    <t>2019S004271</t>
  </si>
  <si>
    <t>AVDA. FERMINA SEVILLANO</t>
  </si>
  <si>
    <t>SAN BLAS-CANILLEJAS</t>
  </si>
  <si>
    <t>2019S005101</t>
  </si>
  <si>
    <t>CALL. VILLABLANCA</t>
  </si>
  <si>
    <t>VICÁLVARO</t>
  </si>
  <si>
    <t>2019S004769</t>
  </si>
  <si>
    <t>CALL. GENOVA</t>
  </si>
  <si>
    <t>2019S004528</t>
  </si>
  <si>
    <t>PLAZA. INDEPENDENCIA / CALL. ALCALA</t>
  </si>
  <si>
    <t>2019S004582</t>
  </si>
  <si>
    <t>CTRA. EL PARDO A FUENCARRAL</t>
  </si>
  <si>
    <t>2019S004939</t>
  </si>
  <si>
    <t>CALL. SAN ENRIQUE DE OSSO</t>
  </si>
  <si>
    <t>2019S005062</t>
  </si>
  <si>
    <t>AVDA. ALBUFERA</t>
  </si>
  <si>
    <t>PUENTE DE VALLECAS</t>
  </si>
  <si>
    <t>2019S007634</t>
  </si>
  <si>
    <t>AVDA. ALBUFERA / CALL. PUERTO DE CANFRANC</t>
  </si>
  <si>
    <t>2019S005036</t>
  </si>
  <si>
    <t>CALL. BRAVO MURILLO / CALL. PENSAMIENTO</t>
  </si>
  <si>
    <t>TETUÁN</t>
  </si>
  <si>
    <t>2019S005992</t>
  </si>
  <si>
    <t>CALLE ALFONSO XI , CALLE ALCALA</t>
  </si>
  <si>
    <t>2019S010907</t>
  </si>
  <si>
    <t>2019S006032</t>
  </si>
  <si>
    <t>CALL. MARIA DE MOLINA</t>
  </si>
  <si>
    <t>2019S006501</t>
  </si>
  <si>
    <t>CALL. ALCALA</t>
  </si>
  <si>
    <t>2019S006478</t>
  </si>
  <si>
    <t>CALL. MENDEZ ALVARO / CALL. TITAN</t>
  </si>
  <si>
    <t>2019S013729</t>
  </si>
  <si>
    <t>PASEO. RECOLETOS</t>
  </si>
  <si>
    <t>2019S006655</t>
  </si>
  <si>
    <t>AVDA. CARABANCHEL ALTO</t>
  </si>
  <si>
    <t>2019S006649</t>
  </si>
  <si>
    <t>CALL. TOMASA RUIZ</t>
  </si>
  <si>
    <t>2019S007855</t>
  </si>
  <si>
    <t>CALL. DOCTOR ESQUERDO / CALL. DOCTOR ESQUERDO</t>
  </si>
  <si>
    <t>2019S008460</t>
  </si>
  <si>
    <t>CALL. SANTA ENGRACIA / CALL. RIOS ROSAS</t>
  </si>
  <si>
    <t>2019S007891</t>
  </si>
  <si>
    <t>CALL. FRANCISCO SANTOS / CALL. MARTINEZ IZQUIERDO</t>
  </si>
  <si>
    <t>2019S010276</t>
  </si>
  <si>
    <t>CALL. MARTINEZ DE LA RIVA</t>
  </si>
  <si>
    <t>2019S007920</t>
  </si>
  <si>
    <t>CALL. MARCELO USERA / CALL. MANUEL NOYA</t>
  </si>
  <si>
    <t>USERA</t>
  </si>
  <si>
    <t>2019S007753</t>
  </si>
  <si>
    <t>2019S008637</t>
  </si>
  <si>
    <t>CALL. ALTAMIRANO / PASEO. PINTOR ROSALES</t>
  </si>
  <si>
    <t>2019S008855</t>
  </si>
  <si>
    <t>CALL. AGUSTIN DE FOXA</t>
  </si>
  <si>
    <t>2019S008627</t>
  </si>
  <si>
    <t>2019S009150</t>
  </si>
  <si>
    <t>CALL. GRAN VIA / CALL. ALCALA</t>
  </si>
  <si>
    <t>2019S008489</t>
  </si>
  <si>
    <t>CALL. JUAN BRAVO</t>
  </si>
  <si>
    <t>2019S008448</t>
  </si>
  <si>
    <t>AVDA. LLANO CASTELLANO / AVDA. CARDENAL HERRERA ORIA</t>
  </si>
  <si>
    <t>2019S009106</t>
  </si>
  <si>
    <t>CALL. PRINCIPE DE VERGARA / GTA. LOPEZ DE HOYOS</t>
  </si>
  <si>
    <t>2019S009136</t>
  </si>
  <si>
    <t>CALL. VALLEHERMOSO / CALL. FERNANDEZ DE LOS RIOS</t>
  </si>
  <si>
    <t>2019S009001</t>
  </si>
  <si>
    <t>2019S009731</t>
  </si>
  <si>
    <t>2019S009806</t>
  </si>
  <si>
    <t>CALL. MESON DE PAREDES / CALL. JUANELO</t>
  </si>
  <si>
    <t>2019S009733</t>
  </si>
  <si>
    <t>PASEO. REINA CRISTINA / CALL. ANDRES TORREJON</t>
  </si>
  <si>
    <t>2019S009715</t>
  </si>
  <si>
    <t>CALL. PRINCIPE DE VERGARA</t>
  </si>
  <si>
    <t>2019S009957</t>
  </si>
  <si>
    <t>2019S009942</t>
  </si>
  <si>
    <t>2019S010289</t>
  </si>
  <si>
    <t>CALL. MIGUEL ANGEL</t>
  </si>
  <si>
    <t>2019S010293</t>
  </si>
  <si>
    <t>PASEO. PRADO</t>
  </si>
  <si>
    <t>2019S010365</t>
  </si>
  <si>
    <t>GTA. QUEVEDO / CALL. SAN BERNARDO</t>
  </si>
  <si>
    <t>2019S010852</t>
  </si>
  <si>
    <t>CALL. SILVANO / CALL. FRANCISCO MOSQUEDA</t>
  </si>
  <si>
    <t>2019S010360</t>
  </si>
  <si>
    <t>CALL. CONDE DE PEÑALVER</t>
  </si>
  <si>
    <t>2019S010849</t>
  </si>
  <si>
    <t>CALL. SANTA ENGRACIA</t>
  </si>
  <si>
    <t>2019S010716</t>
  </si>
  <si>
    <t>AVDA. MENENDEZ PELAYO</t>
  </si>
  <si>
    <t>2019S010855</t>
  </si>
  <si>
    <t>AUTOV. M-40 CON AVDA. DOCTOR GARCIA TAPIA</t>
  </si>
  <si>
    <t>2019S010653</t>
  </si>
  <si>
    <t>PASEO. INFANTA ISABEL</t>
  </si>
  <si>
    <t>2019S010951</t>
  </si>
  <si>
    <t>GTA. ANGEL CAIDO</t>
  </si>
  <si>
    <t>2019S011338</t>
  </si>
  <si>
    <t>CALL. JOAQUIN TURINA</t>
  </si>
  <si>
    <t>2019S011335</t>
  </si>
  <si>
    <t>PASEO. CHOPERA</t>
  </si>
  <si>
    <t>2019S011089</t>
  </si>
  <si>
    <t>RONDA DE VALENCIA CON GLORIETA DE EMBAJADORES</t>
  </si>
  <si>
    <t>2019S011128</t>
  </si>
  <si>
    <t>AVDA. POBLADOS / CALL. ANTONIO ROMERO</t>
  </si>
  <si>
    <t>2019S012186</t>
  </si>
  <si>
    <t>CALL. IGLESIAS EXTRAMUROS / AVDA. PESETA</t>
  </si>
  <si>
    <t>2019S013666</t>
  </si>
  <si>
    <t>CALL. MANCHA / AVDA. ENTREVIAS</t>
  </si>
  <si>
    <t>2019S012142</t>
  </si>
  <si>
    <t>CALL. ATOCHA</t>
  </si>
  <si>
    <t>2019S014246</t>
  </si>
  <si>
    <t>CALL. GENERAL RICARDOS</t>
  </si>
  <si>
    <t>2019S013090</t>
  </si>
  <si>
    <t>PLAZA. ESPAÑA</t>
  </si>
  <si>
    <t>2019S013198</t>
  </si>
  <si>
    <t>CALL. PARROCO EUSEBIO CUENCA</t>
  </si>
  <si>
    <t>2019S013570</t>
  </si>
  <si>
    <t>CALL. ESPARTEROS</t>
  </si>
  <si>
    <t>2019S014478</t>
  </si>
  <si>
    <t>CALL. MELILOTO / CALL. NOPALERA</t>
  </si>
  <si>
    <t>2019S013812</t>
  </si>
  <si>
    <t>PASEO. GENERAL MARTINEZ CAMPOS / CALL. MODESTO LAFUENTE</t>
  </si>
  <si>
    <t>2019S013751</t>
  </si>
  <si>
    <t>PASEO. FERNAN NUÑEZ / PASEO. VENEZUELA</t>
  </si>
  <si>
    <t>2019S013863</t>
  </si>
  <si>
    <t>GTA. SINTRA / CALL. VIA DE DUBLIN</t>
  </si>
  <si>
    <t>BARAJAS</t>
  </si>
  <si>
    <t>2019S013888</t>
  </si>
  <si>
    <t>PASEO. CASTELLANA</t>
  </si>
  <si>
    <t>2019S014004</t>
  </si>
  <si>
    <t>2019S013999</t>
  </si>
  <si>
    <t>CALL. MODESTO LAFUENTE</t>
  </si>
  <si>
    <t>2019S014016</t>
  </si>
  <si>
    <t>CALL. HACIENDA DE PAVONES / CALL. BRUJAS</t>
  </si>
  <si>
    <t>2019S014153</t>
  </si>
  <si>
    <t>RONDA. ATOCHA</t>
  </si>
  <si>
    <t>2019S014125</t>
  </si>
  <si>
    <t>CALL. RAIMUNDO FERNANDEZ VILLAVERDE / PASEO. CASTELLANA</t>
  </si>
  <si>
    <t>2019S014113</t>
  </si>
  <si>
    <t>PASEO. MOLINO</t>
  </si>
  <si>
    <t>2019S013972</t>
  </si>
  <si>
    <t>2019S014196</t>
  </si>
  <si>
    <t>PLAZA. EMPERADOR CARLOS V</t>
  </si>
  <si>
    <t>2019S014242</t>
  </si>
  <si>
    <t>CALL. PRINCESA / CALL. HILARION ESLAVA</t>
  </si>
  <si>
    <t>2019S014256</t>
  </si>
  <si>
    <t>CALL. ARROYO DE LA MEDIA LEGUA / CALL. CORREGIDOR DIEGO CABEZA DE VACA</t>
  </si>
  <si>
    <t>2019S014263</t>
  </si>
  <si>
    <t>CALL. ALFONSO XII / CALL. MONTALBAN</t>
  </si>
  <si>
    <t>2019S014303</t>
  </si>
  <si>
    <t>2019S014289</t>
  </si>
  <si>
    <t>2019S014327</t>
  </si>
  <si>
    <t>CALL. TRESPADERNE / AVDA. SUR DEL AEROPUERTO DE BARAJAS</t>
  </si>
  <si>
    <t>2019S014416</t>
  </si>
  <si>
    <t>CALL. ALBAIDA</t>
  </si>
  <si>
    <t>2019S015623</t>
  </si>
  <si>
    <t>PLAZA. CARDENAL CISNEROS / AVDA. COMPLUTENSE</t>
  </si>
  <si>
    <t>2019S015708</t>
  </si>
  <si>
    <t>CALL. PRINCIPE CARLOS / CALL. MARIA TUDOR</t>
  </si>
  <si>
    <t>2019S014722</t>
  </si>
  <si>
    <t>AVDA. PARTENON</t>
  </si>
  <si>
    <t>2019S014661</t>
  </si>
  <si>
    <t>PASEO. CASTELLANA / CALL. RAIMUNDO FERNANDEZ VILLAVERDE</t>
  </si>
  <si>
    <t>2019S016583</t>
  </si>
  <si>
    <t>CALL. LOPEZ GRASS / AVDA. ALBUFERA</t>
  </si>
  <si>
    <t>2019S015339</t>
  </si>
  <si>
    <t>AVDA. PORTUGAL</t>
  </si>
  <si>
    <t>2019S015263</t>
  </si>
  <si>
    <t>PASEO. ERMITA DEL SANTO / CALL. VIA CARPETANA</t>
  </si>
  <si>
    <t>2019S016088</t>
  </si>
  <si>
    <t>AVDA. INGENIERO EMILIO HERRERA</t>
  </si>
  <si>
    <t>2019S015228</t>
  </si>
  <si>
    <t>CALL. SANTA ADELA</t>
  </si>
  <si>
    <t>2019S015475</t>
  </si>
  <si>
    <t>PLAZA. ESPAÑA / CALL. BAILEN</t>
  </si>
  <si>
    <t>2019S015481</t>
  </si>
  <si>
    <t>CALL. ALCALDE SAINZ DE BARANDA / AUTOV. M-30</t>
  </si>
  <si>
    <t>2019S015537</t>
  </si>
  <si>
    <t>CALL. ALCOCER / AVDA. ANDALUCIA</t>
  </si>
  <si>
    <t>VILLAVERDE</t>
  </si>
  <si>
    <t>2019S017801</t>
  </si>
  <si>
    <t>CALL. REGUERA DE TOMATEROS</t>
  </si>
  <si>
    <t>2019S015559</t>
  </si>
  <si>
    <t>CALLE JORGE MANRIQUE - CALLE SERRANO</t>
  </si>
  <si>
    <t>2019S016418</t>
  </si>
  <si>
    <t>CALL. DOLORES BARRANCO / CALL. NICOLAS SANCHEZ</t>
  </si>
  <si>
    <t>2019S016649</t>
  </si>
  <si>
    <t>AVDA. VICTORIA</t>
  </si>
  <si>
    <t>2019S016157</t>
  </si>
  <si>
    <t>CALL. BRAVO MURILLO</t>
  </si>
  <si>
    <t>2019S016203</t>
  </si>
  <si>
    <t>AVDA. CIUDAD DE BARCELONA / CALL. SECO</t>
  </si>
  <si>
    <t>2019S016220</t>
  </si>
  <si>
    <t>CALL. O'DONNELL</t>
  </si>
  <si>
    <t>2019S016338</t>
  </si>
  <si>
    <t>CALL. ALMAGRO</t>
  </si>
  <si>
    <t>2019S016463</t>
  </si>
  <si>
    <t>AVDA. NICETO ALCALA ZAMORA / CALL. JULIO CASARES</t>
  </si>
  <si>
    <t>2019S017986</t>
  </si>
  <si>
    <t>CALL. LUIS DE GONGORA / CALL. GRAVINA</t>
  </si>
  <si>
    <t>2019S016402</t>
  </si>
  <si>
    <t>PASEO. LA HABANA</t>
  </si>
  <si>
    <t>2019S018901</t>
  </si>
  <si>
    <t>AVDA. MANZANARES</t>
  </si>
  <si>
    <t>2019S017808</t>
  </si>
  <si>
    <t>PQUE. MADRID RIO, +00700E</t>
  </si>
  <si>
    <t>2019S016322</t>
  </si>
  <si>
    <t>CALL. SUECIA / AVDA. CANILLEJAS A VICALVARO</t>
  </si>
  <si>
    <t>2019S016482</t>
  </si>
  <si>
    <t>CALL. SAN BERNARDO</t>
  </si>
  <si>
    <t>2019S016359</t>
  </si>
  <si>
    <t>CUSTA. SAN VICENTE / CALL. BAILEN</t>
  </si>
  <si>
    <t>2019S017168</t>
  </si>
  <si>
    <t>PLAZA. LEALTAD / PASEO. PRADO</t>
  </si>
  <si>
    <t>2019S016675</t>
  </si>
  <si>
    <t>CALL. SANTA CRUZ DE RETAMAR / AVDA. MIGUEL HERNANDEZ</t>
  </si>
  <si>
    <t>2019S017217</t>
  </si>
  <si>
    <t>CALLE ALACALA - PASEO DEL PRADO</t>
  </si>
  <si>
    <t>2019S016679</t>
  </si>
  <si>
    <t>AVDA. ENSANCHE DE VALLECAS / AVDA. LA GAVIA</t>
  </si>
  <si>
    <t>2019S016549</t>
  </si>
  <si>
    <t>PASEO. ERMITA DEL SANTO / GTA. PUENTE DE SEGOVIA</t>
  </si>
  <si>
    <t>2019S017107</t>
  </si>
  <si>
    <t>CALL. JOSE SILVA</t>
  </si>
  <si>
    <t>2019S016753</t>
  </si>
  <si>
    <t>CALL. HULLA / AVDA. LOS ROSALES</t>
  </si>
  <si>
    <t>2019S016752</t>
  </si>
  <si>
    <t>2019S016975</t>
  </si>
  <si>
    <t>PASEO. LA HABANA / CALL. SANTIAGO BERNABEU</t>
  </si>
  <si>
    <t>2019S016943</t>
  </si>
  <si>
    <t>GTA. MARQUES DE VADILLO / PNTE. TOLEDO</t>
  </si>
  <si>
    <t>2019S017125</t>
  </si>
  <si>
    <t>CALL. HORTALEZA</t>
  </si>
  <si>
    <t>2019S017287</t>
  </si>
  <si>
    <t>CALL. RETAMA / CALL. ACANTO</t>
  </si>
  <si>
    <t>2019S016996</t>
  </si>
  <si>
    <t>2019S017942</t>
  </si>
  <si>
    <t>2019S017198</t>
  </si>
  <si>
    <t>CALL. PORTOMARIN</t>
  </si>
  <si>
    <t>2019S033688</t>
  </si>
  <si>
    <t>CALL. ALCANTARA</t>
  </si>
  <si>
    <t>2019S017304</t>
  </si>
  <si>
    <t>CALL. JOAQUIN COSTA, FRENTE Nº 6</t>
  </si>
  <si>
    <t>2019S017391</t>
  </si>
  <si>
    <t>CALL. MANCHA</t>
  </si>
  <si>
    <t>2019S017272</t>
  </si>
  <si>
    <t>PLAZA. CIBELES / CALL. ALCALA</t>
  </si>
  <si>
    <t>2019S017367</t>
  </si>
  <si>
    <t>PLAZA. EMPERADOR CARLOS V / CALL. SANTA ISABEL</t>
  </si>
  <si>
    <t>2019S017434</t>
  </si>
  <si>
    <t>CALL. ARROYO FONTARRON</t>
  </si>
  <si>
    <t>2019S017393</t>
  </si>
  <si>
    <t>AVDA. GRAN VIA DE SAN FRANCISCO</t>
  </si>
  <si>
    <t>2019S017448</t>
  </si>
  <si>
    <t>CALL. FERNANDEZ DE LOS RIOS</t>
  </si>
  <si>
    <t>2019S017589</t>
  </si>
  <si>
    <t>AVDA. RAFAELA YBARRA</t>
  </si>
  <si>
    <t>2019S017586</t>
  </si>
  <si>
    <t>AVDA. MIRAFLORES</t>
  </si>
  <si>
    <t>2019S017501</t>
  </si>
  <si>
    <t>CALL. ORENSE</t>
  </si>
  <si>
    <t>2019S017608</t>
  </si>
  <si>
    <t>AVDA. SECUNDINO ZUAZO / CALL. CESAR CORT BOTI</t>
  </si>
  <si>
    <t>2019S017644</t>
  </si>
  <si>
    <t>CALL. JUAN DUQUE / CALL. MORENO NIETO</t>
  </si>
  <si>
    <t>2019S017566</t>
  </si>
  <si>
    <t>GTA. ERMITA DE LA VIRGEN DE LA SOLEDAD</t>
  </si>
  <si>
    <t>2019S018985</t>
  </si>
  <si>
    <t>AVDA. MIGUEL HERNANDEZ / CALL. LEON FELIPE</t>
  </si>
  <si>
    <t>2019S017718</t>
  </si>
  <si>
    <t>2019S018907</t>
  </si>
  <si>
    <t>PASEO. DELICIAS</t>
  </si>
  <si>
    <t>2019S017848</t>
  </si>
  <si>
    <t>JUNTO A HUERTA DE LA PARTIDA</t>
  </si>
  <si>
    <t>2019S017836</t>
  </si>
  <si>
    <t>RONDA. TOLEDO</t>
  </si>
  <si>
    <t>2019S017764</t>
  </si>
  <si>
    <t>2019S017873</t>
  </si>
  <si>
    <t>AUTOV. M-607, +01500S</t>
  </si>
  <si>
    <t>2019S018185</t>
  </si>
  <si>
    <t>IDB. PARQUE LINEAL DEL MANZANARES</t>
  </si>
  <si>
    <t>2019S017988</t>
  </si>
  <si>
    <t>AVDA. DOCTOR GARCIA TAPIA</t>
  </si>
  <si>
    <t>2019S018020</t>
  </si>
  <si>
    <t>CALL. GRAN VIA / METRO. PLAZA DE ESPAÑA</t>
  </si>
  <si>
    <t>2019S018298</t>
  </si>
  <si>
    <t>CALL. ARRIAGA / CALL. FERNANDO GABRIEL</t>
  </si>
  <si>
    <t>2019S018249</t>
  </si>
  <si>
    <t>CALL. MIGUEL ARREDONDO / CALL. ALONSO CARBONELL</t>
  </si>
  <si>
    <t>2019S018366</t>
  </si>
  <si>
    <t>CALL. VICTORIA</t>
  </si>
  <si>
    <t>2019S018235</t>
  </si>
  <si>
    <t>2019S018345</t>
  </si>
  <si>
    <t>CALL. DOBLA / AVDA. POBLADOS</t>
  </si>
  <si>
    <t>2019S018545</t>
  </si>
  <si>
    <t>2019S018498</t>
  </si>
  <si>
    <t>CALL. DOLORES BARRANCO / CALL. JUSTA GARCIA</t>
  </si>
  <si>
    <t>2019S018787</t>
  </si>
  <si>
    <t>CALL. EXPLANADA / CALL. PEDRO JUSTO DORADO DELLMANS</t>
  </si>
  <si>
    <t>2019S018461</t>
  </si>
  <si>
    <t>PASEO. RECOLETOS / CALL. GENOVA</t>
  </si>
  <si>
    <t>2019S018517</t>
  </si>
  <si>
    <t>2019S018494</t>
  </si>
  <si>
    <t>PASEO. FERNAN NUÑEZ</t>
  </si>
  <si>
    <t>2019S018483</t>
  </si>
  <si>
    <t>AVENIDA CANILLEJAS A VICÁLVARO CON GLORIETA M-40</t>
  </si>
  <si>
    <t>2019S018656</t>
  </si>
  <si>
    <t>CALL. LUCHANA</t>
  </si>
  <si>
    <t>2019S018552</t>
  </si>
  <si>
    <t>CALL. SAN GERMAN / CALL. POETA JOAN MARAGALL</t>
  </si>
  <si>
    <t>2019S019332</t>
  </si>
  <si>
    <t>PASEO. EXTREMADURA</t>
  </si>
  <si>
    <t>2019S018655</t>
  </si>
  <si>
    <t>CALL. BARCO</t>
  </si>
  <si>
    <t>2019S018648</t>
  </si>
  <si>
    <t>CALL. POETA JOAN MARAGALL / CALL. SOR ANGELA DE LA CRUZ</t>
  </si>
  <si>
    <t>2019S018960</t>
  </si>
  <si>
    <t>CALL. MESON DE PAREDES / RONDA. VALENCIA</t>
  </si>
  <si>
    <t>2019S018950</t>
  </si>
  <si>
    <t>CALL. CLAUDIO MOYANO / PASEO. PRADO</t>
  </si>
  <si>
    <t>2019S018902</t>
  </si>
  <si>
    <t>CALL. SANTA ISABEL</t>
  </si>
  <si>
    <t>2019S019124</t>
  </si>
  <si>
    <t>CALL. DOCTOR TOLOSA LATOUR</t>
  </si>
  <si>
    <t>2019S019254</t>
  </si>
  <si>
    <t>CALL. GILENA</t>
  </si>
  <si>
    <t>2019S019257</t>
  </si>
  <si>
    <t>2019S019263</t>
  </si>
  <si>
    <t>PQUE. JUAN CARLOS I</t>
  </si>
  <si>
    <t>2019S019405</t>
  </si>
  <si>
    <t>AVDA. LAS FUERZAS ARMADAS</t>
  </si>
  <si>
    <t>2019S019391</t>
  </si>
  <si>
    <t>CUSTA. SANTO DOMINGO / CALL. FOMENTO</t>
  </si>
  <si>
    <t>2019S019554</t>
  </si>
  <si>
    <t>CALL. ARROYO BELINCOSO</t>
  </si>
  <si>
    <t>2019S019536</t>
  </si>
  <si>
    <t>CALL. GOBELAS / CALL. GUECHO</t>
  </si>
  <si>
    <t>2019S019779</t>
  </si>
  <si>
    <t>2019S019885</t>
  </si>
  <si>
    <t>2019S020144</t>
  </si>
  <si>
    <t>AVDA. COMUNIDADES / AVDA. DEMOCRACIA</t>
  </si>
  <si>
    <t>2019S019733</t>
  </si>
  <si>
    <t>CALL. JULIA GARCIA BOUTAN / CALL. SOFIA</t>
  </si>
  <si>
    <t>2019S019986</t>
  </si>
  <si>
    <t>CTRA. M-616, +00600S</t>
  </si>
  <si>
    <t>2019S020003</t>
  </si>
  <si>
    <t>PLAZA. ALONSO MARTINEZ</t>
  </si>
  <si>
    <t>2019S019899</t>
  </si>
  <si>
    <t>CALL. ALCALA / CALL. LOS URQUIZA</t>
  </si>
  <si>
    <t>2019S020247</t>
  </si>
  <si>
    <t>BULEV. JOSE PRAT / CALL. HACIENDA DE PAVONES</t>
  </si>
  <si>
    <t>2019S020462</t>
  </si>
  <si>
    <t>CALL. SANTA CATALINA / CRA. SAN JERONIMO</t>
  </si>
  <si>
    <t>2019S020351</t>
  </si>
  <si>
    <t>CALL. CEA BERMUDEZ / CALL. BRAVO MURILLO</t>
  </si>
  <si>
    <t>2019S020422</t>
  </si>
  <si>
    <t>PASEO. ESPERANZA</t>
  </si>
  <si>
    <t>2019S020574</t>
  </si>
  <si>
    <t>CALL. SESEÑA</t>
  </si>
  <si>
    <t>2019S020466</t>
  </si>
  <si>
    <t>2019S020459</t>
  </si>
  <si>
    <t>2019S020599</t>
  </si>
  <si>
    <t>CALL. ALCALA / CALL. VELAZQUEZ</t>
  </si>
  <si>
    <t>2019S020579</t>
  </si>
  <si>
    <t>2019S020526</t>
  </si>
  <si>
    <t>CALL. SANTA ENGRACIA / CALL. MANUEL GONZALEZ LONGORIA</t>
  </si>
  <si>
    <t>2019S020547</t>
  </si>
  <si>
    <t>CALL. ALCALA / PALAC. CIBELES</t>
  </si>
  <si>
    <t>2019S020756</t>
  </si>
  <si>
    <t>CALL. HERNANI</t>
  </si>
  <si>
    <t>2019S020733</t>
  </si>
  <si>
    <t>CALL. JUAN IGNACIO LUCA DE TENA</t>
  </si>
  <si>
    <t>2019S020821</t>
  </si>
  <si>
    <t>AVDA. POBLADOS</t>
  </si>
  <si>
    <t>2019S020721</t>
  </si>
  <si>
    <t>AVDA. ASTURIAS</t>
  </si>
  <si>
    <t>2019S021283</t>
  </si>
  <si>
    <t>MADRID RIO</t>
  </si>
  <si>
    <t>2019S020803</t>
  </si>
  <si>
    <t>2019S020683</t>
  </si>
  <si>
    <t>2019S021095</t>
  </si>
  <si>
    <t>CALL. GABRIELA MISTRAL</t>
  </si>
  <si>
    <t>2019S020921</t>
  </si>
  <si>
    <t>PASEO. PLATANOS / PASEO. PUERTA DEL ANGEL</t>
  </si>
  <si>
    <t>2019S021189</t>
  </si>
  <si>
    <t>AVDA. CERRO MILANO</t>
  </si>
  <si>
    <t>2019S020923</t>
  </si>
  <si>
    <t>CALL. MARQUES DE VIANA</t>
  </si>
  <si>
    <t>2019S021387</t>
  </si>
  <si>
    <t>CALL. GOYA / CALL. ALCALA</t>
  </si>
  <si>
    <t>2019S021108</t>
  </si>
  <si>
    <t>CALL. HACIENDA DE PAVONES / CALL. LUIS DE HOYOS SAINZ</t>
  </si>
  <si>
    <t>2019S020975</t>
  </si>
  <si>
    <t>PASEO. CASTELLANA / CALL. MARIA DE MOLINA</t>
  </si>
  <si>
    <t>2019S021107</t>
  </si>
  <si>
    <t>AVDA. BADAJOZ / CALL. MADRE ANTONIA PARIS</t>
  </si>
  <si>
    <t>2019S021079</t>
  </si>
  <si>
    <t>CALL. ISABEL LA CATOLICA</t>
  </si>
  <si>
    <t>2019S021149</t>
  </si>
  <si>
    <t>CALL. ALCALA / CALL. RAQUEL MELLER</t>
  </si>
  <si>
    <t>2019S021207</t>
  </si>
  <si>
    <t>CALL. PUERTO SERRANO / CALL. PUERTO DE LA CRUZ VERDE</t>
  </si>
  <si>
    <t>2019S021650</t>
  </si>
  <si>
    <t>AVDA. SAN DIEGO / CALL. MONTES UNIVERSALES</t>
  </si>
  <si>
    <t>2019S021302</t>
  </si>
  <si>
    <t>CALL. SEBASTIAN HERRERA</t>
  </si>
  <si>
    <t>2019S021258</t>
  </si>
  <si>
    <t>CALL. BARCELO</t>
  </si>
  <si>
    <t>2019S021343</t>
  </si>
  <si>
    <t>2019S021280</t>
  </si>
  <si>
    <t>CTRA. ESTACION DE HORTALEZA / AUTOV. M-11</t>
  </si>
  <si>
    <t>2019S021200</t>
  </si>
  <si>
    <t>PASEO. ACACIAS</t>
  </si>
  <si>
    <t>2019S021377</t>
  </si>
  <si>
    <t>CALL. JOSE ABASCAL</t>
  </si>
  <si>
    <t>2019S021429</t>
  </si>
  <si>
    <t>2019S021497</t>
  </si>
  <si>
    <t>PASEO. PINTOR ROSALES / PASEO. MORET</t>
  </si>
  <si>
    <t>2019S022216</t>
  </si>
  <si>
    <t>CALL. MAYOR</t>
  </si>
  <si>
    <t>2019S021964</t>
  </si>
  <si>
    <t>CTRA. CIUDAD UNIVERSITARIA / PASEO. VENTA</t>
  </si>
  <si>
    <t>2019S021486</t>
  </si>
  <si>
    <t>AVDA. LOGROÑO / AUTOV. M-40</t>
  </si>
  <si>
    <t>2019S021460</t>
  </si>
  <si>
    <t>2019S021607</t>
  </si>
  <si>
    <t>CALL. PALOMARES / CALL. JUAN PEÑALVER</t>
  </si>
  <si>
    <t>2019S021542</t>
  </si>
  <si>
    <t>2019S021823</t>
  </si>
  <si>
    <t>CALL. RIBERA DE CURTIDORES / CALL. CARNERO</t>
  </si>
  <si>
    <t>2019S021951</t>
  </si>
  <si>
    <t>CALL. ISLA DE YESO</t>
  </si>
  <si>
    <t>2019S021730</t>
  </si>
  <si>
    <t>2019S021808</t>
  </si>
  <si>
    <t>CALL. MALMOE</t>
  </si>
  <si>
    <t>2019S021753</t>
  </si>
  <si>
    <t>CALL. BUSTOS / CALL. SIERRA DE LOS FILABRES</t>
  </si>
  <si>
    <t>2019S021889</t>
  </si>
  <si>
    <t>PQUE. ENRIQUE TIERNO GALVAN</t>
  </si>
  <si>
    <t>2019S021882</t>
  </si>
  <si>
    <t>CALL. MESON DE PAREDES / CALL. TRIBULETE</t>
  </si>
  <si>
    <t>2019S021787</t>
  </si>
  <si>
    <t>PASEO. MARCELINO CAMACHO / CALL. ANTOLINA MERINO</t>
  </si>
  <si>
    <t>2019S021744</t>
  </si>
  <si>
    <t>2019S021969</t>
  </si>
  <si>
    <t>CALL. VAZQUEZ DE MELLA</t>
  </si>
  <si>
    <t>2019S021957</t>
  </si>
  <si>
    <t>CTRA. M-616, +00500S</t>
  </si>
  <si>
    <t>2019S021850</t>
  </si>
  <si>
    <t>CUESTA SANTO DOMINGO. 5</t>
  </si>
  <si>
    <t>2019S022010</t>
  </si>
  <si>
    <t>PLAZA. CASTILLA / PASEO. CASTELLANA</t>
  </si>
  <si>
    <t>2019S022057</t>
  </si>
  <si>
    <t>CALL. LIVERPOOL / CALL. MARIA SEVILLA DIAGO</t>
  </si>
  <si>
    <t>2019S022021</t>
  </si>
  <si>
    <t>2019S022023</t>
  </si>
  <si>
    <t>CALL. MESON DE PAREDES</t>
  </si>
  <si>
    <t>2019S022178</t>
  </si>
  <si>
    <t>CALL. TOLEDO / CALL. CONCEPCION JERONIMA</t>
  </si>
  <si>
    <t>2019S022102</t>
  </si>
  <si>
    <t>PLAZA. MANOLETE</t>
  </si>
  <si>
    <t>2019S022289</t>
  </si>
  <si>
    <t>AVDA. VIRGEN DEL CARMEN</t>
  </si>
  <si>
    <t>2019S023803</t>
  </si>
  <si>
    <t>AVDA. MONTE IGUELDO</t>
  </si>
  <si>
    <t>2019S022320</t>
  </si>
  <si>
    <t>AVDA. LOS ROSALES / CTRA. M-301</t>
  </si>
  <si>
    <t>2019S022327</t>
  </si>
  <si>
    <t>2019S022279</t>
  </si>
  <si>
    <t>CALL. BAILEN</t>
  </si>
  <si>
    <t>2019S022358</t>
  </si>
  <si>
    <t>GTA. PUENTE DE SEGOVIA / PNTE. SEGOVIA</t>
  </si>
  <si>
    <t>2019S022373</t>
  </si>
  <si>
    <t>2019S022484</t>
  </si>
  <si>
    <t>CALL. ATOCHA / CALL. SANTO TOMAS</t>
  </si>
  <si>
    <t>2019S022599</t>
  </si>
  <si>
    <t>2019S022362</t>
  </si>
  <si>
    <t>2019S022613</t>
  </si>
  <si>
    <t>CALL. AYALA / CALL. VELAZQUEZ</t>
  </si>
  <si>
    <t>2019S022605</t>
  </si>
  <si>
    <t>CALL. SANTA POLA</t>
  </si>
  <si>
    <t>2019S022584</t>
  </si>
  <si>
    <t>CALL. PEDRO DE VALDIVIA</t>
  </si>
  <si>
    <t>2019S022596</t>
  </si>
  <si>
    <t>2019S022707</t>
  </si>
  <si>
    <t>2019S022866</t>
  </si>
  <si>
    <t>CALL. FUENTE CARRANTONA / CALL. BENJAMIN PALENCIA</t>
  </si>
  <si>
    <t>2019S022732</t>
  </si>
  <si>
    <t>PQUE. MADRID RIO, +00240E</t>
  </si>
  <si>
    <t>2019S022810</t>
  </si>
  <si>
    <t>SENDA CICLABLE-AV.ROSALES-CARRET.VILLAV. A VALLECA</t>
  </si>
  <si>
    <t>2019S022864</t>
  </si>
  <si>
    <t>CALL. JOSE MARIA PEREDA / CALL. SOR MARIA DE AGREDA</t>
  </si>
  <si>
    <t>2019S022622</t>
  </si>
  <si>
    <t>AVDA. ASTURIAS / CALL. VIA LIMITE</t>
  </si>
  <si>
    <t>2019S023041</t>
  </si>
  <si>
    <t>CALL. PICO DE LA MALICIOSA</t>
  </si>
  <si>
    <t>2019S022833</t>
  </si>
  <si>
    <t>CALL. VIA</t>
  </si>
  <si>
    <t>2019S022753</t>
  </si>
  <si>
    <t>PLAZA SAN FRANCISCO S/N</t>
  </si>
  <si>
    <t>2019S022907</t>
  </si>
  <si>
    <t>2019S022923</t>
  </si>
  <si>
    <t>GTA. RUBEN DARIO</t>
  </si>
  <si>
    <t>2019S023001</t>
  </si>
  <si>
    <t>PASEO. ERMITA DEL SANTO</t>
  </si>
  <si>
    <t>2019S022944</t>
  </si>
  <si>
    <t>CALL. CASTILLO DE MADRIGAL DE LAS ALTAS TORRES</t>
  </si>
  <si>
    <t>2019S022870</t>
  </si>
  <si>
    <t>CALL. MONASTERIO DE SAMOS</t>
  </si>
  <si>
    <t>2019S023033</t>
  </si>
  <si>
    <t>2019S023014</t>
  </si>
  <si>
    <t>PASEO. INFANTA ISABEL / AVDA. CIUDAD DE BARCELONA</t>
  </si>
  <si>
    <t>2019S023089</t>
  </si>
  <si>
    <t>2019S022968</t>
  </si>
  <si>
    <t>CALLE JOAQUIN TURINA-CALLE SITIO DE EL ESCORIAL</t>
  </si>
  <si>
    <t>2019S023533</t>
  </si>
  <si>
    <t>2019S023497</t>
  </si>
  <si>
    <t>CALL. JAVIER DE MIGUEL</t>
  </si>
  <si>
    <t>2019S023273</t>
  </si>
  <si>
    <t>CALL. OCA / CALL. GENERAL RICARDOS</t>
  </si>
  <si>
    <t>2019S023173</t>
  </si>
  <si>
    <t>AVDA. RAFAEL ALBERTI / CALL. EXTREMEÑOS</t>
  </si>
  <si>
    <t>2019S023549</t>
  </si>
  <si>
    <t>CALL. PLEYADES</t>
  </si>
  <si>
    <t>2019S023349</t>
  </si>
  <si>
    <t>CALL. SANTA MARIA LA REAL DE NIEVA</t>
  </si>
  <si>
    <t>2019S023355</t>
  </si>
  <si>
    <t>CALL. ALFONSO XII / CALL. CLAUDIO MOYANO</t>
  </si>
  <si>
    <t>2019S023320</t>
  </si>
  <si>
    <t>CALL. ARROYO DEL MONTE / PLAZA. PRADERA DEL SALCERAL</t>
  </si>
  <si>
    <t>2019S023412</t>
  </si>
  <si>
    <t>GTA. BILBAO / CALL. FUENCARRAL</t>
  </si>
  <si>
    <t>2019S023512</t>
  </si>
  <si>
    <t>2019S023517</t>
  </si>
  <si>
    <t>CALL. DOCTOR RAMON CASTROVIEJO</t>
  </si>
  <si>
    <t>2019S023455</t>
  </si>
  <si>
    <t>CALL. SAN EPIFANIO</t>
  </si>
  <si>
    <t>2019S023594</t>
  </si>
  <si>
    <t>CÑADA. REAL GALIANA</t>
  </si>
  <si>
    <t>2019S023601</t>
  </si>
  <si>
    <t>CALL. GENERAL LACY / CALL. ANCORA</t>
  </si>
  <si>
    <t>2019S023587</t>
  </si>
  <si>
    <t>CALL. MARQUESA DE TORRECILLA / CALL. MISTERIOS</t>
  </si>
  <si>
    <t>2019S024318</t>
  </si>
  <si>
    <t>RONDA. SUR</t>
  </si>
  <si>
    <t>2019S023694</t>
  </si>
  <si>
    <t>2019S023692</t>
  </si>
  <si>
    <t>CALL. IRUN / CALL. CADARSO</t>
  </si>
  <si>
    <t>2019S023844</t>
  </si>
  <si>
    <t>CALL. JORGE JUAN / CALL. FERNAN GONZALEZ</t>
  </si>
  <si>
    <t>2019S023732</t>
  </si>
  <si>
    <t>CALL. JACOMETREZO</t>
  </si>
  <si>
    <t>2019S024149</t>
  </si>
  <si>
    <t>AVDA. MONASTERIO DE SILOS</t>
  </si>
  <si>
    <t>2019S023734</t>
  </si>
  <si>
    <t>GTA. SANTUARIO DE TISCAR</t>
  </si>
  <si>
    <t>2019S023774</t>
  </si>
  <si>
    <t>CALL. MAQUEDA</t>
  </si>
  <si>
    <t>2019S023655</t>
  </si>
  <si>
    <t>PASEO. PRADO / CALL. ALCALA</t>
  </si>
  <si>
    <t>2019S023943</t>
  </si>
  <si>
    <t>PASEO. VIRGEN DEL PUERTO</t>
  </si>
  <si>
    <t>2019S023993</t>
  </si>
  <si>
    <t>AUTOV. M-607, +01500E</t>
  </si>
  <si>
    <t>2019S023766</t>
  </si>
  <si>
    <t>CALL. EMBAJADORES, 330  FRENTE ENTRADA CAJA MÁGIA</t>
  </si>
  <si>
    <t>2019S023770</t>
  </si>
  <si>
    <t>PLAZA. ELIPTICA</t>
  </si>
  <si>
    <t>2019S023783</t>
  </si>
  <si>
    <t>GTA. RUIZ JIMENEZ / CALL. SAN BERNARDO</t>
  </si>
  <si>
    <t>2019S023917</t>
  </si>
  <si>
    <t>PASEO. GENERAL MARTINEZ CAMPOS</t>
  </si>
  <si>
    <t>2019S023869</t>
  </si>
  <si>
    <t>CALL. VILLAVICIOSA</t>
  </si>
  <si>
    <t>2019S023851</t>
  </si>
  <si>
    <t>CALL. RIOS ROSAS / CALL. PONZANO</t>
  </si>
  <si>
    <t>2019S023979</t>
  </si>
  <si>
    <t>CALL. SEGOVIA / RONDA. SEGOVIA</t>
  </si>
  <si>
    <t>2019S024340</t>
  </si>
  <si>
    <t>AVDA. BETANZOS</t>
  </si>
  <si>
    <t>2019S024007</t>
  </si>
  <si>
    <t>2019S023995</t>
  </si>
  <si>
    <t>PLAZA. SAN JUAN DE LA CRUZ / PASEO. CASTELLANA</t>
  </si>
  <si>
    <t>2019S024197</t>
  </si>
  <si>
    <t>PQUE. VALDEBERNARDO</t>
  </si>
  <si>
    <t>2019S024333</t>
  </si>
  <si>
    <t>2019S024294</t>
  </si>
  <si>
    <t>AVDA. MONASTERIO DE EL ESCORIAL / AVDA. SANTUARIO DE VALVERDE</t>
  </si>
  <si>
    <t>2019S024208</t>
  </si>
  <si>
    <t>CALL. EMBAJADORES / CALL. LABRADORES</t>
  </si>
  <si>
    <t>2019S024417</t>
  </si>
  <si>
    <t>CALL. SAN TELESFORO</t>
  </si>
  <si>
    <t>2019S024426</t>
  </si>
  <si>
    <t>CALL. ELOY GONZALO / CALL. SANTISIMA TRINIDAD</t>
  </si>
  <si>
    <t>2019S024502</t>
  </si>
  <si>
    <t>PASEO. JUAN ANTONIO VALLEJO-NAJERA BOTAS</t>
  </si>
  <si>
    <t>2019S024373</t>
  </si>
  <si>
    <t>2019S024530</t>
  </si>
  <si>
    <t>2019S024666</t>
  </si>
  <si>
    <t>2019S024749</t>
  </si>
  <si>
    <t>AVDA. CORDOBA</t>
  </si>
  <si>
    <t>2019S024613</t>
  </si>
  <si>
    <t>CALL. VIRGEN DE LA ALEGRIA</t>
  </si>
  <si>
    <t>2019S024612</t>
  </si>
  <si>
    <t>2019S024639</t>
  </si>
  <si>
    <t>PASEO. PONTONES / CALL. COBOS DE SEGOVIA</t>
  </si>
  <si>
    <t>2019S024575</t>
  </si>
  <si>
    <t>AVENIDA DE LA GAVIA-AVENIDA DEL MAYORAZGO</t>
  </si>
  <si>
    <t>2019S024691</t>
  </si>
  <si>
    <t>CALL. RAIMUNDO FERNANDEZ VILLAVERDE</t>
  </si>
  <si>
    <t>2019S024720</t>
  </si>
  <si>
    <t>CALL. JOSE ABASCAL / CALL. FERNANDEZ DE LA HOZ</t>
  </si>
  <si>
    <t>2019S024853</t>
  </si>
  <si>
    <t>PLAZA. INDEPENDENCIA</t>
  </si>
  <si>
    <t>2019S024842</t>
  </si>
  <si>
    <t>2019S024896</t>
  </si>
  <si>
    <t>CALL. CRISTOBAL BORDIU</t>
  </si>
  <si>
    <t>2019S025019</t>
  </si>
  <si>
    <t>CALL. TOMAS BRETON</t>
  </si>
  <si>
    <t>2019S024946</t>
  </si>
  <si>
    <t>CALL. LEONOR LOPEZ DE CORDOBA / AUTOV. M-40</t>
  </si>
  <si>
    <t>2019S025299</t>
  </si>
  <si>
    <t>CALL. MARCELO USERA</t>
  </si>
  <si>
    <t>2019S025095</t>
  </si>
  <si>
    <t>2019S025093</t>
  </si>
  <si>
    <t>AVDA. MAYORAZGO / CALL. CINCOVILLAS</t>
  </si>
  <si>
    <t>2019S025524</t>
  </si>
  <si>
    <t>CALL. RAFAEL BERGAMIN</t>
  </si>
  <si>
    <t>2019S024986</t>
  </si>
  <si>
    <t>CALL. PUEBLA / CALL. BARCO</t>
  </si>
  <si>
    <t>2019S024979</t>
  </si>
  <si>
    <t>2019S026512</t>
  </si>
  <si>
    <t>PQUE. MADRID RIO / GTA. PUENTE DE SEGOVIA</t>
  </si>
  <si>
    <t>2019S025170</t>
  </si>
  <si>
    <t>2019S025119</t>
  </si>
  <si>
    <t>GTA. SANTUARIO DE TISCAR / AVDA. MONASTERIO DE EL ESCORIAL</t>
  </si>
  <si>
    <t>2019S026421</t>
  </si>
  <si>
    <t>GTA. PUENTE DE SEGOVIA</t>
  </si>
  <si>
    <t>2019S025143</t>
  </si>
  <si>
    <t>2019S025226</t>
  </si>
  <si>
    <t>CALL. CONDE DE PEÑALVER / CALL. HERMOSILLA</t>
  </si>
  <si>
    <t>2019S025311</t>
  </si>
  <si>
    <t>AVDA. BURGOS, 89 (RECINTO "ADEQUA")</t>
  </si>
  <si>
    <t>2019S025266</t>
  </si>
  <si>
    <t>CALL. DIEGO DE LEON / CALL. GENERAL PARDIÑAS</t>
  </si>
  <si>
    <t>2019S025261</t>
  </si>
  <si>
    <t>CALL. PUERTO DE SOMPORT</t>
  </si>
  <si>
    <t>2019S025253</t>
  </si>
  <si>
    <t>MONASTERIO DE SILOS - GO FIT - FAROLA 268</t>
  </si>
  <si>
    <t>2019S025193</t>
  </si>
  <si>
    <t>CALL. FUENCARRAL / GTA. BILBAO</t>
  </si>
  <si>
    <t>2019S025402</t>
  </si>
  <si>
    <t>CALL. MONASTERIO DE OSEIRA, 17B (ANILLO VERDE, 58)</t>
  </si>
  <si>
    <t>2019S025348</t>
  </si>
  <si>
    <t>CTRA. RODAJOS</t>
  </si>
  <si>
    <t>2019S025582</t>
  </si>
  <si>
    <t>AVDA. MARQUES DE CORBERA / CALL. POETA BLAS DE OTERO</t>
  </si>
  <si>
    <t>2019S025364</t>
  </si>
  <si>
    <t>CALL. TORRECILLA DEL LEAL / CALL. OLMO</t>
  </si>
  <si>
    <t>2019S025566</t>
  </si>
  <si>
    <t>AVDA. POBLADOS / AVDA. ORCASUR</t>
  </si>
  <si>
    <t>2019S025555</t>
  </si>
  <si>
    <t>CALL. CLAUDIO COELLO</t>
  </si>
  <si>
    <t>2019S025498</t>
  </si>
  <si>
    <t>2019S025463</t>
  </si>
  <si>
    <t>2019S025453</t>
  </si>
  <si>
    <t>CALL. CASINO / CALL. SANTIAGO EL VERDE</t>
  </si>
  <si>
    <t>2019S025589</t>
  </si>
  <si>
    <t>CALL. PLAYA DE LA CALETA</t>
  </si>
  <si>
    <t>2019S025640</t>
  </si>
  <si>
    <t>CALL. MULLER / CALL. AZUCENAS</t>
  </si>
  <si>
    <t>2019S025527</t>
  </si>
  <si>
    <t>PUERTA PRINCIPAL ZOO</t>
  </si>
  <si>
    <t>2019S025927</t>
  </si>
  <si>
    <t>AVDA. MENENDEZ PELAYO / CALL. O'DONNELL</t>
  </si>
  <si>
    <t>2019S025642</t>
  </si>
  <si>
    <t>CUSTA. SAN VICENTE</t>
  </si>
  <si>
    <t>2019S025622</t>
  </si>
  <si>
    <t>CMNO. CRUCES / POLIG. ALUCHE-AVENIDA DE LOS POBLADOS</t>
  </si>
  <si>
    <t>2019S025619</t>
  </si>
  <si>
    <t>2019S025639</t>
  </si>
  <si>
    <t>2019S025778</t>
  </si>
  <si>
    <t>CALL. BRETON DE LOS HERREROS / CALL. PONZANO</t>
  </si>
  <si>
    <t>2019S025769</t>
  </si>
  <si>
    <t>CALL. CERRO DE LA PLATA</t>
  </si>
  <si>
    <t>2019S025780</t>
  </si>
  <si>
    <t>2019S025815</t>
  </si>
  <si>
    <t>CALL. SEGOVIA</t>
  </si>
  <si>
    <t>2019S025762</t>
  </si>
  <si>
    <t>CALL. SERRANO / CALL. MARIA DE MOLINA</t>
  </si>
  <si>
    <t>2019S025758</t>
  </si>
  <si>
    <t>AVDA. LOS ROSALES</t>
  </si>
  <si>
    <t>2019S025950</t>
  </si>
  <si>
    <t>CALL. RODRIGUEZ MARIN</t>
  </si>
  <si>
    <t>2019S025841</t>
  </si>
  <si>
    <t>2019S025968</t>
  </si>
  <si>
    <t>AVDA. CARTAGENA DE INDIAS</t>
  </si>
  <si>
    <t>2019S025926</t>
  </si>
  <si>
    <t>CRUCE C/ALCALA CON C/ TAMPICO</t>
  </si>
  <si>
    <t>2019S026089</t>
  </si>
  <si>
    <t>AV. ROSALES CON ROTONDA M-40</t>
  </si>
  <si>
    <t>2019S026237</t>
  </si>
  <si>
    <t>CALL. RESINA</t>
  </si>
  <si>
    <t>2019S026332</t>
  </si>
  <si>
    <t>AVDA. MANZANARES / PQUE. MADRID RIO</t>
  </si>
  <si>
    <t>2019S026198</t>
  </si>
  <si>
    <t>CALL. MONTESA / CALL. JOSE ORTEGA Y GASSET</t>
  </si>
  <si>
    <t>2019S026280</t>
  </si>
  <si>
    <t>AVDA. ENTREVIAS / CALL. MENDEZ ALVARO</t>
  </si>
  <si>
    <t>2019S026335</t>
  </si>
  <si>
    <t>CALL. GENERAL RICARDOS / CALL. NUESTRA SEÑORA DE LA LUZ</t>
  </si>
  <si>
    <t>2019S026315</t>
  </si>
  <si>
    <t>2019S026301</t>
  </si>
  <si>
    <t>CALL. MARTINEZ DE LA RIVA / CALL. CACHERO</t>
  </si>
  <si>
    <t>2019S026355</t>
  </si>
  <si>
    <t>2019S026337</t>
  </si>
  <si>
    <t>CALL. HERMANOS CARPI / AVDA. PEÑA PRIETA</t>
  </si>
  <si>
    <t>2019S026510</t>
  </si>
  <si>
    <t>CALL. ARGANZUELA</t>
  </si>
  <si>
    <t>2019S026571</t>
  </si>
  <si>
    <t>CALL. GRAN VIA / CALL. CLAVEL</t>
  </si>
  <si>
    <t>2019S027484</t>
  </si>
  <si>
    <t>PQUE. MADRID RIO, +00300E</t>
  </si>
  <si>
    <t>2019S026582</t>
  </si>
  <si>
    <t>2019S026471</t>
  </si>
  <si>
    <t>AVDA. ALBUFERA / CALL. JOSE PAULETE</t>
  </si>
  <si>
    <t>2019S026995</t>
  </si>
  <si>
    <t>2019S026665</t>
  </si>
  <si>
    <t>CALL. MARQUES DE URQUIJO / CALL. FERRAZ</t>
  </si>
  <si>
    <t>2019S026663</t>
  </si>
  <si>
    <t>CUSTA. VEGA</t>
  </si>
  <si>
    <t>2019S026666</t>
  </si>
  <si>
    <t>CALLE GOYA CON CALLE GENERAL PARDIÑAS</t>
  </si>
  <si>
    <t>2019S026745</t>
  </si>
  <si>
    <t>FRENTE FAROLA Nº 6</t>
  </si>
  <si>
    <t>2019S026739</t>
  </si>
  <si>
    <t>CARABANCHEL BAJO FAROLA 10</t>
  </si>
  <si>
    <t>2019S026840</t>
  </si>
  <si>
    <t>CALL. DOCTOR ESQUERDO</t>
  </si>
  <si>
    <t>2019S026865</t>
  </si>
  <si>
    <t>CALL. FUENCARRAL</t>
  </si>
  <si>
    <t>2019S026808</t>
  </si>
  <si>
    <t>CALL. PUERTO DE PORZUNA / CALL. CABEZA MESADA</t>
  </si>
  <si>
    <t>2019S026886</t>
  </si>
  <si>
    <t>2019S026885</t>
  </si>
  <si>
    <t>2019S026841</t>
  </si>
  <si>
    <t>CALL. NAVARRA / CALL. PAMPLONA</t>
  </si>
  <si>
    <t>2019S026842</t>
  </si>
  <si>
    <t>2019S026963</t>
  </si>
  <si>
    <t>GTA. EMILIO CASTELAR</t>
  </si>
  <si>
    <t>2019S026966</t>
  </si>
  <si>
    <t>PLAZA SANTA BARBARA CON CALLE SERRANO ANGUITA</t>
  </si>
  <si>
    <t>2019S027011</t>
  </si>
  <si>
    <t>PLAZA. MORERAS</t>
  </si>
  <si>
    <t>2019S026924</t>
  </si>
  <si>
    <t>2019S027052</t>
  </si>
  <si>
    <t>GTA. ATOCHA-REINA SOFIA</t>
  </si>
  <si>
    <t>2019S027071</t>
  </si>
  <si>
    <t>EN CARRIL BICI</t>
  </si>
  <si>
    <t>2019S027182</t>
  </si>
  <si>
    <t>CALL. AZUCENAS</t>
  </si>
  <si>
    <t>2019S027325</t>
  </si>
  <si>
    <t>AVDA. DEMOCRACIA / AUTOV. A-3</t>
  </si>
  <si>
    <t>2019S027141</t>
  </si>
  <si>
    <t>2019S027278</t>
  </si>
  <si>
    <t>2019S027303</t>
  </si>
  <si>
    <t>CALL. ALFONSO XII / CALL. CASADO DEL ALISAL</t>
  </si>
  <si>
    <t>2019S027369</t>
  </si>
  <si>
    <t>CALL. MANZANARES / CALL. LINNEO</t>
  </si>
  <si>
    <t>2019S027425</t>
  </si>
  <si>
    <t>CUESTA DE LA VEGA</t>
  </si>
  <si>
    <t>2019S027422</t>
  </si>
  <si>
    <t>2019S027477</t>
  </si>
  <si>
    <t>AVDA. MEDITERRANEO / AUTOV. A-3</t>
  </si>
  <si>
    <t>2019S027418</t>
  </si>
  <si>
    <t>2019S027371</t>
  </si>
  <si>
    <t>AVDA. SUR DEL AEROPUERTO DE BARAJAS / AUTOV. M-22</t>
  </si>
  <si>
    <t>2019S027541</t>
  </si>
  <si>
    <t>CALL. GENOVA / CALL. ZURBANO</t>
  </si>
  <si>
    <t>2019S027521</t>
  </si>
  <si>
    <t>PASEO. SANTA MARIA DE LA CABEZA / CALL. FRAY LUIS DE LEON</t>
  </si>
  <si>
    <t>2019S027558</t>
  </si>
  <si>
    <t>CMNO. POZO DEL TIO RAIMUNDO</t>
  </si>
  <si>
    <t>2019S027511</t>
  </si>
  <si>
    <t>CALL. UNANIMIDAD / CALL. TERTULIA</t>
  </si>
  <si>
    <t>2019S027608</t>
  </si>
  <si>
    <t>CALL. VIA LIMITE / CALL. ALCOLEA</t>
  </si>
  <si>
    <t>2019S027599</t>
  </si>
  <si>
    <t>CALL. MEJIA LEQUERICA / CALL. SAGASTA</t>
  </si>
  <si>
    <t>2019S027568</t>
  </si>
  <si>
    <t>2019S027642</t>
  </si>
  <si>
    <t>2019S027795</t>
  </si>
  <si>
    <t>CALL. CONCEJAL FRANCISCO JOSE JIMENEZ MARTIN</t>
  </si>
  <si>
    <t>2019S027855</t>
  </si>
  <si>
    <t>AVDA. AVIACION / CTRA. BARRIO DE LA FORTUNA</t>
  </si>
  <si>
    <t>2019S027834</t>
  </si>
  <si>
    <t>CALL. LOPEZ DE HOYOS</t>
  </si>
  <si>
    <t>2019S027815</t>
  </si>
  <si>
    <t>CALL. CLAUDIO MOYANO</t>
  </si>
  <si>
    <t>2019S027825</t>
  </si>
  <si>
    <t>CARRIL BICI INTERIOR PARQUE LINEAL DEL MANZANARES</t>
  </si>
  <si>
    <t>2019S027813</t>
  </si>
  <si>
    <t>2019S027887</t>
  </si>
  <si>
    <t>CALL. FRANCISCO UMBRAL / CALL. VIA DE DUBLIN</t>
  </si>
  <si>
    <t>2019S027955</t>
  </si>
  <si>
    <t>CALL. MARAVEDI</t>
  </si>
  <si>
    <t>2019S027992</t>
  </si>
  <si>
    <t>CALL. ARROYO DE LA MEDIA LEGUA</t>
  </si>
  <si>
    <t>2019S028042</t>
  </si>
  <si>
    <t>AVDA. HOSPITALIDAD</t>
  </si>
  <si>
    <t>2019S027988</t>
  </si>
  <si>
    <t>CALL. LADERA DE LOS ALMENDROS / CALL. RAYA</t>
  </si>
  <si>
    <t>2019S028005</t>
  </si>
  <si>
    <t>CTRA. COLMENAR VIEJO</t>
  </si>
  <si>
    <t>2019S028044</t>
  </si>
  <si>
    <t>CALL. SANTA ESCOLASTICA, 1 (POSTERIOR APARCAMIENTO</t>
  </si>
  <si>
    <t>2019S028132</t>
  </si>
  <si>
    <t>CALL. ISABEL COLBRAND / CALL. PALAS DE REY</t>
  </si>
  <si>
    <t>2019S028487</t>
  </si>
  <si>
    <t>ANILLO VERDE CICLISTA, PKM 32</t>
  </si>
  <si>
    <t>2019S028354</t>
  </si>
  <si>
    <t>GLORIETA SOBRE M-40</t>
  </si>
  <si>
    <t>2019S028337</t>
  </si>
  <si>
    <t>CALLE ALCALA 149</t>
  </si>
  <si>
    <t>2019S028644</t>
  </si>
  <si>
    <t>AVDA. MANZANARES / CALL. SAN GRACIANO</t>
  </si>
  <si>
    <t>2019S028541</t>
  </si>
  <si>
    <t>CALL. VELAZQUEZ</t>
  </si>
  <si>
    <t>2019S028515</t>
  </si>
  <si>
    <t>2019S028640</t>
  </si>
  <si>
    <t>CMNO. ROBLEDAL</t>
  </si>
  <si>
    <t>2019S028597</t>
  </si>
  <si>
    <t>PASEO. REPUBLICA DE CUBA</t>
  </si>
  <si>
    <t>2019S028647</t>
  </si>
  <si>
    <t>CALL. PRINCIPE DE VERGARA / CALL. HERMOSILLA</t>
  </si>
  <si>
    <t>2019S028869</t>
  </si>
  <si>
    <t>CALL. MARCELO USERA / CALL. SAN ANTONIO DE PADUA</t>
  </si>
  <si>
    <t>2019S028686</t>
  </si>
  <si>
    <t>AVDA. PEÑA PRIETA / CALL. MENDIVIL</t>
  </si>
  <si>
    <t>2019S028666</t>
  </si>
  <si>
    <t>CALL. BRAVO MURILLO / CALL. VIRIATO</t>
  </si>
  <si>
    <t>2019S028861</t>
  </si>
  <si>
    <t>AVDA. POBLADOS / AUTOV. A-42</t>
  </si>
  <si>
    <t>2019S028835</t>
  </si>
  <si>
    <t>CTRA. ZARZON</t>
  </si>
  <si>
    <t>2019S028878</t>
  </si>
  <si>
    <t>2019S028881</t>
  </si>
  <si>
    <t>2019S028932</t>
  </si>
  <si>
    <t>PASEO. CAMOENS Y VALERO</t>
  </si>
  <si>
    <t>2019S029547</t>
  </si>
  <si>
    <t>CALL. ATOCHA / PLAZA. EMPERADOR CARLOS V</t>
  </si>
  <si>
    <t>2019S029005</t>
  </si>
  <si>
    <t>PASEO. PONTONES / PASEO. MELANCOLICOS</t>
  </si>
  <si>
    <t>2019S029018</t>
  </si>
  <si>
    <t>2019S028983</t>
  </si>
  <si>
    <t>CALL. FUENTE CARRANTONA</t>
  </si>
  <si>
    <t>2019S028981</t>
  </si>
  <si>
    <t>2019S029079</t>
  </si>
  <si>
    <t>2019S029101</t>
  </si>
  <si>
    <t>PASEO. ALBERTO PALACIOS</t>
  </si>
  <si>
    <t>2019S029022</t>
  </si>
  <si>
    <t>CALL. CAMPEZO / CALL. LAGUARDIA</t>
  </si>
  <si>
    <t>2019S029033</t>
  </si>
  <si>
    <t>2019S029200</t>
  </si>
  <si>
    <t>CALL. PRINCESA</t>
  </si>
  <si>
    <t>2019S029561</t>
  </si>
  <si>
    <t>CALL. MARQUES DE CUBAS</t>
  </si>
  <si>
    <t>2019S029285</t>
  </si>
  <si>
    <t>CALL. RAMON GOMEZ DE LA SERNA</t>
  </si>
  <si>
    <t>2019S029210</t>
  </si>
  <si>
    <t>CAMINO EN ZONA DENOMIDADA COMO "ESPACIO MÉXICO"</t>
  </si>
  <si>
    <t>2019S029194</t>
  </si>
  <si>
    <t>AUTOV. A-42, +00500S</t>
  </si>
  <si>
    <t>2019S029341</t>
  </si>
  <si>
    <t>AVDA. PABLO NERUDA</t>
  </si>
  <si>
    <t>2019S029277</t>
  </si>
  <si>
    <t>CALL. EMBAJADORES</t>
  </si>
  <si>
    <t>2019S029257</t>
  </si>
  <si>
    <t>AVDA. NUESTRA SEÑORA DE VALVANERA</t>
  </si>
  <si>
    <t>2019S029460</t>
  </si>
  <si>
    <t>AVDA. NICETO ALCALA ZAMORA / AVDA. FRANCISCO PI Y MARGALL</t>
  </si>
  <si>
    <t>2019S029358</t>
  </si>
  <si>
    <t>2019S029640</t>
  </si>
  <si>
    <t>CALL. RUTILO</t>
  </si>
  <si>
    <t>2019S029391</t>
  </si>
  <si>
    <t>CALL. SAN GERMAN / CALL. GENERAL CABRERA</t>
  </si>
  <si>
    <t>2019S029497</t>
  </si>
  <si>
    <t>CALL. CLAVEL / CALL. CABALLERO DE GRACIA</t>
  </si>
  <si>
    <t>2019S029485</t>
  </si>
  <si>
    <t>CALL. GENERAL ORAA / CALL. GENERAL PARDIÑAS</t>
  </si>
  <si>
    <t>2019S029650</t>
  </si>
  <si>
    <t>CALL. CAMINO VIEJO DE VILLAVERDE / CALL. UNIDAD</t>
  </si>
  <si>
    <t>2019S029444</t>
  </si>
  <si>
    <t>2019S029437</t>
  </si>
  <si>
    <t>CALL. ALBERTO AGUILERA</t>
  </si>
  <si>
    <t>2019S029644</t>
  </si>
  <si>
    <t>CALL. ARROYO DE LA MEDIA LEGUA / CALL. ALCALDE GARRIDO JUARISTI</t>
  </si>
  <si>
    <t>2019S029560</t>
  </si>
  <si>
    <t>CALL. FRANCOS RODRIGUEZ</t>
  </si>
  <si>
    <t>2019S029556</t>
  </si>
  <si>
    <t>CALL. ALCALA / CALL. MARQUES DE CUBAS</t>
  </si>
  <si>
    <t>2019S029626</t>
  </si>
  <si>
    <t>CALL. ARTURO SORIA / CALL. ASUNCION PEREZ VIZCAINO</t>
  </si>
  <si>
    <t>2019S029624</t>
  </si>
  <si>
    <t>2019S029814</t>
  </si>
  <si>
    <t>PASEO. INFANTA ISABEL / ESTFE. ATOCHA</t>
  </si>
  <si>
    <t>2019S029817</t>
  </si>
  <si>
    <t>2019S029716</t>
  </si>
  <si>
    <t>2019S029888</t>
  </si>
  <si>
    <t>2019S029862</t>
  </si>
  <si>
    <t>PARQUE LINEAL DEL MANZANARES</t>
  </si>
  <si>
    <t>2019S029946</t>
  </si>
  <si>
    <t>PLAZA DE ORIENTE</t>
  </si>
  <si>
    <t>2019S030106</t>
  </si>
  <si>
    <t>2019S029873</t>
  </si>
  <si>
    <t>CALL. DON RAMON DE LA CRUZ</t>
  </si>
  <si>
    <t>2019S029977</t>
  </si>
  <si>
    <t>AVDA. SAN FERMIN / AVDA. PERLA</t>
  </si>
  <si>
    <t>2019S030050</t>
  </si>
  <si>
    <t>2019S030058</t>
  </si>
  <si>
    <t>2019S030052</t>
  </si>
  <si>
    <t>PLAZA. SAGRADOS CORAZONES / AVDA. CONCHA ESPINA</t>
  </si>
  <si>
    <t>2019S030203</t>
  </si>
  <si>
    <t>CUSTA. SAN VICENTE / GTA. SAN VICENTE</t>
  </si>
  <si>
    <t>2019S030194</t>
  </si>
  <si>
    <t>AVDA. NICETO ALCALA ZAMORA</t>
  </si>
  <si>
    <t>2019S030159</t>
  </si>
  <si>
    <t>CALL. MESENA</t>
  </si>
  <si>
    <t>2019S030034</t>
  </si>
  <si>
    <t>CALL. CORREO / PLAZA. PUERTA DEL SOL</t>
  </si>
  <si>
    <t>2019S030261</t>
  </si>
  <si>
    <t>PASEO DE MIGUELA DEL BURGO (FRENTE CASANARE 6)</t>
  </si>
  <si>
    <t>2019S030259</t>
  </si>
  <si>
    <t>AVDA. NICETO ALCALA ZAMORA / AUTOV. M-11</t>
  </si>
  <si>
    <t>2019S030131</t>
  </si>
  <si>
    <t>2019S030124</t>
  </si>
  <si>
    <t>SAN MAXIMILIANO 49</t>
  </si>
  <si>
    <t>2019S030118</t>
  </si>
  <si>
    <t>CALL. CARRION DE LOS CONDES</t>
  </si>
  <si>
    <t>2019S030537</t>
  </si>
  <si>
    <t>CALL. LOPE DE VEGA / PASEO. PRADO</t>
  </si>
  <si>
    <t>2019S030424</t>
  </si>
  <si>
    <t>2019S030311</t>
  </si>
  <si>
    <t>CALL. CERRO DEL MURMULLO</t>
  </si>
  <si>
    <t>2019S030398</t>
  </si>
  <si>
    <t>GTA. ANGEL CAIDO / CALL. FERNAN NUÑEZ</t>
  </si>
  <si>
    <t>2019S030317</t>
  </si>
  <si>
    <t>2019S030534</t>
  </si>
  <si>
    <t>PTA. TOLEDO / AVDA. GRAN VIA DE SAN FRANCISCO</t>
  </si>
  <si>
    <t>2019S030414</t>
  </si>
  <si>
    <t>CALL. SAN BENITO</t>
  </si>
  <si>
    <t>2019S030489</t>
  </si>
  <si>
    <t>2019S030551</t>
  </si>
  <si>
    <t>PASEO. FLORIDA</t>
  </si>
  <si>
    <t>2019S030577</t>
  </si>
  <si>
    <t>2019S030627</t>
  </si>
  <si>
    <t>CALL. MARROQUINA</t>
  </si>
  <si>
    <t>2019S030584</t>
  </si>
  <si>
    <t>PASEO. VIRGEN DEL PUERTO / PASEO. VIRGEN DEL PUERTO</t>
  </si>
  <si>
    <t>2019S030725</t>
  </si>
  <si>
    <t>CALL. DULCE CHACON / AVDA. INGENIERO EMILIO HERRERA</t>
  </si>
  <si>
    <t>2019S030636</t>
  </si>
  <si>
    <t>2019S030804</t>
  </si>
  <si>
    <t>CALL. MATILDE GAYO</t>
  </si>
  <si>
    <t>2019S030632</t>
  </si>
  <si>
    <t>2019S030598</t>
  </si>
  <si>
    <t>PLAZA DEL CINE CALLE VIRIDIANA</t>
  </si>
  <si>
    <t>2019S030726</t>
  </si>
  <si>
    <t>AVENIDA GENERAL PERÓN CON C/ ORENSE</t>
  </si>
  <si>
    <t>2019S030757</t>
  </si>
  <si>
    <t>CALL. GRAN VIA / PLAZA. CALLAO</t>
  </si>
  <si>
    <t>2019S030697</t>
  </si>
  <si>
    <t>AVDA. ENTREVIAS / CALL. PADRE LLANOS</t>
  </si>
  <si>
    <t>2019S030783</t>
  </si>
  <si>
    <t>2019S030886</t>
  </si>
  <si>
    <t>CALL. MODESTO LAFUENTE / CALL. MARIA DE GUZMAN</t>
  </si>
  <si>
    <t>2019S030871</t>
  </si>
  <si>
    <t>CALL. BRAVO MURILLO / CALL. LOPE DE HARO</t>
  </si>
  <si>
    <t>2019S030947</t>
  </si>
  <si>
    <t>CARRETERA DE FUENCARRAL A ALCOBENDAS KM-0</t>
  </si>
  <si>
    <t>2019S030957</t>
  </si>
  <si>
    <t>CALL. SAGASTA / CALL. MEJIA LEQUERICA</t>
  </si>
  <si>
    <t>2019S031101</t>
  </si>
  <si>
    <t>CALL. PRINCESA / CALL. MARQUES DE URQUIJO</t>
  </si>
  <si>
    <t>2019S031116</t>
  </si>
  <si>
    <t>PQUE. MADRID RIO, FAROLA 26-10</t>
  </si>
  <si>
    <t>2019S031098</t>
  </si>
  <si>
    <t>2019S031115</t>
  </si>
  <si>
    <t>ENTRE FAROLAS Nº 6 Y 7</t>
  </si>
  <si>
    <t>2019S031094</t>
  </si>
  <si>
    <t>2019S031114</t>
  </si>
  <si>
    <t>PLAZA. PUERTA DEL SOL</t>
  </si>
  <si>
    <t>2019S031198</t>
  </si>
  <si>
    <t>CMNO. ROBLEDAL / CTRA. TELEFERICO</t>
  </si>
  <si>
    <t>2019S031193</t>
  </si>
  <si>
    <t>2019S031128</t>
  </si>
  <si>
    <t>2019S031256</t>
  </si>
  <si>
    <t>2019S031320</t>
  </si>
  <si>
    <t>PLAZA. EMPERADOR CARLOS V / RONDA. ATOCHA</t>
  </si>
  <si>
    <t>2019S031351</t>
  </si>
  <si>
    <t>2019S031280</t>
  </si>
  <si>
    <t>2019S031237</t>
  </si>
  <si>
    <t>AVDA. GENERAL PERON / CALL. JULIAN BESTEIRO</t>
  </si>
  <si>
    <t>2019S031507</t>
  </si>
  <si>
    <t>2019S031356</t>
  </si>
  <si>
    <t>2019S031692</t>
  </si>
  <si>
    <t>PASEO. SANTA MARIA DE LA CABEZA</t>
  </si>
  <si>
    <t>2019S031329</t>
  </si>
  <si>
    <t>PASEO. BAJO DE LA VIRGEN DEL PUERTO / FRENTE JARDINES DEL MORO</t>
  </si>
  <si>
    <t>2019S031324</t>
  </si>
  <si>
    <t>CALL. LAS NAVAS DE BUITRAGO / CALL. BERZOSA DE LOZOYA</t>
  </si>
  <si>
    <t>2019S032000</t>
  </si>
  <si>
    <t>CALL. ANTONIO DE LEYVA / PLAZA. ELIPTICA</t>
  </si>
  <si>
    <t>2019S031772</t>
  </si>
  <si>
    <t>2019S031647</t>
  </si>
  <si>
    <t>2019S031830</t>
  </si>
  <si>
    <t>AVDA. AMERICA</t>
  </si>
  <si>
    <t>2019S031595</t>
  </si>
  <si>
    <t>CALL. CARTAGENA</t>
  </si>
  <si>
    <t>2019S031531</t>
  </si>
  <si>
    <t>2019S031523</t>
  </si>
  <si>
    <t>CALL. ALCALA / CALL. ALEJANDRO GONZALEZ</t>
  </si>
  <si>
    <t>2019S031556</t>
  </si>
  <si>
    <t>PASEO. FERNAN NUÑEZ / PASEO. REPUBLICA DE CUBA</t>
  </si>
  <si>
    <t>2019S031532</t>
  </si>
  <si>
    <t>CALLE GRAN VIA 72</t>
  </si>
  <si>
    <t>2019S031619</t>
  </si>
  <si>
    <t>CALL. GENOVA / CALL. ARGENSOLA</t>
  </si>
  <si>
    <t>2019S031696</t>
  </si>
  <si>
    <t>CALL. DONOSO CORTES / CALL. ANDRES MELLADO</t>
  </si>
  <si>
    <t>2019S031587</t>
  </si>
  <si>
    <t>AVDA. CERRO MILANO / CALL. ENTREPEÑAS</t>
  </si>
  <si>
    <t>2019S031567</t>
  </si>
  <si>
    <t>2019S031932</t>
  </si>
  <si>
    <t>GTA. EMILIO CASTELAR / CALL. GENERAL ORAA</t>
  </si>
  <si>
    <t>2019S031721</t>
  </si>
  <si>
    <t>CALL. AMOS DE ESCALANTE</t>
  </si>
  <si>
    <t>2019S031798</t>
  </si>
  <si>
    <t>2019S031846</t>
  </si>
  <si>
    <t>AVDA. POBLADOS / CALL. GUETARIA</t>
  </si>
  <si>
    <t>2019S031783</t>
  </si>
  <si>
    <t>CALL. TERESA LOPEZ VALCARCEL</t>
  </si>
  <si>
    <t>2019S031955</t>
  </si>
  <si>
    <t>CALL. ARQUITECTO SANCHEZ ARCAS</t>
  </si>
  <si>
    <t>2019S033013</t>
  </si>
  <si>
    <t>CALL. FLAUTAS / CALL. CLARINETES</t>
  </si>
  <si>
    <t>2019S032928</t>
  </si>
  <si>
    <t>CALL. GUAREÑA / PLAZA. DISTRITO LATINA</t>
  </si>
  <si>
    <t>2019S032042</t>
  </si>
  <si>
    <t>CALL. CALDERILLA</t>
  </si>
  <si>
    <t>2019S031944</t>
  </si>
  <si>
    <t>CALL. ARMADA ESPAÑOLA / PASEO. CASTELLANA</t>
  </si>
  <si>
    <t>2019S031828</t>
  </si>
  <si>
    <t>CALL. NUÑEZ DE BALBOA / CALL. JOSE ORTEGA Y GASSET</t>
  </si>
  <si>
    <t>2019S031790</t>
  </si>
  <si>
    <t>CALL. CARNICER</t>
  </si>
  <si>
    <t>2019S031771</t>
  </si>
  <si>
    <t>CALL. DOCTOR CORTEZO</t>
  </si>
  <si>
    <t>2019S031852</t>
  </si>
  <si>
    <t>CALL. CAMINO DE LOS VINATEROS</t>
  </si>
  <si>
    <t>2019S032025</t>
  </si>
  <si>
    <t>PLAZA. PUERTA DEL SOL / CALL. CARRETAS</t>
  </si>
  <si>
    <t>2019S031989</t>
  </si>
  <si>
    <t>2019S031862</t>
  </si>
  <si>
    <t>MINISTERIO DE DEFENSA</t>
  </si>
  <si>
    <t>2019S031868</t>
  </si>
  <si>
    <t>AVDA. OPORTO / CALL. CAMINO VIEJO DE LEGANES</t>
  </si>
  <si>
    <t>2019S032046</t>
  </si>
  <si>
    <t>2019S033087</t>
  </si>
  <si>
    <t>CALL. CARABIAS</t>
  </si>
  <si>
    <t>2019S032108</t>
  </si>
  <si>
    <t>CALL. ALCALA / PLAZA. CIBELES</t>
  </si>
  <si>
    <t>2019S031973</t>
  </si>
  <si>
    <t>CALL. PUERTO DE BALBARAN</t>
  </si>
  <si>
    <t>2019S031994</t>
  </si>
  <si>
    <t>PASEO. ESPERANZA / PASEO. ESPERANZA</t>
  </si>
  <si>
    <t>2019S032930</t>
  </si>
  <si>
    <t>AVDA. ANDALUCIA</t>
  </si>
  <si>
    <t>2019S032223</t>
  </si>
  <si>
    <t>2019S032300</t>
  </si>
  <si>
    <t>2019S032272</t>
  </si>
  <si>
    <t>CALL. SANTA SUSANA</t>
  </si>
  <si>
    <t>2019S032184</t>
  </si>
  <si>
    <t>CALL. ARZOBISPO MORCILLO</t>
  </si>
  <si>
    <t>2019S032125</t>
  </si>
  <si>
    <t>GTA. SANTA MARIA DE LA CABEZA / GTA. SANTA MARIA DE LA CABEZA</t>
  </si>
  <si>
    <t>2019S032233</t>
  </si>
  <si>
    <t>CALL. GOYA / CALL. SERRANO</t>
  </si>
  <si>
    <t>2019S032399</t>
  </si>
  <si>
    <t>2019S032364</t>
  </si>
  <si>
    <t>CALL. MARTINEZ IZQUIERDO</t>
  </si>
  <si>
    <t>2019S032318</t>
  </si>
  <si>
    <t>CALL. PALMA / CALL. SAN BERNARDO</t>
  </si>
  <si>
    <t>2019S032353</t>
  </si>
  <si>
    <t>CALL. AREQUIPA</t>
  </si>
  <si>
    <t>2019S032355</t>
  </si>
  <si>
    <t>PASEO. YESERIAS</t>
  </si>
  <si>
    <t>2019S032575</t>
  </si>
  <si>
    <t>CALL. CAMINO DE LOS VINATEROS / CALL. CORREGIDOR SEÑOR DE LA ELIPA</t>
  </si>
  <si>
    <t>2019S033177</t>
  </si>
  <si>
    <t>CALL. ESCALONA</t>
  </si>
  <si>
    <t>2019S032458</t>
  </si>
  <si>
    <t>CALL. MARIA DE MOLINA / CALL. PRINCIPE DE VERGARA</t>
  </si>
  <si>
    <t>2019S032663</t>
  </si>
  <si>
    <t>CALL. CAMINO DE LOS VINATEROS / CALL. ARROYO DE LA MEDIA LEGUA</t>
  </si>
  <si>
    <t>2019S032645</t>
  </si>
  <si>
    <t>2019S032737</t>
  </si>
  <si>
    <t>CALL. LOPEZ DE HOYOS / CALL. CARTAGENA</t>
  </si>
  <si>
    <t>2019S032806</t>
  </si>
  <si>
    <t>2019S032872</t>
  </si>
  <si>
    <t>CALL. ALFONSO XII</t>
  </si>
  <si>
    <t>2019S032978</t>
  </si>
  <si>
    <t>CALL. JOSE ORTEGA Y GASSET / PLAZA. MARQUES DE SALAMANCA</t>
  </si>
  <si>
    <t>2019S032883</t>
  </si>
  <si>
    <t>PLAZA. PUERTA CERRADA</t>
  </si>
  <si>
    <t>2019S032970</t>
  </si>
  <si>
    <t>CALL. SAMARIA / AVDA. NAZARET</t>
  </si>
  <si>
    <t>2019S033133</t>
  </si>
  <si>
    <t>CALL. EVANGELIOS / CALL. OLVIDO</t>
  </si>
  <si>
    <t>2019S033105</t>
  </si>
  <si>
    <t>CALL. ENRIQUE LARRETA</t>
  </si>
  <si>
    <t>2019S033074</t>
  </si>
  <si>
    <t>CALL. SAGASTA / CALL. FRANCISCO DE ROJAS</t>
  </si>
  <si>
    <t>2019S033093</t>
  </si>
  <si>
    <t>2019S033057</t>
  </si>
  <si>
    <t>CALL. CYESA</t>
  </si>
  <si>
    <t>2019S033115</t>
  </si>
  <si>
    <t>CALL. DUQUE DE SESTO</t>
  </si>
  <si>
    <t>2019S033112</t>
  </si>
  <si>
    <t>GTA. RUIZ JIMENEZ / CALL. ALBERTO AGUILERA</t>
  </si>
  <si>
    <t>2019S033141</t>
  </si>
  <si>
    <t>CALL. JUAN DE MARIANA</t>
  </si>
  <si>
    <t>2019S033232</t>
  </si>
  <si>
    <t>2019S033316</t>
  </si>
  <si>
    <t>2019S033173</t>
  </si>
  <si>
    <t>2019S033299</t>
  </si>
  <si>
    <t>CALL. EVANGELIOS</t>
  </si>
  <si>
    <t>2019S033161</t>
  </si>
  <si>
    <t>2019S033221</t>
  </si>
  <si>
    <t>AVDA. MORATALAZ / PLAZA. CORREGIDOR ALONSO DE AGUILAR</t>
  </si>
  <si>
    <t>2019S033325</t>
  </si>
  <si>
    <t>2019S033921</t>
  </si>
  <si>
    <t>2019S033273</t>
  </si>
  <si>
    <t>2019S033483</t>
  </si>
  <si>
    <t>TRVA. SAN MATEO / CALL. HORTALEZA</t>
  </si>
  <si>
    <t>2019S033482</t>
  </si>
  <si>
    <t>2019S033481</t>
  </si>
  <si>
    <t>AVDA. CANILLEJAS A VICALVARO / CALL. SANTA TECLA</t>
  </si>
  <si>
    <t>2019S033517</t>
  </si>
  <si>
    <t>CALL. ANTONIA CALVO / CALL. ALHAMBRA</t>
  </si>
  <si>
    <t>2019S033563</t>
  </si>
  <si>
    <t>CALL. O'DONNELL / AVDA. MENENDEZ PELAYO</t>
  </si>
  <si>
    <t>2019S033546</t>
  </si>
  <si>
    <t>2019S033740</t>
  </si>
  <si>
    <t>2019S033667</t>
  </si>
  <si>
    <t>2019S033669</t>
  </si>
  <si>
    <t>2019S033668</t>
  </si>
  <si>
    <t>PLAZA. CRONOS / CALL. INOCENTA DE MESA</t>
  </si>
  <si>
    <t>2019S033678</t>
  </si>
  <si>
    <t>CALL. JUANITA CRUZ / CALL. GLORIA FUERTES</t>
  </si>
  <si>
    <t>2019S034766</t>
  </si>
  <si>
    <t>AVDA. POBLADOS / CALL. CERILLERAS</t>
  </si>
  <si>
    <t>2019S033730</t>
  </si>
  <si>
    <t>CALL. FERNANDEZ DE LA HOZ / CALL. GENERAL ARRANDO</t>
  </si>
  <si>
    <t>2019S033901</t>
  </si>
  <si>
    <t>2019S034202</t>
  </si>
  <si>
    <t>2019S034015</t>
  </si>
  <si>
    <t>CALL. DIEGO DE LEON / CALL. PRINCIPE DE VERGARA</t>
  </si>
  <si>
    <t>2019S033987</t>
  </si>
  <si>
    <t>CALL. ELOY GONZALO</t>
  </si>
  <si>
    <t>2019S034011</t>
  </si>
  <si>
    <t>AVDA. CIUDAD DE BARCELONA / CALL. DOCTOR ESQUERDO</t>
  </si>
  <si>
    <t>2019S034153</t>
  </si>
  <si>
    <t>2019S034269</t>
  </si>
  <si>
    <t>2019S034064</t>
  </si>
  <si>
    <t>PLAZA. ALONSO MARTINEZ / CALL. SAGASTA</t>
  </si>
  <si>
    <t>2019S034187</t>
  </si>
  <si>
    <t>2019S034457</t>
  </si>
  <si>
    <t>CALL. ARTURO SORIA</t>
  </si>
  <si>
    <t>2019S034336</t>
  </si>
  <si>
    <t>CALL. SAN CONRADO / AVDA. MANZANARES</t>
  </si>
  <si>
    <t>2019S034331</t>
  </si>
  <si>
    <t>RONDA. SEGOVIA / CALL. SEGOVIA</t>
  </si>
  <si>
    <t>2019S034555</t>
  </si>
  <si>
    <t>2019S034565</t>
  </si>
  <si>
    <t>2019S034540</t>
  </si>
  <si>
    <t>PISTA. CRISTO DE EL PARDO</t>
  </si>
  <si>
    <t>2019S034665</t>
  </si>
  <si>
    <t>COLPB. MONTE DE EL PARDO</t>
  </si>
  <si>
    <t>2019S034858</t>
  </si>
  <si>
    <t>CALL. JOAQUIN COSTA</t>
  </si>
  <si>
    <t>2019S034854</t>
  </si>
  <si>
    <t>AVDA. DOCTOR GARCIA TAPIA / CALL. MARROQUINA</t>
  </si>
  <si>
    <t>2019S034836</t>
  </si>
  <si>
    <t>AVDA. CANILLEJAS A VICALVARO</t>
  </si>
  <si>
    <t>2019S034960</t>
  </si>
  <si>
    <t>INS. AVENIDA DE LOS TOREROS / CALL. FRANCISCO SANTOS</t>
  </si>
  <si>
    <t>2019S034953</t>
  </si>
  <si>
    <t>PASEO. PRADO / PLAZA. CIBELES</t>
  </si>
  <si>
    <t>2019S035065</t>
  </si>
  <si>
    <t>CALL. TOSCANA / AVDA. GUADALAJARA</t>
  </si>
  <si>
    <t>2019S035207</t>
  </si>
  <si>
    <t>2019S035125</t>
  </si>
  <si>
    <t>CALL. BATALLA DEL SALADO / CALL. CACERES</t>
  </si>
  <si>
    <t>2019S035493</t>
  </si>
  <si>
    <t>CALL. SERRANO / CALL. ARMADA ESPAÑOLA</t>
  </si>
  <si>
    <t>2019S035249</t>
  </si>
  <si>
    <t>2019S035414</t>
  </si>
  <si>
    <t>2019S035344</t>
  </si>
  <si>
    <t>2019S035312</t>
  </si>
  <si>
    <t>PLAZA. SAN ILDEFONSO</t>
  </si>
  <si>
    <t>2019S035430</t>
  </si>
  <si>
    <t>2019S035417</t>
  </si>
  <si>
    <t>CALL. GOYA</t>
  </si>
  <si>
    <t>2019S035586</t>
  </si>
  <si>
    <t>CALL. GENERAL ALVAREZ DE CASTRO / CALL. ELOY GONZALO</t>
  </si>
  <si>
    <t>2019S035514</t>
  </si>
  <si>
    <t>CALL. ALCALA / CALL. MARTIRES CONCEPCIONISTAS</t>
  </si>
  <si>
    <t>2019S035513</t>
  </si>
  <si>
    <t>PLAZA. SANTO DOMINGO / CALL. SILVA</t>
  </si>
  <si>
    <t>2019S035440</t>
  </si>
  <si>
    <t>CALL. TENIENTE CORONEL NOREÑA / CALL. TERESA LOPEZ VALCARCEL</t>
  </si>
  <si>
    <t>2019S035679</t>
  </si>
  <si>
    <t>PASEO. ESPERANZA / CALL. GARGANTILLA</t>
  </si>
  <si>
    <t>2019S035786</t>
  </si>
  <si>
    <t>CALL. JACOBINIA / CALL. EUGENIA DE MONTIJO</t>
  </si>
  <si>
    <t>2019S035582</t>
  </si>
  <si>
    <t>AVDA. PEÑA PRIETA / CALL. PICO ALMANZOR</t>
  </si>
  <si>
    <t>2019S035655</t>
  </si>
  <si>
    <t>PASEO. CHOPERA / PLAZA. GENERAL MAROTO</t>
  </si>
  <si>
    <t>2019S035527</t>
  </si>
  <si>
    <t>RONDA. SEGOVIA</t>
  </si>
  <si>
    <t>2019S035805</t>
  </si>
  <si>
    <t>PASEO. ESPERANZA / CALL. MORATINES</t>
  </si>
  <si>
    <t>2019S035751</t>
  </si>
  <si>
    <t>PLAZA. CONDE DE CASAL / AVDA. MEDITERRANEO</t>
  </si>
  <si>
    <t>2019S036005</t>
  </si>
  <si>
    <t>AVDA. PORTUGAL / PQUE. MADRID RIO</t>
  </si>
  <si>
    <t>2019S039726</t>
  </si>
  <si>
    <t>CALL. SAN MARCOS / CALL. BARBIERI</t>
  </si>
  <si>
    <t>2019S035904</t>
  </si>
  <si>
    <t>AVDA. ALFONSO XIII</t>
  </si>
  <si>
    <t>2019S035767</t>
  </si>
  <si>
    <t>2019S036046</t>
  </si>
  <si>
    <t>CALL. SERRANO / CALL. AYALA</t>
  </si>
  <si>
    <t>2019S036119</t>
  </si>
  <si>
    <t>ATOCHA</t>
  </si>
  <si>
    <t>2019S036089</t>
  </si>
  <si>
    <t>CALL. MARTIN MUÑOZ DE LAS POSADAS</t>
  </si>
  <si>
    <t>2019S036377</t>
  </si>
  <si>
    <t>GTA. SAN VICENTE</t>
  </si>
  <si>
    <t>2019S036407</t>
  </si>
  <si>
    <t>AVDA. SECUNDINO ZUAZO / CALL. MARIA DE LAS MERCEDES DE BORBON</t>
  </si>
  <si>
    <t>2019S036406</t>
  </si>
  <si>
    <t>CALL. TOLEDO / PASEO. JUAN ANTONIO VALLEJO-NAJERA BOTAS</t>
  </si>
  <si>
    <t>2019S036525</t>
  </si>
  <si>
    <t>AVDA. BRASILIA / AVDA. BADAJOZ</t>
  </si>
  <si>
    <t>2019S036327</t>
  </si>
  <si>
    <t>2019S036539</t>
  </si>
  <si>
    <t>CALL. CASTELLO</t>
  </si>
  <si>
    <t>2019S036642</t>
  </si>
  <si>
    <t>CALL. RIVAS / CALL. BOYER</t>
  </si>
  <si>
    <t>2019S036636</t>
  </si>
  <si>
    <t>CALL. CANTALEJO</t>
  </si>
  <si>
    <t>2019S036820</t>
  </si>
  <si>
    <t>2019S036789</t>
  </si>
  <si>
    <t>CALL. ZAOREJAS</t>
  </si>
  <si>
    <t>2019S036951</t>
  </si>
  <si>
    <t>PASEO. PLATANOS / PASEO. ROBLEDAL</t>
  </si>
  <si>
    <t>2019S036846</t>
  </si>
  <si>
    <t>PLAZA. ALONSO MARTINEZ / CALL. SANTA ENGRACIA</t>
  </si>
  <si>
    <t>2019S036862</t>
  </si>
  <si>
    <t>GTA. OLGA RAMOS</t>
  </si>
  <si>
    <t>2019S036984</t>
  </si>
  <si>
    <t>CALL. FERMIN CABALLERO</t>
  </si>
  <si>
    <t>2019S037108</t>
  </si>
  <si>
    <t>2019S037177</t>
  </si>
  <si>
    <t>PLAZA. MORERAS / PASEO. PIÑONERO</t>
  </si>
  <si>
    <t>2019S037082</t>
  </si>
  <si>
    <t>CALL. PELAYO</t>
  </si>
  <si>
    <t>2019S037330</t>
  </si>
  <si>
    <t>PLAZA. OLAVIDE</t>
  </si>
  <si>
    <t>2019S037437</t>
  </si>
  <si>
    <t>CALL. NICOLAS SALMERON</t>
  </si>
  <si>
    <t>2019S037130</t>
  </si>
  <si>
    <t>2019S037342</t>
  </si>
  <si>
    <t>PASEO. SANTA MARIA DE LA CABEZA / CALL. MARCELO USERA</t>
  </si>
  <si>
    <t>2019S037662</t>
  </si>
  <si>
    <t>AVDA. CIUDAD DE BARCELONA / CALL. ARREGUI Y ARUEJ</t>
  </si>
  <si>
    <t>2019S037676</t>
  </si>
  <si>
    <t>CALL. PRINCIPE DE VERGARA / CALL. LOPEZ DE HOYOS</t>
  </si>
  <si>
    <t>2019S037683</t>
  </si>
  <si>
    <t>CALL. RIOS ROSAS</t>
  </si>
  <si>
    <t>2019S037835</t>
  </si>
  <si>
    <t>2019S037712</t>
  </si>
  <si>
    <t>SANTA  ENGRACIA</t>
  </si>
  <si>
    <t>2019S037770</t>
  </si>
  <si>
    <t>AVDA DE LAS FUERZAS ARMADAS/ AVDA DE BUENOS AIRES</t>
  </si>
  <si>
    <t>2019S037705</t>
  </si>
  <si>
    <t>2019S037819</t>
  </si>
  <si>
    <t>2019S037723</t>
  </si>
  <si>
    <t>2019S038013</t>
  </si>
  <si>
    <t>CALL. BRAVO MURILLO / CALL. SAN GERMAN</t>
  </si>
  <si>
    <t>2019S038170</t>
  </si>
  <si>
    <t>CALL. PITAGORAS / PLAZA. GRECIA</t>
  </si>
  <si>
    <t>2019S038240</t>
  </si>
  <si>
    <t>AVDA. LLANO CASTELLANO</t>
  </si>
  <si>
    <t>2019S038265</t>
  </si>
  <si>
    <t>CALL. MENDEZ ALVARO / AVDA. PLANETARIO</t>
  </si>
  <si>
    <t>2019S038470</t>
  </si>
  <si>
    <t>GTA. PINTOR SOROLLA / CALL. ELOY GONZALO</t>
  </si>
  <si>
    <t>2019S038296</t>
  </si>
  <si>
    <t>2019S038464</t>
  </si>
  <si>
    <t>CALL. EMBAJADORES / CALL. RICARDO GOIZUETA</t>
  </si>
  <si>
    <t>2019S038567</t>
  </si>
  <si>
    <t>PASEO. MELANCOLICOS / PASEO. PONTONES</t>
  </si>
  <si>
    <t>2019S038444</t>
  </si>
  <si>
    <t>CALL. EDISON / GTA. LOPEZ DE HOYOS</t>
  </si>
  <si>
    <t>2019S039461</t>
  </si>
  <si>
    <t>2019S038482</t>
  </si>
  <si>
    <t>2019S038773</t>
  </si>
  <si>
    <t>CTRA. ZARZON / CTRA. RODAJOS</t>
  </si>
  <si>
    <t>2019S038736</t>
  </si>
  <si>
    <t>AVDA. CANILLEJAS A VICALVARO / CALL. JULIAN CAMARILLO</t>
  </si>
  <si>
    <t>2019S038688</t>
  </si>
  <si>
    <t>2019S038816</t>
  </si>
  <si>
    <t>CALL. TOLEDO</t>
  </si>
  <si>
    <t>2019S038818</t>
  </si>
  <si>
    <t>GTA. RUIZ JIMENEZ</t>
  </si>
  <si>
    <t>2019S038876</t>
  </si>
  <si>
    <t>CALL. PONZANO</t>
  </si>
  <si>
    <t>2019S039796</t>
  </si>
  <si>
    <t>CALL. ANGEL GANIVET</t>
  </si>
  <si>
    <t>2019S039474</t>
  </si>
  <si>
    <t>CALL. BOLSA / CALL. BOLSA</t>
  </si>
  <si>
    <t>2019S039799</t>
  </si>
  <si>
    <t>CALL. WALIA / CALL. ANGEL GANIVET</t>
  </si>
  <si>
    <t>2019S038869</t>
  </si>
  <si>
    <t>CALL. RICARDO ORTIZ</t>
  </si>
  <si>
    <t>2019S038971</t>
  </si>
  <si>
    <t>PLAZA. SANTA BARBARA</t>
  </si>
  <si>
    <t>2019S039179</t>
  </si>
  <si>
    <t>CALL. MARQUES DE VALDEIGLESIAS</t>
  </si>
  <si>
    <t>2019S039131</t>
  </si>
  <si>
    <t>CALL. VILLAAMIL</t>
  </si>
  <si>
    <t>2019S039263</t>
  </si>
  <si>
    <t>CALL. CARRANZA</t>
  </si>
  <si>
    <t>2019S039475</t>
  </si>
  <si>
    <t>CALL. CANTALEJO / CALL. ARROYOFRESNO</t>
  </si>
  <si>
    <t>2019S039483</t>
  </si>
  <si>
    <t>CALL. BARQUILLO</t>
  </si>
  <si>
    <t>2019S039890</t>
  </si>
  <si>
    <t>CALL. ALEJANDRO SANCHEZ</t>
  </si>
  <si>
    <t>2019S039705</t>
  </si>
  <si>
    <t>CALL. CORREGIDOR SEÑOR DE LA ELIPA / CALL. CAMINO DE LOS VINATEROS</t>
  </si>
  <si>
    <t>2019S039749</t>
  </si>
  <si>
    <t>CALL. GRAN VIA / CALL. DOCTOR CARRACIDO</t>
  </si>
  <si>
    <t>2019S039769</t>
  </si>
  <si>
    <t>PASEO. ACACIAS / PLAZA. ORTEGA Y MUNILLA</t>
  </si>
  <si>
    <t>2019S039844</t>
  </si>
  <si>
    <t>CALL. PALAS DE REY</t>
  </si>
  <si>
    <t>ID number</t>
  </si>
  <si>
    <t>DATE</t>
  </si>
  <si>
    <t>HOUR</t>
  </si>
  <si>
    <t>STREET</t>
  </si>
  <si>
    <t>ACCIDENT TYPE</t>
  </si>
  <si>
    <t>WEATHER</t>
  </si>
  <si>
    <t>PERSON</t>
  </si>
  <si>
    <t>AGE RANGE</t>
  </si>
  <si>
    <t>SEX</t>
  </si>
  <si>
    <t>LESIVITY</t>
  </si>
  <si>
    <t>Reach</t>
  </si>
  <si>
    <t>Hitting an animal</t>
  </si>
  <si>
    <t>Hitting a person</t>
  </si>
  <si>
    <t>Fall</t>
  </si>
  <si>
    <t>Crash into fixed obstacle</t>
  </si>
  <si>
    <t>Head-on collision</t>
  </si>
  <si>
    <t>Lateral collision</t>
  </si>
  <si>
    <t>Multiple collision</t>
  </si>
  <si>
    <t>Other</t>
  </si>
  <si>
    <t>Clear</t>
  </si>
  <si>
    <t>Hailing</t>
  </si>
  <si>
    <t>Light rain</t>
  </si>
  <si>
    <t>Heavy rain</t>
  </si>
  <si>
    <t>Cloudy</t>
  </si>
  <si>
    <t>Unknown</t>
  </si>
  <si>
    <t>Driver</t>
  </si>
  <si>
    <t>Passenger</t>
  </si>
  <si>
    <t>Pedestrian</t>
  </si>
  <si>
    <t>FROM 0 TO 5 YEARS OLD</t>
  </si>
  <si>
    <t>FROM 10 TO 14 YEARS</t>
  </si>
  <si>
    <t>FROM 15 TO 17 YEARS</t>
  </si>
  <si>
    <t>18 TO 20 YEARS</t>
  </si>
  <si>
    <t>21 TO 24 YEARS</t>
  </si>
  <si>
    <t>FROM 25 TO 29 YEARS</t>
  </si>
  <si>
    <t>30 TO 34 YEARS</t>
  </si>
  <si>
    <t>FROM 35 TO 39 YEARS</t>
  </si>
  <si>
    <t>40 TO 44 YEARS</t>
  </si>
  <si>
    <t>45 TO 49 YEARS OLD</t>
  </si>
  <si>
    <t>50 TO 54 YEARS OLD</t>
  </si>
  <si>
    <t>55 TO 59 YEARS OLD</t>
  </si>
  <si>
    <t>FROM 6 TO 9 YEARS OLD</t>
  </si>
  <si>
    <t>60 TO 64 YEARS</t>
  </si>
  <si>
    <t>65 TO 69 YEARS</t>
  </si>
  <si>
    <t>FROM 70 TO 74 YEARS</t>
  </si>
  <si>
    <t>UNKNOWN</t>
  </si>
  <si>
    <t>OVER 74 YEARS</t>
  </si>
  <si>
    <t>Male</t>
  </si>
  <si>
    <t>Female</t>
  </si>
  <si>
    <t>DISTRICT</t>
  </si>
  <si>
    <t>Row Labels</t>
  </si>
  <si>
    <t>Grand 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</si>
  <si>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</si>
  <si>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</si>
  <si>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</si>
  <si>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</si>
  <si>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</si>
  <si>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</si>
  <si>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</si>
  <si>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</si>
  <si>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</si>
  <si>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</si>
  <si>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</si>
  <si>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</si>
  <si>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Column Labels</t>
  </si>
  <si>
    <t>(Multiple Items)</t>
  </si>
  <si>
    <t>LESS THAN 18 YEARS OLD</t>
  </si>
  <si>
    <t>From 18 to 29</t>
  </si>
  <si>
    <t>From 30 to 39</t>
  </si>
  <si>
    <t>From 40 to 49</t>
  </si>
  <si>
    <t>From 50 to 59</t>
  </si>
  <si>
    <t>60 or more</t>
  </si>
  <si>
    <t>The majority of accidents are normally on the younger age range, probably because they are the ones that rent bikes more frequently</t>
  </si>
  <si>
    <t>However, for some type of accidents, this is not entirely true: Fall, Lateral collision, Other or Reach</t>
  </si>
  <si>
    <t>Hour2</t>
  </si>
  <si>
    <t>North</t>
  </si>
  <si>
    <t>East</t>
  </si>
  <si>
    <t>AREA</t>
  </si>
  <si>
    <t>Day_moment</t>
  </si>
  <si>
    <t>Moment of the day</t>
  </si>
  <si>
    <t>% of accidents</t>
  </si>
  <si>
    <t>% of increase</t>
  </si>
  <si>
    <t>Gender</t>
  </si>
  <si>
    <t>Months</t>
  </si>
  <si>
    <t>Age Range</t>
  </si>
  <si>
    <t>Type of accident</t>
  </si>
  <si>
    <t>District_area</t>
  </si>
  <si>
    <t>Differences of sign in several months (Feb, Jun, Oct ..)</t>
  </si>
  <si>
    <t>Before 15</t>
  </si>
  <si>
    <t>After 15</t>
  </si>
  <si>
    <t>Differences in most weather conditions</t>
  </si>
  <si>
    <t>NOTE: AGE RANGES ARE GROUPED</t>
  </si>
  <si>
    <t>Average of LESIVITY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</si>
</sst>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4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20" fontId="0" fillId="0" borderId="0" xfId="0" applyNumberFormat="1"/>
    <xf numFmtId="0" fontId="3" fillId="0" borderId="0" xfId="1" applyFont="1"/>
    <xf numFmtId="0" fontId="2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5" fillId="0" borderId="0" xfId="0" applyFont="1"/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165" fontId="7" fillId="0" borderId="0" xfId="2" applyNumberFormat="1" applyFont="1"/>
    <xf numFmtId="0" fontId="7" fillId="0" borderId="0" xfId="0" applyFont="1"/>
    <xf numFmtId="0" fontId="5" fillId="0" borderId="0" xfId="0" applyFont="1" applyAlignment="1">
      <alignment horizontal="left"/>
    </xf>
    <xf numFmtId="0" fontId="0" fillId="0" borderId="0" xfId="0" applyFont="1"/>
    <xf numFmtId="2" fontId="0" fillId="0" borderId="0" xfId="0" applyNumberFormat="1" applyAlignment="1">
      <alignment horizontal="center"/>
    </xf>
    <xf numFmtId="2" fontId="5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91">
    <dxf>
      <numFmt numFmtId="2" formatCode="0.00"/>
    </dxf>
    <dxf>
      <numFmt numFmtId="13" formatCode="0%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numFmt numFmtId="13" formatCode="0%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numFmt numFmtId="13" formatCode="0%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numFmt numFmtId="13" formatCode="0%"/>
    </dxf>
    <dxf>
      <alignment horizontal="center"/>
    </dxf>
    <dxf>
      <numFmt numFmtId="166" formatCode="0.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alignment horizont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83.808694791667" createdVersion="8" refreshedVersion="8" minRefreshableVersion="3" recordCount="891" xr:uid="{0BBBD28D-977F-4A3C-A50A-A96919716F45}">
  <cacheSource type="worksheet">
    <worksheetSource ref="A1:O892" sheet="data"/>
  </cacheSource>
  <cacheFields count="19">
    <cacheField name="ID number" numFmtId="0">
      <sharedItems/>
    </cacheField>
    <cacheField name="DATE" numFmtId="164">
      <sharedItems containsSemiMixedTypes="0" containsNonDate="0" containsDate="1" containsString="0" minDate="2019-01-01T00:00:00" maxDate="2019-12-31T00:00:00" count="315">
        <d v="2019-04-08T00:00:00"/>
        <d v="2019-05-10T00:00:00"/>
        <d v="2019-06-13T00:00:00"/>
        <d v="2019-07-13T00:00:00"/>
        <d v="2019-07-17T00:00:00"/>
        <d v="2019-08-29T00:00:00"/>
        <d v="2019-09-05T00:00:00"/>
        <d v="2019-10-23T00:00:00"/>
        <d v="2019-11-19T00:00:00"/>
        <d v="2019-12-27T00:00:00"/>
        <d v="2019-01-21T00:00:00"/>
        <d v="2019-01-30T00:00:00"/>
        <d v="2019-03-08T00:00:00"/>
        <d v="2019-04-22T00:00:00"/>
        <d v="2019-05-14T00:00:00"/>
        <d v="2019-05-18T00:00:00"/>
        <d v="2019-05-21T00:00:00"/>
        <d v="2019-06-02T00:00:00"/>
        <d v="2019-06-04T00:00:00"/>
        <d v="2019-06-11T00:00:00"/>
        <d v="2019-07-01T00:00:00"/>
        <d v="2019-07-14T00:00:00"/>
        <d v="2019-08-16T00:00:00"/>
        <d v="2019-09-03T00:00:00"/>
        <d v="2019-09-15T00:00:00"/>
        <d v="2019-09-27T00:00:00"/>
        <d v="2019-10-09T00:00:00"/>
        <d v="2019-12-30T00:00:00"/>
        <d v="2019-01-03T00:00:00"/>
        <d v="2019-01-09T00:00:00"/>
        <d v="2019-01-12T00:00:00"/>
        <d v="2019-02-06T00:00:00"/>
        <d v="2019-02-20T00:00:00"/>
        <d v="2019-03-01T00:00:00"/>
        <d v="2019-03-10T00:00:00"/>
        <d v="2019-03-17T00:00:00"/>
        <d v="2019-03-25T00:00:00"/>
        <d v="2019-03-31T00:00:00"/>
        <d v="2019-04-11T00:00:00"/>
        <d v="2019-05-07T00:00:00"/>
        <d v="2019-05-12T00:00:00"/>
        <d v="2019-05-25T00:00:00"/>
        <d v="2019-05-27T00:00:00"/>
        <d v="2019-06-08T00:00:00"/>
        <d v="2019-06-10T00:00:00"/>
        <d v="2019-06-14T00:00:00"/>
        <d v="2019-07-04T00:00:00"/>
        <d v="2019-07-20T00:00:00"/>
        <d v="2019-08-09T00:00:00"/>
        <d v="2019-09-02T00:00:00"/>
        <d v="2019-09-30T00:00:00"/>
        <d v="2019-10-07T00:00:00"/>
        <d v="2019-10-20T00:00:00"/>
        <d v="2019-11-28T00:00:00"/>
        <d v="2019-01-17T00:00:00"/>
        <d v="2019-02-27T00:00:00"/>
        <d v="2019-02-28T00:00:00"/>
        <d v="2019-03-04T00:00:00"/>
        <d v="2019-03-15T00:00:00"/>
        <d v="2019-04-07T00:00:00"/>
        <d v="2019-04-20T00:00:00"/>
        <d v="2019-05-05T00:00:00"/>
        <d v="2019-05-22T00:00:00"/>
        <d v="2019-06-01T00:00:00"/>
        <d v="2019-06-07T00:00:00"/>
        <d v="2019-06-29T00:00:00"/>
        <d v="2019-07-02T00:00:00"/>
        <d v="2019-07-07T00:00:00"/>
        <d v="2019-07-12T00:00:00"/>
        <d v="2019-07-26T00:00:00"/>
        <d v="2019-08-05T00:00:00"/>
        <d v="2019-08-07T00:00:00"/>
        <d v="2019-08-23T00:00:00"/>
        <d v="2019-08-31T00:00:00"/>
        <d v="2019-09-09T00:00:00"/>
        <d v="2019-09-23T00:00:00"/>
        <d v="2019-10-02T00:00:00"/>
        <d v="2019-10-03T00:00:00"/>
        <d v="2019-10-15T00:00:00"/>
        <d v="2019-10-17T00:00:00"/>
        <d v="2019-10-21T00:00:00"/>
        <d v="2019-11-02T00:00:00"/>
        <d v="2019-11-14T00:00:00"/>
        <d v="2019-12-05T00:00:00"/>
        <d v="2019-12-28T00:00:00"/>
        <d v="2019-01-25T00:00:00"/>
        <d v="2019-02-01T00:00:00"/>
        <d v="2019-02-10T00:00:00"/>
        <d v="2019-02-13T00:00:00"/>
        <d v="2019-02-14T00:00:00"/>
        <d v="2019-02-23T00:00:00"/>
        <d v="2019-03-03T00:00:00"/>
        <d v="2019-03-09T00:00:00"/>
        <d v="2019-04-01T00:00:00"/>
        <d v="2019-04-02T00:00:00"/>
        <d v="2019-04-27T00:00:00"/>
        <d v="2019-05-04T00:00:00"/>
        <d v="2019-05-15T00:00:00"/>
        <d v="2019-05-16T00:00:00"/>
        <d v="2019-05-17T00:00:00"/>
        <d v="2019-05-19T00:00:00"/>
        <d v="2019-05-23T00:00:00"/>
        <d v="2019-05-28T00:00:00"/>
        <d v="2019-05-31T00:00:00"/>
        <d v="2019-06-05T00:00:00"/>
        <d v="2019-06-12T00:00:00"/>
        <d v="2019-06-16T00:00:00"/>
        <d v="2019-06-17T00:00:00"/>
        <d v="2019-06-21T00:00:00"/>
        <d v="2019-06-26T00:00:00"/>
        <d v="2019-06-28T00:00:00"/>
        <d v="2019-06-30T00:00:00"/>
        <d v="2019-07-05T00:00:00"/>
        <d v="2019-07-06T00:00:00"/>
        <d v="2019-07-21T00:00:00"/>
        <d v="2019-07-22T00:00:00"/>
        <d v="2019-07-30T00:00:00"/>
        <d v="2019-08-26T00:00:00"/>
        <d v="2019-08-30T00:00:00"/>
        <d v="2019-09-14T00:00:00"/>
        <d v="2019-09-18T00:00:00"/>
        <d v="2019-09-19T00:00:00"/>
        <d v="2019-09-20T00:00:00"/>
        <d v="2019-09-24T00:00:00"/>
        <d v="2019-09-26T00:00:00"/>
        <d v="2019-09-29T00:00:00"/>
        <d v="2019-10-04T00:00:00"/>
        <d v="2019-10-10T00:00:00"/>
        <d v="2019-10-14T00:00:00"/>
        <d v="2019-10-28T00:00:00"/>
        <d v="2019-10-31T00:00:00"/>
        <d v="2019-11-10T00:00:00"/>
        <d v="2019-11-13T00:00:00"/>
        <d v="2019-11-23T00:00:00"/>
        <d v="2019-11-27T00:00:00"/>
        <d v="2019-11-29T00:00:00"/>
        <d v="2019-11-30T00:00:00"/>
        <d v="2019-12-14T00:00:00"/>
        <d v="2019-12-21T00:00:00"/>
        <d v="2019-01-01T00:00:00"/>
        <d v="2019-01-08T00:00:00"/>
        <d v="2019-01-11T00:00:00"/>
        <d v="2019-01-14T00:00:00"/>
        <d v="2019-01-19T00:00:00"/>
        <d v="2019-01-26T00:00:00"/>
        <d v="2019-01-27T00:00:00"/>
        <d v="2019-02-08T00:00:00"/>
        <d v="2019-02-11T00:00:00"/>
        <d v="2019-02-12T00:00:00"/>
        <d v="2019-03-02T00:00:00"/>
        <d v="2019-03-11T00:00:00"/>
        <d v="2019-03-18T00:00:00"/>
        <d v="2019-03-20T00:00:00"/>
        <d v="2019-03-22T00:00:00"/>
        <d v="2019-03-24T00:00:00"/>
        <d v="2019-03-27T00:00:00"/>
        <d v="2019-04-04T00:00:00"/>
        <d v="2019-04-06T00:00:00"/>
        <d v="2019-04-12T00:00:00"/>
        <d v="2019-04-16T00:00:00"/>
        <d v="2019-04-24T00:00:00"/>
        <d v="2019-04-29T00:00:00"/>
        <d v="2019-05-03T00:00:00"/>
        <d v="2019-05-13T00:00:00"/>
        <d v="2019-06-03T00:00:00"/>
        <d v="2019-06-06T00:00:00"/>
        <d v="2019-06-19T00:00:00"/>
        <d v="2019-06-22T00:00:00"/>
        <d v="2019-06-25T00:00:00"/>
        <d v="2019-06-27T00:00:00"/>
        <d v="2019-07-09T00:00:00"/>
        <d v="2019-07-11T00:00:00"/>
        <d v="2019-07-16T00:00:00"/>
        <d v="2019-07-18T00:00:00"/>
        <d v="2019-07-23T00:00:00"/>
        <d v="2019-07-24T00:00:00"/>
        <d v="2019-07-29T00:00:00"/>
        <d v="2019-07-31T00:00:00"/>
        <d v="2019-08-03T00:00:00"/>
        <d v="2019-08-21T00:00:00"/>
        <d v="2019-08-22T00:00:00"/>
        <d v="2019-08-25T00:00:00"/>
        <d v="2019-08-27T00:00:00"/>
        <d v="2019-08-28T00:00:00"/>
        <d v="2019-09-04T00:00:00"/>
        <d v="2019-09-07T00:00:00"/>
        <d v="2019-09-08T00:00:00"/>
        <d v="2019-09-10T00:00:00"/>
        <d v="2019-09-25T00:00:00"/>
        <d v="2019-09-28T00:00:00"/>
        <d v="2019-10-01T00:00:00"/>
        <d v="2019-10-12T00:00:00"/>
        <d v="2019-10-16T00:00:00"/>
        <d v="2019-10-26T00:00:00"/>
        <d v="2019-10-29T00:00:00"/>
        <d v="2019-11-06T00:00:00"/>
        <d v="2019-11-09T00:00:00"/>
        <d v="2019-11-12T00:00:00"/>
        <d v="2019-11-15T00:00:00"/>
        <d v="2019-11-18T00:00:00"/>
        <d v="2019-11-21T00:00:00"/>
        <d v="2019-11-22T00:00:00"/>
        <d v="2019-11-25T00:00:00"/>
        <d v="2019-11-26T00:00:00"/>
        <d v="2019-12-01T00:00:00"/>
        <d v="2019-12-04T00:00:00"/>
        <d v="2019-12-06T00:00:00"/>
        <d v="2019-12-17T00:00:00"/>
        <d v="2019-12-20T00:00:00"/>
        <d v="2019-12-23T00:00:00"/>
        <d v="2019-01-04T00:00:00"/>
        <d v="2019-01-07T00:00:00"/>
        <d v="2019-01-24T00:00:00"/>
        <d v="2019-02-07T00:00:00"/>
        <d v="2019-02-25T00:00:00"/>
        <d v="2019-03-16T00:00:00"/>
        <d v="2019-04-09T00:00:00"/>
        <d v="2019-04-14T00:00:00"/>
        <d v="2019-04-28T00:00:00"/>
        <d v="2019-06-09T00:00:00"/>
        <d v="2019-06-15T00:00:00"/>
        <d v="2019-06-23T00:00:00"/>
        <d v="2019-07-08T00:00:00"/>
        <d v="2019-07-10T00:00:00"/>
        <d v="2019-07-15T00:00:00"/>
        <d v="2019-08-01T00:00:00"/>
        <d v="2019-08-02T00:00:00"/>
        <d v="2019-08-10T00:00:00"/>
        <d v="2019-08-15T00:00:00"/>
        <d v="2019-08-19T00:00:00"/>
        <d v="2019-08-20T00:00:00"/>
        <d v="2019-09-12T00:00:00"/>
        <d v="2019-09-22T00:00:00"/>
        <d v="2019-10-05T00:00:00"/>
        <d v="2019-10-18T00:00:00"/>
        <d v="2019-10-22T00:00:00"/>
        <d v="2019-11-04T00:00:00"/>
        <d v="2019-12-08T00:00:00"/>
        <d v="2019-12-13T00:00:00"/>
        <d v="2019-12-15T00:00:00"/>
        <d v="2019-01-16T00:00:00"/>
        <d v="2019-02-02T00:00:00"/>
        <d v="2019-02-16T00:00:00"/>
        <d v="2019-02-17T00:00:00"/>
        <d v="2019-03-05T00:00:00"/>
        <d v="2019-03-06T00:00:00"/>
        <d v="2019-03-12T00:00:00"/>
        <d v="2019-03-26T00:00:00"/>
        <d v="2019-03-29T00:00:00"/>
        <d v="2019-03-30T00:00:00"/>
        <d v="2019-04-05T00:00:00"/>
        <d v="2019-05-06T00:00:00"/>
        <d v="2019-05-20T00:00:00"/>
        <d v="2019-05-26T00:00:00"/>
        <d v="2019-05-29T00:00:00"/>
        <d v="2019-06-24T00:00:00"/>
        <d v="2019-08-06T00:00:00"/>
        <d v="2019-08-14T00:00:00"/>
        <d v="2019-09-01T00:00:00"/>
        <d v="2019-09-11T00:00:00"/>
        <d v="2019-09-16T00:00:00"/>
        <d v="2019-09-17T00:00:00"/>
        <d v="2019-10-25T00:00:00"/>
        <d v="2019-10-27T00:00:00"/>
        <d v="2019-11-01T00:00:00"/>
        <d v="2019-12-11T00:00:00"/>
        <d v="2019-02-22T00:00:00"/>
        <d v="2019-03-13T00:00:00"/>
        <d v="2019-03-19T00:00:00"/>
        <d v="2019-03-28T00:00:00"/>
        <d v="2019-04-03T00:00:00"/>
        <d v="2019-04-23T00:00:00"/>
        <d v="2019-07-27T00:00:00"/>
        <d v="2019-08-08T00:00:00"/>
        <d v="2019-11-08T00:00:00"/>
        <d v="2019-11-11T00:00:00"/>
        <d v="2019-12-18T00:00:00"/>
        <d v="2019-12-19T00:00:00"/>
        <d v="2019-01-18T00:00:00"/>
        <d v="2019-01-29T00:00:00"/>
        <d v="2019-02-03T00:00:00"/>
        <d v="2019-02-15T00:00:00"/>
        <d v="2019-03-14T00:00:00"/>
        <d v="2019-03-23T00:00:00"/>
        <d v="2019-04-10T00:00:00"/>
        <d v="2019-05-11T00:00:00"/>
        <d v="2019-05-24T00:00:00"/>
        <d v="2019-07-03T00:00:00"/>
        <d v="2019-08-24T00:00:00"/>
        <d v="2019-09-13T00:00:00"/>
        <d v="2019-09-21T00:00:00"/>
        <d v="2019-11-24T00:00:00"/>
        <d v="2019-12-16T00:00:00"/>
        <d v="2019-01-10T00:00:00"/>
        <d v="2019-02-19T00:00:00"/>
        <d v="2019-07-28T00:00:00"/>
        <d v="2019-10-06T00:00:00"/>
        <d v="2019-10-30T00:00:00"/>
        <d v="2019-12-24T00:00:00"/>
        <d v="2019-01-28T00:00:00"/>
        <d v="2019-05-02T00:00:00"/>
        <d v="2019-06-18T00:00:00"/>
        <d v="2019-10-11T00:00:00"/>
        <d v="2019-11-07T00:00:00"/>
        <d v="2019-04-21T00:00:00"/>
        <d v="2019-09-06T00:00:00"/>
        <d v="2019-01-23T00:00:00"/>
        <d v="2019-04-17T00:00:00"/>
        <d v="2019-07-25T00:00:00"/>
        <d v="2019-10-08T00:00:00"/>
        <d v="2019-12-26T00:00:00"/>
        <d v="2019-01-02T00:00:00"/>
        <d v="2019-11-05T00:00:00"/>
        <d v="2019-06-20T00:00:00"/>
        <d v="2019-12-29T00:00:00"/>
      </sharedItems>
      <fieldGroup par="17" base="1">
        <rangePr groupBy="days" startDate="2019-01-01T00:00:00" endDate="2019-12-31T00:00:00"/>
        <groupItems count="368">
          <s v="&lt;01/01/2019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12/2019"/>
        </groupItems>
      </fieldGroup>
    </cacheField>
    <cacheField name="HOUR" numFmtId="20">
      <sharedItems containsSemiMixedTypes="0" containsNonDate="0" containsDate="1" containsString="0" minDate="1899-12-30T00:00:00" maxDate="1899-12-30T23:56:00"/>
    </cacheField>
    <cacheField name="Hour2" numFmtId="165">
      <sharedItems containsSemiMixedTypes="0" containsString="0" containsNumber="1" containsInteger="1" minValue="0" maxValue="23"/>
    </cacheField>
    <cacheField name="Day_moment" numFmtId="165">
      <sharedItems containsMixedTypes="1" containsNumber="1" containsInteger="1" minValue="0" maxValue="1" count="4">
        <s v="Before 15"/>
        <s v="After 15"/>
        <n v="1" u="1"/>
        <n v="0" u="1"/>
      </sharedItems>
    </cacheField>
    <cacheField name="STREET" numFmtId="0">
      <sharedItems/>
    </cacheField>
    <cacheField name="DISTRICT" numFmtId="0">
      <sharedItems count="22">
        <s v="USERA"/>
        <s v="CARABANCHEL"/>
        <s v="CENTRO"/>
        <s v="LATINA"/>
        <s v="VILLAVERDE"/>
        <s v="TETUÁN"/>
        <s v="VILLA DE VALLECAS"/>
        <s v="HORTALEZA"/>
        <s v="CIUDAD LINEAL"/>
        <s v="MONCLOA-ARAVACA"/>
        <s v="FUENCARRAL-EL PARDO"/>
        <s v="ARGANZUELA"/>
        <s v="MORATALAZ"/>
        <s v="SAN BLAS-CANILLEJAS"/>
        <s v="CHAMARTÍN"/>
        <s v="CHAMBERÍ"/>
        <s v="RETIRO"/>
        <s v="PUENTE DE VALLECAS"/>
        <s v="SALAMANCA"/>
        <e v="#N/A"/>
        <s v="BARAJAS"/>
        <s v="VICÁLVARO"/>
      </sharedItems>
    </cacheField>
    <cacheField name="Surface" numFmtId="0">
      <sharedItems containsMixedTypes="1" containsNumber="1" minValue="4.6900000000000004" maxValue="237.81"/>
    </cacheField>
    <cacheField name="District_size" numFmtId="0">
      <sharedItems/>
    </cacheField>
    <cacheField name="District_area" numFmtId="0">
      <sharedItems count="5">
        <s v=""/>
        <s v="North"/>
        <s v="East"/>
        <s v="South" u="1"/>
        <s v="West" u="1"/>
      </sharedItems>
    </cacheField>
    <cacheField name="ACCIDENT TYPE" numFmtId="0">
      <sharedItems count="9">
        <s v="Hitting a person"/>
        <s v="Reach"/>
        <s v="Head-on collision"/>
        <s v="Lateral collision"/>
        <s v="Fall"/>
        <s v="Other"/>
        <s v="Crash into fixed obstacle"/>
        <s v="Multiple collision"/>
        <s v="Hitting an animal"/>
      </sharedItems>
    </cacheField>
    <cacheField name="WEATHER" numFmtId="0">
      <sharedItems containsBlank="1" count="7">
        <s v="Cloudy"/>
        <s v="Clear"/>
        <s v="Unknown"/>
        <s v="Light rain"/>
        <m/>
        <s v="Heavy rain"/>
        <s v="Hailing"/>
      </sharedItems>
    </cacheField>
    <cacheField name="PERSON" numFmtId="0">
      <sharedItems/>
    </cacheField>
    <cacheField name="AGE RANGE" numFmtId="0">
      <sharedItems count="18">
        <s v="FROM 0 TO 5 YEARS OLD"/>
        <s v="FROM 10 TO 14 YEARS"/>
        <s v="FROM 15 TO 17 YEARS"/>
        <s v="18 TO 20 YEARS"/>
        <s v="21 TO 24 YEARS"/>
        <s v="FROM 25 TO 29 YEARS"/>
        <s v="30 TO 34 YEARS"/>
        <s v="FROM 35 TO 39 YEARS"/>
        <s v="40 TO 44 YEARS"/>
        <s v="45 TO 49 YEARS OLD"/>
        <s v="50 TO 54 YEARS OLD"/>
        <s v="55 TO 59 YEARS OLD"/>
        <s v="FROM 6 TO 9 YEARS OLD"/>
        <s v="60 TO 64 YEARS"/>
        <s v="65 TO 69 YEARS"/>
        <s v="FROM 70 TO 74 YEARS"/>
        <s v="UNKNOWN"/>
        <s v="OVER 74 YEARS"/>
      </sharedItems>
      <fieldGroup par="18"/>
    </cacheField>
    <cacheField name="SEX" numFmtId="0">
      <sharedItems count="3">
        <s v="Male"/>
        <s v="Female"/>
        <s v=""/>
      </sharedItems>
    </cacheField>
    <cacheField name="LESIVITY" numFmtId="0">
      <sharedItems/>
    </cacheField>
    <cacheField name="LESIVITY_Val" numFmtId="0">
      <sharedItems containsMixedTypes="1" containsNumber="1" containsInteger="1" minValue="1" maxValue="14"/>
    </cacheField>
    <cacheField name="Months" numFmtId="0" databaseField="0">
      <fieldGroup base="1">
        <rangePr groupBy="months" startDate="2019-01-01T00:00:00" endDate="2019-12-31T00:00:00"/>
        <groupItems count="14">
          <s v="&lt;01/01/201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19"/>
        </groupItems>
      </fieldGroup>
    </cacheField>
    <cacheField name="AGE RANGE2" numFmtId="0" databaseField="0">
      <fieldGroup base="13">
        <discretePr count="18">
          <x v="1"/>
          <x v="1"/>
          <x v="1"/>
          <x v="2"/>
          <x v="2"/>
          <x v="2"/>
          <x v="3"/>
          <x v="3"/>
          <x v="4"/>
          <x v="4"/>
          <x v="5"/>
          <x v="5"/>
          <x v="1"/>
          <x v="6"/>
          <x v="6"/>
          <x v="6"/>
          <x v="0"/>
          <x v="6"/>
        </discretePr>
        <groupItems count="7">
          <s v="UNKNOWN"/>
          <s v="Group1"/>
          <s v="Group2"/>
          <s v="Group3"/>
          <s v="Group4"/>
          <s v="Group5"/>
          <s v="Group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83.811347916664" createdVersion="8" refreshedVersion="8" minRefreshableVersion="3" recordCount="891" xr:uid="{01DF8034-D194-4E1C-8614-1885DDE4E453}">
  <cacheSource type="worksheet">
    <worksheetSource ref="A1:N892" sheet="data"/>
  </cacheSource>
  <cacheFields count="16">
    <cacheField name="ID number" numFmtId="0">
      <sharedItems/>
    </cacheField>
    <cacheField name="DATE" numFmtId="164">
      <sharedItems containsSemiMixedTypes="0" containsNonDate="0" containsDate="1" containsString="0" minDate="2019-01-01T00:00:00" maxDate="2019-12-31T00:00:00" count="315">
        <d v="2019-04-08T00:00:00"/>
        <d v="2019-05-10T00:00:00"/>
        <d v="2019-06-13T00:00:00"/>
        <d v="2019-07-13T00:00:00"/>
        <d v="2019-07-17T00:00:00"/>
        <d v="2019-08-29T00:00:00"/>
        <d v="2019-09-05T00:00:00"/>
        <d v="2019-10-23T00:00:00"/>
        <d v="2019-11-19T00:00:00"/>
        <d v="2019-12-27T00:00:00"/>
        <d v="2019-01-21T00:00:00"/>
        <d v="2019-01-30T00:00:00"/>
        <d v="2019-03-08T00:00:00"/>
        <d v="2019-04-22T00:00:00"/>
        <d v="2019-05-14T00:00:00"/>
        <d v="2019-05-18T00:00:00"/>
        <d v="2019-05-21T00:00:00"/>
        <d v="2019-06-02T00:00:00"/>
        <d v="2019-06-04T00:00:00"/>
        <d v="2019-06-11T00:00:00"/>
        <d v="2019-07-01T00:00:00"/>
        <d v="2019-07-14T00:00:00"/>
        <d v="2019-08-16T00:00:00"/>
        <d v="2019-09-03T00:00:00"/>
        <d v="2019-09-15T00:00:00"/>
        <d v="2019-09-27T00:00:00"/>
        <d v="2019-10-09T00:00:00"/>
        <d v="2019-12-30T00:00:00"/>
        <d v="2019-01-03T00:00:00"/>
        <d v="2019-01-09T00:00:00"/>
        <d v="2019-01-12T00:00:00"/>
        <d v="2019-02-06T00:00:00"/>
        <d v="2019-02-20T00:00:00"/>
        <d v="2019-03-01T00:00:00"/>
        <d v="2019-03-10T00:00:00"/>
        <d v="2019-03-17T00:00:00"/>
        <d v="2019-03-25T00:00:00"/>
        <d v="2019-03-31T00:00:00"/>
        <d v="2019-04-11T00:00:00"/>
        <d v="2019-05-07T00:00:00"/>
        <d v="2019-05-12T00:00:00"/>
        <d v="2019-05-25T00:00:00"/>
        <d v="2019-05-27T00:00:00"/>
        <d v="2019-06-08T00:00:00"/>
        <d v="2019-06-10T00:00:00"/>
        <d v="2019-06-14T00:00:00"/>
        <d v="2019-07-04T00:00:00"/>
        <d v="2019-07-20T00:00:00"/>
        <d v="2019-08-09T00:00:00"/>
        <d v="2019-09-02T00:00:00"/>
        <d v="2019-09-30T00:00:00"/>
        <d v="2019-10-07T00:00:00"/>
        <d v="2019-10-20T00:00:00"/>
        <d v="2019-11-28T00:00:00"/>
        <d v="2019-01-17T00:00:00"/>
        <d v="2019-02-27T00:00:00"/>
        <d v="2019-02-28T00:00:00"/>
        <d v="2019-03-04T00:00:00"/>
        <d v="2019-03-15T00:00:00"/>
        <d v="2019-04-07T00:00:00"/>
        <d v="2019-04-20T00:00:00"/>
        <d v="2019-05-05T00:00:00"/>
        <d v="2019-05-22T00:00:00"/>
        <d v="2019-06-01T00:00:00"/>
        <d v="2019-06-07T00:00:00"/>
        <d v="2019-06-29T00:00:00"/>
        <d v="2019-07-02T00:00:00"/>
        <d v="2019-07-07T00:00:00"/>
        <d v="2019-07-12T00:00:00"/>
        <d v="2019-07-26T00:00:00"/>
        <d v="2019-08-05T00:00:00"/>
        <d v="2019-08-07T00:00:00"/>
        <d v="2019-08-23T00:00:00"/>
        <d v="2019-08-31T00:00:00"/>
        <d v="2019-09-09T00:00:00"/>
        <d v="2019-09-23T00:00:00"/>
        <d v="2019-10-02T00:00:00"/>
        <d v="2019-10-03T00:00:00"/>
        <d v="2019-10-15T00:00:00"/>
        <d v="2019-10-17T00:00:00"/>
        <d v="2019-10-21T00:00:00"/>
        <d v="2019-11-02T00:00:00"/>
        <d v="2019-11-14T00:00:00"/>
        <d v="2019-12-05T00:00:00"/>
        <d v="2019-12-28T00:00:00"/>
        <d v="2019-01-25T00:00:00"/>
        <d v="2019-02-01T00:00:00"/>
        <d v="2019-02-10T00:00:00"/>
        <d v="2019-02-13T00:00:00"/>
        <d v="2019-02-14T00:00:00"/>
        <d v="2019-02-23T00:00:00"/>
        <d v="2019-03-03T00:00:00"/>
        <d v="2019-03-09T00:00:00"/>
        <d v="2019-04-01T00:00:00"/>
        <d v="2019-04-02T00:00:00"/>
        <d v="2019-04-27T00:00:00"/>
        <d v="2019-05-04T00:00:00"/>
        <d v="2019-05-15T00:00:00"/>
        <d v="2019-05-16T00:00:00"/>
        <d v="2019-05-17T00:00:00"/>
        <d v="2019-05-19T00:00:00"/>
        <d v="2019-05-23T00:00:00"/>
        <d v="2019-05-28T00:00:00"/>
        <d v="2019-05-31T00:00:00"/>
        <d v="2019-06-05T00:00:00"/>
        <d v="2019-06-12T00:00:00"/>
        <d v="2019-06-16T00:00:00"/>
        <d v="2019-06-17T00:00:00"/>
        <d v="2019-06-21T00:00:00"/>
        <d v="2019-06-26T00:00:00"/>
        <d v="2019-06-28T00:00:00"/>
        <d v="2019-06-30T00:00:00"/>
        <d v="2019-07-05T00:00:00"/>
        <d v="2019-07-06T00:00:00"/>
        <d v="2019-07-21T00:00:00"/>
        <d v="2019-07-22T00:00:00"/>
        <d v="2019-07-30T00:00:00"/>
        <d v="2019-08-26T00:00:00"/>
        <d v="2019-08-30T00:00:00"/>
        <d v="2019-09-14T00:00:00"/>
        <d v="2019-09-18T00:00:00"/>
        <d v="2019-09-19T00:00:00"/>
        <d v="2019-09-20T00:00:00"/>
        <d v="2019-09-24T00:00:00"/>
        <d v="2019-09-26T00:00:00"/>
        <d v="2019-09-29T00:00:00"/>
        <d v="2019-10-04T00:00:00"/>
        <d v="2019-10-10T00:00:00"/>
        <d v="2019-10-14T00:00:00"/>
        <d v="2019-10-28T00:00:00"/>
        <d v="2019-10-31T00:00:00"/>
        <d v="2019-11-10T00:00:00"/>
        <d v="2019-11-13T00:00:00"/>
        <d v="2019-11-23T00:00:00"/>
        <d v="2019-11-27T00:00:00"/>
        <d v="2019-11-29T00:00:00"/>
        <d v="2019-11-30T00:00:00"/>
        <d v="2019-12-14T00:00:00"/>
        <d v="2019-12-21T00:00:00"/>
        <d v="2019-01-01T00:00:00"/>
        <d v="2019-01-08T00:00:00"/>
        <d v="2019-01-11T00:00:00"/>
        <d v="2019-01-14T00:00:00"/>
        <d v="2019-01-19T00:00:00"/>
        <d v="2019-01-26T00:00:00"/>
        <d v="2019-01-27T00:00:00"/>
        <d v="2019-02-08T00:00:00"/>
        <d v="2019-02-11T00:00:00"/>
        <d v="2019-02-12T00:00:00"/>
        <d v="2019-03-02T00:00:00"/>
        <d v="2019-03-11T00:00:00"/>
        <d v="2019-03-18T00:00:00"/>
        <d v="2019-03-20T00:00:00"/>
        <d v="2019-03-22T00:00:00"/>
        <d v="2019-03-24T00:00:00"/>
        <d v="2019-03-27T00:00:00"/>
        <d v="2019-04-04T00:00:00"/>
        <d v="2019-04-06T00:00:00"/>
        <d v="2019-04-12T00:00:00"/>
        <d v="2019-04-16T00:00:00"/>
        <d v="2019-04-24T00:00:00"/>
        <d v="2019-04-29T00:00:00"/>
        <d v="2019-05-03T00:00:00"/>
        <d v="2019-05-13T00:00:00"/>
        <d v="2019-06-03T00:00:00"/>
        <d v="2019-06-06T00:00:00"/>
        <d v="2019-06-19T00:00:00"/>
        <d v="2019-06-22T00:00:00"/>
        <d v="2019-06-25T00:00:00"/>
        <d v="2019-06-27T00:00:00"/>
        <d v="2019-07-09T00:00:00"/>
        <d v="2019-07-11T00:00:00"/>
        <d v="2019-07-16T00:00:00"/>
        <d v="2019-07-18T00:00:00"/>
        <d v="2019-07-23T00:00:00"/>
        <d v="2019-07-24T00:00:00"/>
        <d v="2019-07-29T00:00:00"/>
        <d v="2019-07-31T00:00:00"/>
        <d v="2019-08-03T00:00:00"/>
        <d v="2019-08-21T00:00:00"/>
        <d v="2019-08-22T00:00:00"/>
        <d v="2019-08-25T00:00:00"/>
        <d v="2019-08-27T00:00:00"/>
        <d v="2019-08-28T00:00:00"/>
        <d v="2019-09-04T00:00:00"/>
        <d v="2019-09-07T00:00:00"/>
        <d v="2019-09-08T00:00:00"/>
        <d v="2019-09-10T00:00:00"/>
        <d v="2019-09-25T00:00:00"/>
        <d v="2019-09-28T00:00:00"/>
        <d v="2019-10-01T00:00:00"/>
        <d v="2019-10-12T00:00:00"/>
        <d v="2019-10-16T00:00:00"/>
        <d v="2019-10-26T00:00:00"/>
        <d v="2019-10-29T00:00:00"/>
        <d v="2019-11-06T00:00:00"/>
        <d v="2019-11-09T00:00:00"/>
        <d v="2019-11-12T00:00:00"/>
        <d v="2019-11-15T00:00:00"/>
        <d v="2019-11-18T00:00:00"/>
        <d v="2019-11-21T00:00:00"/>
        <d v="2019-11-22T00:00:00"/>
        <d v="2019-11-25T00:00:00"/>
        <d v="2019-11-26T00:00:00"/>
        <d v="2019-12-01T00:00:00"/>
        <d v="2019-12-04T00:00:00"/>
        <d v="2019-12-06T00:00:00"/>
        <d v="2019-12-17T00:00:00"/>
        <d v="2019-12-20T00:00:00"/>
        <d v="2019-12-23T00:00:00"/>
        <d v="2019-01-04T00:00:00"/>
        <d v="2019-01-07T00:00:00"/>
        <d v="2019-01-24T00:00:00"/>
        <d v="2019-02-07T00:00:00"/>
        <d v="2019-02-25T00:00:00"/>
        <d v="2019-03-16T00:00:00"/>
        <d v="2019-04-09T00:00:00"/>
        <d v="2019-04-14T00:00:00"/>
        <d v="2019-04-28T00:00:00"/>
        <d v="2019-06-09T00:00:00"/>
        <d v="2019-06-15T00:00:00"/>
        <d v="2019-06-23T00:00:00"/>
        <d v="2019-07-08T00:00:00"/>
        <d v="2019-07-10T00:00:00"/>
        <d v="2019-07-15T00:00:00"/>
        <d v="2019-08-01T00:00:00"/>
        <d v="2019-08-02T00:00:00"/>
        <d v="2019-08-10T00:00:00"/>
        <d v="2019-08-15T00:00:00"/>
        <d v="2019-08-19T00:00:00"/>
        <d v="2019-08-20T00:00:00"/>
        <d v="2019-09-12T00:00:00"/>
        <d v="2019-09-22T00:00:00"/>
        <d v="2019-10-05T00:00:00"/>
        <d v="2019-10-18T00:00:00"/>
        <d v="2019-10-22T00:00:00"/>
        <d v="2019-11-04T00:00:00"/>
        <d v="2019-12-08T00:00:00"/>
        <d v="2019-12-13T00:00:00"/>
        <d v="2019-12-15T00:00:00"/>
        <d v="2019-01-16T00:00:00"/>
        <d v="2019-02-02T00:00:00"/>
        <d v="2019-02-16T00:00:00"/>
        <d v="2019-02-17T00:00:00"/>
        <d v="2019-03-05T00:00:00"/>
        <d v="2019-03-06T00:00:00"/>
        <d v="2019-03-12T00:00:00"/>
        <d v="2019-03-26T00:00:00"/>
        <d v="2019-03-29T00:00:00"/>
        <d v="2019-03-30T00:00:00"/>
        <d v="2019-04-05T00:00:00"/>
        <d v="2019-05-06T00:00:00"/>
        <d v="2019-05-20T00:00:00"/>
        <d v="2019-05-26T00:00:00"/>
        <d v="2019-05-29T00:00:00"/>
        <d v="2019-06-24T00:00:00"/>
        <d v="2019-08-06T00:00:00"/>
        <d v="2019-08-14T00:00:00"/>
        <d v="2019-09-01T00:00:00"/>
        <d v="2019-09-11T00:00:00"/>
        <d v="2019-09-16T00:00:00"/>
        <d v="2019-09-17T00:00:00"/>
        <d v="2019-10-25T00:00:00"/>
        <d v="2019-10-27T00:00:00"/>
        <d v="2019-11-01T00:00:00"/>
        <d v="2019-12-11T00:00:00"/>
        <d v="2019-02-22T00:00:00"/>
        <d v="2019-03-13T00:00:00"/>
        <d v="2019-03-19T00:00:00"/>
        <d v="2019-03-28T00:00:00"/>
        <d v="2019-04-03T00:00:00"/>
        <d v="2019-04-23T00:00:00"/>
        <d v="2019-07-27T00:00:00"/>
        <d v="2019-08-08T00:00:00"/>
        <d v="2019-11-08T00:00:00"/>
        <d v="2019-11-11T00:00:00"/>
        <d v="2019-12-18T00:00:00"/>
        <d v="2019-12-19T00:00:00"/>
        <d v="2019-01-18T00:00:00"/>
        <d v="2019-01-29T00:00:00"/>
        <d v="2019-02-03T00:00:00"/>
        <d v="2019-02-15T00:00:00"/>
        <d v="2019-03-14T00:00:00"/>
        <d v="2019-03-23T00:00:00"/>
        <d v="2019-04-10T00:00:00"/>
        <d v="2019-05-11T00:00:00"/>
        <d v="2019-05-24T00:00:00"/>
        <d v="2019-07-03T00:00:00"/>
        <d v="2019-08-24T00:00:00"/>
        <d v="2019-09-13T00:00:00"/>
        <d v="2019-09-21T00:00:00"/>
        <d v="2019-11-24T00:00:00"/>
        <d v="2019-12-16T00:00:00"/>
        <d v="2019-01-10T00:00:00"/>
        <d v="2019-02-19T00:00:00"/>
        <d v="2019-07-28T00:00:00"/>
        <d v="2019-10-06T00:00:00"/>
        <d v="2019-10-30T00:00:00"/>
        <d v="2019-12-24T00:00:00"/>
        <d v="2019-01-28T00:00:00"/>
        <d v="2019-05-02T00:00:00"/>
        <d v="2019-06-18T00:00:00"/>
        <d v="2019-10-11T00:00:00"/>
        <d v="2019-11-07T00:00:00"/>
        <d v="2019-04-21T00:00:00"/>
        <d v="2019-09-06T00:00:00"/>
        <d v="2019-01-23T00:00:00"/>
        <d v="2019-04-17T00:00:00"/>
        <d v="2019-07-25T00:00:00"/>
        <d v="2019-10-08T00:00:00"/>
        <d v="2019-12-26T00:00:00"/>
        <d v="2019-01-02T00:00:00"/>
        <d v="2019-11-05T00:00:00"/>
        <d v="2019-06-20T00:00:00"/>
        <d v="2019-12-29T00:00:00"/>
      </sharedItems>
      <fieldGroup par="14" base="1">
        <rangePr groupBy="days" startDate="2019-01-01T00:00:00" endDate="2019-12-31T00:00:00"/>
        <groupItems count="368">
          <s v="&lt;01/01/2019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12/2019"/>
        </groupItems>
      </fieldGroup>
    </cacheField>
    <cacheField name="HOUR" numFmtId="20">
      <sharedItems containsSemiMixedTypes="0" containsNonDate="0" containsDate="1" containsString="0" minDate="1899-12-30T00:00:00" maxDate="1899-12-30T23:56:00"/>
    </cacheField>
    <cacheField name="Hour2" numFmtId="165">
      <sharedItems containsSemiMixedTypes="0" containsString="0" containsNumber="1" containsInteger="1" minValue="0" maxValue="23"/>
    </cacheField>
    <cacheField name="Day_moment" numFmtId="165">
      <sharedItems/>
    </cacheField>
    <cacheField name="STREET" numFmtId="0">
      <sharedItems/>
    </cacheField>
    <cacheField name="DISTRICT" numFmtId="0">
      <sharedItems/>
    </cacheField>
    <cacheField name="District_area" numFmtId="0">
      <sharedItems count="3">
        <s v=""/>
        <s v="North"/>
        <s v="East"/>
      </sharedItems>
    </cacheField>
    <cacheField name="ACCIDENT TYPE" numFmtId="0">
      <sharedItems/>
    </cacheField>
    <cacheField name="WEATHER" numFmtId="0">
      <sharedItems containsBlank="1" count="7">
        <s v="Cloudy"/>
        <s v="Clear"/>
        <s v="Unknown"/>
        <s v="Light rain"/>
        <m/>
        <s v="Heavy rain"/>
        <s v="Hailing"/>
      </sharedItems>
    </cacheField>
    <cacheField name="PERSON" numFmtId="0">
      <sharedItems/>
    </cacheField>
    <cacheField name="AGE RANGE" numFmtId="0">
      <sharedItems count="18">
        <s v="FROM 0 TO 5 YEARS OLD"/>
        <s v="FROM 10 TO 14 YEARS"/>
        <s v="FROM 15 TO 17 YEARS"/>
        <s v="18 TO 20 YEARS"/>
        <s v="21 TO 24 YEARS"/>
        <s v="FROM 25 TO 29 YEARS"/>
        <s v="30 TO 34 YEARS"/>
        <s v="FROM 35 TO 39 YEARS"/>
        <s v="40 TO 44 YEARS"/>
        <s v="45 TO 49 YEARS OLD"/>
        <s v="50 TO 54 YEARS OLD"/>
        <s v="55 TO 59 YEARS OLD"/>
        <s v="FROM 6 TO 9 YEARS OLD"/>
        <s v="60 TO 64 YEARS"/>
        <s v="65 TO 69 YEARS"/>
        <s v="FROM 70 TO 74 YEARS"/>
        <s v="UNKNOWN"/>
        <s v="OVER 74 YEARS"/>
      </sharedItems>
      <fieldGroup par="15"/>
    </cacheField>
    <cacheField name="SEX" numFmtId="0">
      <sharedItems/>
    </cacheField>
    <cacheField name="LESIVITY" numFmtId="0">
      <sharedItems containsMixedTypes="1" containsNumber="1" containsInteger="1" minValue="1" maxValue="14"/>
    </cacheField>
    <cacheField name="Months" numFmtId="0" databaseField="0">
      <fieldGroup base="1">
        <rangePr groupBy="months" startDate="2019-01-01T00:00:00" endDate="2019-12-31T00:00:00"/>
        <groupItems count="14">
          <s v="&lt;01/01/201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19"/>
        </groupItems>
      </fieldGroup>
    </cacheField>
    <cacheField name="AGE RANGE2" numFmtId="0" databaseField="0">
      <fieldGroup base="11">
        <discretePr count="18">
          <x v="1"/>
          <x v="1"/>
          <x v="1"/>
          <x v="2"/>
          <x v="2"/>
          <x v="2"/>
          <x v="3"/>
          <x v="3"/>
          <x v="4"/>
          <x v="4"/>
          <x v="5"/>
          <x v="5"/>
          <x v="1"/>
          <x v="6"/>
          <x v="6"/>
          <x v="6"/>
          <x v="0"/>
          <x v="6"/>
        </discretePr>
        <groupItems count="7">
          <s v="UNKNOWN"/>
          <s v="Group1"/>
          <s v="Group2"/>
          <s v="Group3"/>
          <s v="Group4"/>
          <s v="Group5"/>
          <s v="Group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s v="2019S018545"/>
    <x v="0"/>
    <d v="1899-12-30T12:20:00"/>
    <n v="12"/>
    <x v="0"/>
    <s v="AVDA. MANZANARES"/>
    <x v="0"/>
    <n v="12.36"/>
    <s v="Small"/>
    <x v="0"/>
    <x v="0"/>
    <x v="0"/>
    <s v="Pedestrian"/>
    <x v="0"/>
    <x v="0"/>
    <s v="07"/>
    <n v="7"/>
  </r>
  <r>
    <s v="2019S021283"/>
    <x v="1"/>
    <d v="1899-12-30T11:40:00"/>
    <n v="11"/>
    <x v="0"/>
    <s v="MADRID RIO"/>
    <x v="1"/>
    <n v="14.91"/>
    <s v="Small"/>
    <x v="0"/>
    <x v="1"/>
    <x v="1"/>
    <s v="Passenger"/>
    <x v="0"/>
    <x v="0"/>
    <s v="14"/>
    <n v="14"/>
  </r>
  <r>
    <s v="2019S023732"/>
    <x v="2"/>
    <d v="1899-12-30T21:35:00"/>
    <n v="21"/>
    <x v="1"/>
    <s v="CALL. JACOMETREZO"/>
    <x v="2"/>
    <n v="5.23"/>
    <s v="Small"/>
    <x v="0"/>
    <x v="0"/>
    <x v="1"/>
    <s v="Pedestrian"/>
    <x v="0"/>
    <x v="1"/>
    <s v="02"/>
    <n v="2"/>
  </r>
  <r>
    <s v="2019S026332"/>
    <x v="3"/>
    <d v="1899-12-30T22:00:00"/>
    <n v="22"/>
    <x v="1"/>
    <s v="AVDA. MANZANARES / PQUE. MADRID RIO"/>
    <x v="1"/>
    <n v="14.91"/>
    <s v="Small"/>
    <x v="0"/>
    <x v="0"/>
    <x v="1"/>
    <s v="Pedestrian"/>
    <x v="0"/>
    <x v="0"/>
    <s v="01"/>
    <n v="1"/>
  </r>
  <r>
    <s v="2019S027484"/>
    <x v="4"/>
    <d v="1899-12-30T20:10:00"/>
    <n v="20"/>
    <x v="1"/>
    <s v="PQUE. MADRID RIO, +00300E"/>
    <x v="3"/>
    <n v="25.41"/>
    <s v="Big"/>
    <x v="0"/>
    <x v="0"/>
    <x v="1"/>
    <s v="Pedestrian"/>
    <x v="0"/>
    <x v="0"/>
    <s v="07"/>
    <n v="7"/>
  </r>
  <r>
    <s v="2019S029101"/>
    <x v="5"/>
    <d v="1899-12-30T14:45:00"/>
    <n v="14"/>
    <x v="0"/>
    <s v="PASEO. ALBERTO PALACIOS"/>
    <x v="4"/>
    <n v="20.25"/>
    <s v="Big"/>
    <x v="0"/>
    <x v="0"/>
    <x v="1"/>
    <s v="Pedestrian"/>
    <x v="0"/>
    <x v="0"/>
    <s v="07"/>
    <n v="7"/>
  </r>
  <r>
    <s v="2019S029560"/>
    <x v="6"/>
    <d v="1899-12-30T19:25:00"/>
    <n v="19"/>
    <x v="1"/>
    <s v="CALL. FRANCOS RODRIGUEZ"/>
    <x v="5"/>
    <n v="5.38"/>
    <s v="Small"/>
    <x v="1"/>
    <x v="0"/>
    <x v="1"/>
    <s v="Pedestrian"/>
    <x v="0"/>
    <x v="0"/>
    <s v="07"/>
    <n v="7"/>
  </r>
  <r>
    <s v="2019S034766"/>
    <x v="7"/>
    <d v="1899-12-30T19:50:00"/>
    <n v="19"/>
    <x v="1"/>
    <s v="AVDA. POBLADOS / CALL. CERILLERAS"/>
    <x v="1"/>
    <n v="14.91"/>
    <s v="Small"/>
    <x v="0"/>
    <x v="2"/>
    <x v="1"/>
    <s v="Driver"/>
    <x v="0"/>
    <x v="0"/>
    <s v="07"/>
    <n v="7"/>
  </r>
  <r>
    <s v="2019S036089"/>
    <x v="8"/>
    <d v="1899-12-30T09:10:00"/>
    <n v="9"/>
    <x v="0"/>
    <s v="CALL. MARTIN MUÑOZ DE LAS POSADAS"/>
    <x v="6"/>
    <n v="51.92"/>
    <s v="Big"/>
    <x v="0"/>
    <x v="3"/>
    <x v="1"/>
    <s v="Passenger"/>
    <x v="0"/>
    <x v="1"/>
    <s v="14"/>
    <n v="14"/>
  </r>
  <r>
    <s v="2019S039890"/>
    <x v="9"/>
    <d v="1899-12-30T18:30:00"/>
    <n v="18"/>
    <x v="1"/>
    <s v="CALL. ALEJANDRO SANCHEZ"/>
    <x v="1"/>
    <n v="14.91"/>
    <s v="Small"/>
    <x v="0"/>
    <x v="0"/>
    <x v="2"/>
    <s v="Pedestrian"/>
    <x v="0"/>
    <x v="0"/>
    <s v="07"/>
    <n v="7"/>
  </r>
  <r>
    <s v="2019S004939"/>
    <x v="10"/>
    <d v="1899-12-30T16:50:00"/>
    <n v="16"/>
    <x v="1"/>
    <s v="CALL. SAN ENRIQUE DE OSSO"/>
    <x v="7"/>
    <n v="27.41"/>
    <s v="Big"/>
    <x v="0"/>
    <x v="2"/>
    <x v="1"/>
    <s v="Driver"/>
    <x v="1"/>
    <x v="0"/>
    <s v="02"/>
    <n v="2"/>
  </r>
  <r>
    <s v="2019S006655"/>
    <x v="11"/>
    <d v="1899-12-30T13:20:00"/>
    <n v="13"/>
    <x v="0"/>
    <s v="AVDA. CARABANCHEL ALTO"/>
    <x v="1"/>
    <n v="14.91"/>
    <s v="Small"/>
    <x v="0"/>
    <x v="2"/>
    <x v="1"/>
    <s v="Driver"/>
    <x v="1"/>
    <x v="1"/>
    <s v="01"/>
    <n v="1"/>
  </r>
  <r>
    <s v="2019S015708"/>
    <x v="12"/>
    <d v="1899-12-30T21:04:00"/>
    <n v="21"/>
    <x v="1"/>
    <s v="CALL. PRINCIPE CARLOS / CALL. MARIA TUDOR"/>
    <x v="7"/>
    <n v="27.41"/>
    <s v="Big"/>
    <x v="0"/>
    <x v="2"/>
    <x v="1"/>
    <s v="Driver"/>
    <x v="1"/>
    <x v="0"/>
    <s v="02"/>
    <n v="2"/>
  </r>
  <r>
    <s v="2019S015708"/>
    <x v="12"/>
    <d v="1899-12-30T21:04:00"/>
    <n v="21"/>
    <x v="1"/>
    <s v="CALL. PRINCIPE CARLOS / CALL. MARIA TUDOR"/>
    <x v="7"/>
    <n v="27.41"/>
    <s v="Big"/>
    <x v="0"/>
    <x v="2"/>
    <x v="1"/>
    <s v="Passenger"/>
    <x v="1"/>
    <x v="1"/>
    <s v="02"/>
    <n v="2"/>
  </r>
  <r>
    <s v="2019S018498"/>
    <x v="0"/>
    <d v="1899-12-30T10:55:00"/>
    <n v="10"/>
    <x v="0"/>
    <s v="CALL. DOLORES BARRANCO / CALL. JUSTA GARCIA"/>
    <x v="0"/>
    <n v="12.36"/>
    <s v="Small"/>
    <x v="0"/>
    <x v="2"/>
    <x v="3"/>
    <s v="Driver"/>
    <x v="1"/>
    <x v="0"/>
    <s v="07"/>
    <n v="7"/>
  </r>
  <r>
    <s v="2019S019405"/>
    <x v="13"/>
    <d v="1899-12-30T18:40:00"/>
    <n v="18"/>
    <x v="1"/>
    <s v="AVDA. LAS FUERZAS ARMADAS"/>
    <x v="7"/>
    <n v="27.41"/>
    <s v="Big"/>
    <x v="0"/>
    <x v="4"/>
    <x v="1"/>
    <s v="Driver"/>
    <x v="1"/>
    <x v="1"/>
    <s v="07"/>
    <n v="7"/>
  </r>
  <r>
    <s v="2019S021107"/>
    <x v="14"/>
    <d v="1899-12-30T17:45:00"/>
    <n v="17"/>
    <x v="1"/>
    <s v="AVDA. BADAJOZ / CALL. MADRE ANTONIA PARIS"/>
    <x v="8"/>
    <n v="11.38"/>
    <s v="Small"/>
    <x v="2"/>
    <x v="2"/>
    <x v="1"/>
    <s v="Driver"/>
    <x v="1"/>
    <x v="0"/>
    <s v="14"/>
    <n v="14"/>
  </r>
  <r>
    <s v="2019S021497"/>
    <x v="15"/>
    <d v="1899-12-30T17:41:00"/>
    <n v="17"/>
    <x v="1"/>
    <s v="PASEO. PINTOR ROSALES / PASEO. MORET"/>
    <x v="9"/>
    <n v="43.05"/>
    <s v="Big"/>
    <x v="0"/>
    <x v="0"/>
    <x v="1"/>
    <s v="Pedestrian"/>
    <x v="1"/>
    <x v="1"/>
    <s v="06"/>
    <n v="6"/>
  </r>
  <r>
    <s v="2019S021823"/>
    <x v="16"/>
    <d v="1899-12-30T21:08:00"/>
    <n v="21"/>
    <x v="1"/>
    <s v="CALL. RIBERA DE CURTIDORES / CALL. CARNERO"/>
    <x v="2"/>
    <n v="5.23"/>
    <s v="Small"/>
    <x v="0"/>
    <x v="4"/>
    <x v="1"/>
    <s v="Driver"/>
    <x v="1"/>
    <x v="0"/>
    <s v="02"/>
    <n v="2"/>
  </r>
  <r>
    <s v="2019S021823"/>
    <x v="16"/>
    <d v="1899-12-30T21:08:00"/>
    <n v="21"/>
    <x v="1"/>
    <s v="CALL. RIBERA DE CURTIDORES / CALL. CARNERO"/>
    <x v="2"/>
    <n v="5.23"/>
    <s v="Small"/>
    <x v="0"/>
    <x v="4"/>
    <x v="1"/>
    <s v="Passenger"/>
    <x v="1"/>
    <x v="0"/>
    <s v="02"/>
    <n v="2"/>
  </r>
  <r>
    <s v="2019S022833"/>
    <x v="17"/>
    <d v="1899-12-30T19:25:00"/>
    <n v="19"/>
    <x v="1"/>
    <s v="CALL. VIA"/>
    <x v="1"/>
    <n v="14.91"/>
    <s v="Small"/>
    <x v="0"/>
    <x v="2"/>
    <x v="1"/>
    <s v="Driver"/>
    <x v="1"/>
    <x v="0"/>
    <s v="07"/>
    <n v="7"/>
  </r>
  <r>
    <s v="2019S022870"/>
    <x v="18"/>
    <d v="1899-12-30T08:15:00"/>
    <n v="8"/>
    <x v="0"/>
    <s v="CALL. MONASTERIO DE SAMOS"/>
    <x v="10"/>
    <n v="237.81"/>
    <s v="Big"/>
    <x v="1"/>
    <x v="2"/>
    <x v="1"/>
    <s v="Driver"/>
    <x v="1"/>
    <x v="1"/>
    <s v="02"/>
    <n v="2"/>
  </r>
  <r>
    <s v="2019S023594"/>
    <x v="19"/>
    <d v="1899-12-30T19:55:00"/>
    <n v="19"/>
    <x v="1"/>
    <s v="CÑADA. REAL GALIANA"/>
    <x v="6"/>
    <n v="51.92"/>
    <s v="Big"/>
    <x v="0"/>
    <x v="2"/>
    <x v="1"/>
    <s v="Driver"/>
    <x v="1"/>
    <x v="0"/>
    <s v="01"/>
    <n v="1"/>
  </r>
  <r>
    <s v="2019S025253"/>
    <x v="20"/>
    <d v="1899-12-30T13:25:00"/>
    <n v="13"/>
    <x v="0"/>
    <s v="MONASTERIO DE SILOS - GO FIT - FAROLA 268"/>
    <x v="10"/>
    <n v="237.81"/>
    <s v="Big"/>
    <x v="1"/>
    <x v="4"/>
    <x v="1"/>
    <s v="Driver"/>
    <x v="1"/>
    <x v="1"/>
    <s v="01"/>
    <n v="1"/>
  </r>
  <r>
    <s v="2019S026335"/>
    <x v="21"/>
    <d v="1899-12-30T15:35:00"/>
    <n v="15"/>
    <x v="1"/>
    <s v="CALL. GENERAL RICARDOS / CALL. NUESTRA SEÑORA DE LA LUZ"/>
    <x v="1"/>
    <n v="14.91"/>
    <s v="Small"/>
    <x v="0"/>
    <x v="4"/>
    <x v="1"/>
    <s v="Driver"/>
    <x v="1"/>
    <x v="0"/>
    <s v="06"/>
    <n v="6"/>
  </r>
  <r>
    <s v="2019S028644"/>
    <x v="22"/>
    <d v="1899-12-30T21:02:00"/>
    <n v="21"/>
    <x v="1"/>
    <s v="AVDA. MANZANARES / CALL. SAN GRACIANO"/>
    <x v="0"/>
    <n v="12.36"/>
    <s v="Small"/>
    <x v="0"/>
    <x v="4"/>
    <x v="1"/>
    <s v="Driver"/>
    <x v="1"/>
    <x v="1"/>
    <s v="01"/>
    <n v="1"/>
  </r>
  <r>
    <s v="2019S029640"/>
    <x v="23"/>
    <d v="1899-12-30T20:20:00"/>
    <n v="20"/>
    <x v="1"/>
    <s v="CALL. RUTILO"/>
    <x v="0"/>
    <n v="12.36"/>
    <s v="Small"/>
    <x v="0"/>
    <x v="3"/>
    <x v="1"/>
    <s v="Driver"/>
    <x v="1"/>
    <x v="0"/>
    <s v="14"/>
    <n v="14"/>
  </r>
  <r>
    <s v="2019S030414"/>
    <x v="24"/>
    <d v="1899-12-30T09:20:00"/>
    <n v="9"/>
    <x v="0"/>
    <s v="CALL. SAN BENITO"/>
    <x v="5"/>
    <n v="5.38"/>
    <s v="Small"/>
    <x v="1"/>
    <x v="1"/>
    <x v="1"/>
    <s v="Driver"/>
    <x v="1"/>
    <x v="0"/>
    <s v="07"/>
    <n v="7"/>
  </r>
  <r>
    <s v="2019S031507"/>
    <x v="25"/>
    <d v="1899-12-30T22:40:00"/>
    <n v="22"/>
    <x v="1"/>
    <s v="PASEO. CHOPERA"/>
    <x v="11"/>
    <n v="6.46"/>
    <s v="Small"/>
    <x v="0"/>
    <x v="2"/>
    <x v="1"/>
    <s v="Driver"/>
    <x v="1"/>
    <x v="0"/>
    <s v="07"/>
    <n v="7"/>
  </r>
  <r>
    <s v="2019S032575"/>
    <x v="26"/>
    <d v="1899-12-30T20:40:00"/>
    <n v="20"/>
    <x v="1"/>
    <s v="CALL. CAMINO DE LOS VINATEROS / CALL. CORREGIDOR SEÑOR DE LA ELIPA"/>
    <x v="12"/>
    <n v="6.34"/>
    <s v="Small"/>
    <x v="2"/>
    <x v="2"/>
    <x v="1"/>
    <s v="Driver"/>
    <x v="1"/>
    <x v="0"/>
    <s v="07"/>
    <n v="7"/>
  </r>
  <r>
    <s v="2019S039844"/>
    <x v="27"/>
    <d v="1899-12-30T12:05:00"/>
    <n v="12"/>
    <x v="0"/>
    <s v="CALL. PALAS DE REY"/>
    <x v="10"/>
    <n v="237.81"/>
    <s v="Big"/>
    <x v="1"/>
    <x v="3"/>
    <x v="1"/>
    <s v="Driver"/>
    <x v="1"/>
    <x v="1"/>
    <s v="07"/>
    <n v="7"/>
  </r>
  <r>
    <s v="2019S000133"/>
    <x v="28"/>
    <d v="1899-12-30T14:30:00"/>
    <n v="14"/>
    <x v="0"/>
    <s v="CALL. FELIPE ALVAREZ"/>
    <x v="6"/>
    <n v="51.92"/>
    <s v="Big"/>
    <x v="0"/>
    <x v="1"/>
    <x v="2"/>
    <s v="Driver"/>
    <x v="2"/>
    <x v="0"/>
    <s v="07"/>
    <n v="7"/>
  </r>
  <r>
    <s v="2019S000045"/>
    <x v="28"/>
    <d v="1899-12-30T10:30:00"/>
    <n v="10"/>
    <x v="0"/>
    <s v="CTRA. DEHESA DE LA VILLA"/>
    <x v="9"/>
    <n v="43.05"/>
    <s v="Big"/>
    <x v="0"/>
    <x v="4"/>
    <x v="1"/>
    <s v="Driver"/>
    <x v="2"/>
    <x v="0"/>
    <s v="02"/>
    <n v="2"/>
  </r>
  <r>
    <s v="2019S001678"/>
    <x v="29"/>
    <d v="1899-12-30T12:50:00"/>
    <n v="12"/>
    <x v="0"/>
    <s v="CALL. GRAN VIA"/>
    <x v="2"/>
    <n v="5.23"/>
    <s v="Small"/>
    <x v="0"/>
    <x v="1"/>
    <x v="1"/>
    <s v="Driver"/>
    <x v="2"/>
    <x v="0"/>
    <s v=""/>
    <s v=""/>
  </r>
  <r>
    <s v="2019S003364"/>
    <x v="30"/>
    <d v="1899-12-30T13:03:00"/>
    <n v="13"/>
    <x v="0"/>
    <s v="AVDA. ENSANCHE DE VALLECAS"/>
    <x v="6"/>
    <n v="51.92"/>
    <s v="Big"/>
    <x v="0"/>
    <x v="2"/>
    <x v="2"/>
    <s v="Driver"/>
    <x v="2"/>
    <x v="1"/>
    <s v="07"/>
    <n v="7"/>
  </r>
  <r>
    <s v="2019S008448"/>
    <x v="31"/>
    <d v="1899-12-30T08:05:00"/>
    <n v="8"/>
    <x v="0"/>
    <s v="AVDA. LLANO CASTELLANO / AVDA. CARDENAL HERRERA ORIA"/>
    <x v="10"/>
    <n v="237.81"/>
    <s v="Big"/>
    <x v="1"/>
    <x v="0"/>
    <x v="1"/>
    <s v="Pedestrian"/>
    <x v="2"/>
    <x v="1"/>
    <s v="07"/>
    <n v="7"/>
  </r>
  <r>
    <s v="2019S012142"/>
    <x v="32"/>
    <d v="1899-12-30T07:45:00"/>
    <n v="7"/>
    <x v="0"/>
    <s v="CALL. ATOCHA"/>
    <x v="2"/>
    <n v="5.23"/>
    <s v="Small"/>
    <x v="0"/>
    <x v="4"/>
    <x v="1"/>
    <s v="Driver"/>
    <x v="2"/>
    <x v="1"/>
    <s v="07"/>
    <n v="7"/>
  </r>
  <r>
    <s v="2019S014016"/>
    <x v="33"/>
    <d v="1899-12-30T12:30:00"/>
    <n v="12"/>
    <x v="0"/>
    <s v="CALL. HACIENDA DE PAVONES / CALL. BRUJAS"/>
    <x v="12"/>
    <n v="6.34"/>
    <s v="Small"/>
    <x v="2"/>
    <x v="5"/>
    <x v="1"/>
    <s v="Driver"/>
    <x v="2"/>
    <x v="0"/>
    <s v="07"/>
    <n v="7"/>
  </r>
  <r>
    <s v="2019S016088"/>
    <x v="34"/>
    <d v="1899-12-30T17:26:00"/>
    <n v="17"/>
    <x v="1"/>
    <s v="AVDA. INGENIERO EMILIO HERRERA"/>
    <x v="7"/>
    <n v="27.41"/>
    <s v="Big"/>
    <x v="0"/>
    <x v="2"/>
    <x v="1"/>
    <s v="Driver"/>
    <x v="2"/>
    <x v="1"/>
    <s v="07"/>
    <n v="7"/>
  </r>
  <r>
    <s v="2019S016322"/>
    <x v="35"/>
    <d v="1899-12-30T10:05:00"/>
    <n v="10"/>
    <x v="0"/>
    <s v="CALL. SUECIA / AVDA. CANILLEJAS A VICALVARO"/>
    <x v="13"/>
    <n v="22.36"/>
    <s v="Big"/>
    <x v="2"/>
    <x v="4"/>
    <x v="1"/>
    <s v="Driver"/>
    <x v="2"/>
    <x v="0"/>
    <s v="07"/>
    <n v="7"/>
  </r>
  <r>
    <s v="2019S017198"/>
    <x v="36"/>
    <d v="1899-12-30T12:00:00"/>
    <n v="12"/>
    <x v="0"/>
    <s v="CALL. PORTOMARIN"/>
    <x v="10"/>
    <n v="237.81"/>
    <s v="Big"/>
    <x v="1"/>
    <x v="4"/>
    <x v="1"/>
    <s v="Driver"/>
    <x v="2"/>
    <x v="0"/>
    <s v="05"/>
    <n v="5"/>
  </r>
  <r>
    <s v="2019S017718"/>
    <x v="37"/>
    <d v="1899-12-30T12:15:00"/>
    <n v="12"/>
    <x v="0"/>
    <s v="PASEO. CASTELLANA"/>
    <x v="14"/>
    <n v="9.2100000000000009"/>
    <s v="Small"/>
    <x v="1"/>
    <x v="4"/>
    <x v="3"/>
    <s v="Driver"/>
    <x v="2"/>
    <x v="0"/>
    <s v="07"/>
    <n v="7"/>
  </r>
  <r>
    <s v="2019S018345"/>
    <x v="0"/>
    <d v="1899-12-30T15:15:00"/>
    <n v="15"/>
    <x v="1"/>
    <s v="CALL. DOBLA / AVDA. POBLADOS"/>
    <x v="1"/>
    <n v="14.91"/>
    <s v="Small"/>
    <x v="0"/>
    <x v="3"/>
    <x v="1"/>
    <s v="Driver"/>
    <x v="2"/>
    <x v="0"/>
    <s v="07"/>
    <n v="7"/>
  </r>
  <r>
    <s v="2019S018656"/>
    <x v="38"/>
    <d v="1899-12-30T16:00:00"/>
    <n v="16"/>
    <x v="1"/>
    <s v="CALL. LUCHANA"/>
    <x v="15"/>
    <n v="4.6900000000000004"/>
    <s v="Small"/>
    <x v="1"/>
    <x v="4"/>
    <x v="1"/>
    <s v="Driver"/>
    <x v="2"/>
    <x v="0"/>
    <s v="06"/>
    <n v="6"/>
  </r>
  <r>
    <s v="2019S020579"/>
    <x v="39"/>
    <d v="1899-12-30T15:10:00"/>
    <n v="15"/>
    <x v="1"/>
    <s v="CALL. ALCALA"/>
    <x v="2"/>
    <n v="5.23"/>
    <s v="Small"/>
    <x v="0"/>
    <x v="1"/>
    <x v="1"/>
    <s v="Driver"/>
    <x v="2"/>
    <x v="0"/>
    <s v="14"/>
    <n v="14"/>
  </r>
  <r>
    <s v="2019S020923"/>
    <x v="40"/>
    <d v="1899-12-30T20:30:00"/>
    <n v="20"/>
    <x v="1"/>
    <s v="CALL. MARQUES DE VIANA"/>
    <x v="5"/>
    <n v="5.38"/>
    <s v="Small"/>
    <x v="1"/>
    <x v="3"/>
    <x v="1"/>
    <s v="Driver"/>
    <x v="2"/>
    <x v="0"/>
    <s v="07"/>
    <n v="7"/>
  </r>
  <r>
    <s v="2019S020923"/>
    <x v="40"/>
    <d v="1899-12-30T20:30:00"/>
    <n v="20"/>
    <x v="1"/>
    <s v="CALL. MARQUES DE VIANA"/>
    <x v="5"/>
    <n v="5.38"/>
    <s v="Small"/>
    <x v="1"/>
    <x v="3"/>
    <x v="1"/>
    <s v="Driver"/>
    <x v="2"/>
    <x v="0"/>
    <s v="14"/>
    <n v="14"/>
  </r>
  <r>
    <s v="2019S022057"/>
    <x v="41"/>
    <d v="1899-12-30T15:40:00"/>
    <n v="15"/>
    <x v="1"/>
    <s v="CALL. LIVERPOOL / CALL. MARIA SEVILLA DIAGO"/>
    <x v="13"/>
    <n v="22.36"/>
    <s v="Big"/>
    <x v="2"/>
    <x v="4"/>
    <x v="1"/>
    <s v="Driver"/>
    <x v="2"/>
    <x v="1"/>
    <s v="07"/>
    <n v="7"/>
  </r>
  <r>
    <s v="2019S022289"/>
    <x v="42"/>
    <d v="1899-12-30T16:47:00"/>
    <n v="16"/>
    <x v="1"/>
    <s v="AVDA. VIRGEN DEL CARMEN"/>
    <x v="7"/>
    <n v="27.41"/>
    <s v="Big"/>
    <x v="0"/>
    <x v="0"/>
    <x v="1"/>
    <s v="Driver"/>
    <x v="2"/>
    <x v="0"/>
    <s v="14"/>
    <n v="14"/>
  </r>
  <r>
    <s v="2019S023001"/>
    <x v="18"/>
    <d v="1899-12-30T21:23:00"/>
    <n v="21"/>
    <x v="1"/>
    <s v="PASEO. ERMITA DEL SANTO"/>
    <x v="1"/>
    <n v="14.91"/>
    <s v="Small"/>
    <x v="0"/>
    <x v="6"/>
    <x v="1"/>
    <s v="Driver"/>
    <x v="2"/>
    <x v="0"/>
    <s v="07"/>
    <n v="7"/>
  </r>
  <r>
    <s v="2019S023349"/>
    <x v="43"/>
    <d v="1899-12-30T21:55:00"/>
    <n v="21"/>
    <x v="1"/>
    <s v="CALL. SANTA MARIA LA REAL DE NIEVA"/>
    <x v="11"/>
    <n v="6.46"/>
    <s v="Small"/>
    <x v="0"/>
    <x v="4"/>
    <x v="1"/>
    <s v="Driver"/>
    <x v="2"/>
    <x v="0"/>
    <s v="01"/>
    <n v="1"/>
  </r>
  <r>
    <s v="2019S023517"/>
    <x v="44"/>
    <d v="1899-12-30T20:08:00"/>
    <n v="20"/>
    <x v="1"/>
    <s v="CALL. DOCTOR RAMON CASTROVIEJO"/>
    <x v="10"/>
    <n v="237.81"/>
    <s v="Big"/>
    <x v="1"/>
    <x v="2"/>
    <x v="1"/>
    <s v="Driver"/>
    <x v="2"/>
    <x v="0"/>
    <s v="02"/>
    <n v="2"/>
  </r>
  <r>
    <s v="2019S023993"/>
    <x v="45"/>
    <d v="1899-12-30T10:50:00"/>
    <n v="10"/>
    <x v="0"/>
    <s v="AUTOV. M-607, +01500E"/>
    <x v="10"/>
    <n v="237.81"/>
    <s v="Big"/>
    <x v="1"/>
    <x v="3"/>
    <x v="1"/>
    <s v="Driver"/>
    <x v="2"/>
    <x v="1"/>
    <s v="05"/>
    <n v="5"/>
  </r>
  <r>
    <s v="2019S023993"/>
    <x v="45"/>
    <d v="1899-12-30T10:50:00"/>
    <n v="10"/>
    <x v="0"/>
    <s v="AUTOV. M-607, +01500E"/>
    <x v="10"/>
    <n v="237.81"/>
    <s v="Big"/>
    <x v="1"/>
    <x v="3"/>
    <x v="1"/>
    <s v="Driver"/>
    <x v="2"/>
    <x v="1"/>
    <s v="07"/>
    <n v="7"/>
  </r>
  <r>
    <s v="2019S025566"/>
    <x v="46"/>
    <d v="1899-12-30T22:45:00"/>
    <n v="22"/>
    <x v="1"/>
    <s v="AVDA. POBLADOS / AVDA. ORCASUR"/>
    <x v="0"/>
    <n v="12.36"/>
    <s v="Small"/>
    <x v="0"/>
    <x v="2"/>
    <x v="1"/>
    <s v="Driver"/>
    <x v="2"/>
    <x v="0"/>
    <s v="06"/>
    <n v="6"/>
  </r>
  <r>
    <s v="2019S026315"/>
    <x v="21"/>
    <d v="1899-12-30T12:45:00"/>
    <n v="12"/>
    <x v="0"/>
    <s v="PASEO. FERNAN NUÑEZ"/>
    <x v="16"/>
    <n v="5.38"/>
    <s v="Small"/>
    <x v="0"/>
    <x v="0"/>
    <x v="1"/>
    <s v="Pedestrian"/>
    <x v="2"/>
    <x v="1"/>
    <s v="07"/>
    <n v="7"/>
  </r>
  <r>
    <s v="2019S026739"/>
    <x v="47"/>
    <d v="1899-12-30T14:16:00"/>
    <n v="14"/>
    <x v="0"/>
    <s v="CARABANCHEL BAJO FAROLA 10"/>
    <x v="1"/>
    <n v="14.91"/>
    <s v="Small"/>
    <x v="0"/>
    <x v="6"/>
    <x v="1"/>
    <s v="Driver"/>
    <x v="2"/>
    <x v="0"/>
    <s v="07"/>
    <n v="7"/>
  </r>
  <r>
    <s v="2019S028044"/>
    <x v="48"/>
    <d v="1899-12-30T16:25:00"/>
    <n v="16"/>
    <x v="1"/>
    <s v="CALL. SANTA ESCOLASTICA, 1 (POSTERIOR APARCAMIENTO"/>
    <x v="4"/>
    <n v="20.25"/>
    <s v="Big"/>
    <x v="0"/>
    <x v="4"/>
    <x v="1"/>
    <s v="Driver"/>
    <x v="2"/>
    <x v="0"/>
    <s v="06"/>
    <n v="6"/>
  </r>
  <r>
    <s v="2019S029460"/>
    <x v="49"/>
    <d v="1899-12-30T18:15:00"/>
    <n v="18"/>
    <x v="1"/>
    <s v="AVDA. NICETO ALCALA ZAMORA / AVDA. FRANCISCO PI Y MARGALL"/>
    <x v="7"/>
    <n v="27.41"/>
    <s v="Big"/>
    <x v="0"/>
    <x v="2"/>
    <x v="1"/>
    <s v="Driver"/>
    <x v="2"/>
    <x v="0"/>
    <s v="07"/>
    <n v="7"/>
  </r>
  <r>
    <s v="2019S031587"/>
    <x v="50"/>
    <d v="1899-12-30T14:15:00"/>
    <n v="14"/>
    <x v="0"/>
    <s v="AVDA. CERRO MILANO / CALL. ENTREPEÑAS"/>
    <x v="6"/>
    <n v="51.92"/>
    <s v="Big"/>
    <x v="0"/>
    <x v="3"/>
    <x v="1"/>
    <s v="Driver"/>
    <x v="2"/>
    <x v="0"/>
    <s v="07"/>
    <n v="7"/>
  </r>
  <r>
    <s v="2019S032399"/>
    <x v="51"/>
    <d v="1899-12-30T21:50:00"/>
    <n v="21"/>
    <x v="1"/>
    <s v="CALL. ALCALA"/>
    <x v="2"/>
    <n v="5.23"/>
    <s v="Small"/>
    <x v="0"/>
    <x v="4"/>
    <x v="1"/>
    <s v="Driver"/>
    <x v="2"/>
    <x v="0"/>
    <s v="02"/>
    <n v="2"/>
  </r>
  <r>
    <s v="2019S033482"/>
    <x v="52"/>
    <d v="1899-12-30T13:45:00"/>
    <n v="13"/>
    <x v="0"/>
    <s v="CALL. ORENSE"/>
    <x v="5"/>
    <n v="5.38"/>
    <s v="Small"/>
    <x v="1"/>
    <x v="1"/>
    <x v="3"/>
    <s v="Driver"/>
    <x v="2"/>
    <x v="0"/>
    <s v="14"/>
    <n v="14"/>
  </r>
  <r>
    <s v="2019S037177"/>
    <x v="53"/>
    <d v="1899-12-30T13:40:00"/>
    <n v="13"/>
    <x v="0"/>
    <s v="PLAZA. MORERAS / PASEO. PIÑONERO"/>
    <x v="9"/>
    <n v="43.05"/>
    <s v="Big"/>
    <x v="0"/>
    <x v="4"/>
    <x v="1"/>
    <s v="Driver"/>
    <x v="2"/>
    <x v="0"/>
    <s v="07"/>
    <n v="7"/>
  </r>
  <r>
    <s v="2019S000132"/>
    <x v="28"/>
    <d v="1899-12-30T12:45:00"/>
    <n v="12"/>
    <x v="0"/>
    <s v="AVDA. SANTA EUGENIA / CALL. REAL DE ARGANDA"/>
    <x v="6"/>
    <n v="51.92"/>
    <s v="Big"/>
    <x v="0"/>
    <x v="1"/>
    <x v="1"/>
    <s v="Driver"/>
    <x v="3"/>
    <x v="0"/>
    <s v="07"/>
    <n v="7"/>
  </r>
  <r>
    <s v="2019S006584"/>
    <x v="30"/>
    <d v="1899-12-30T22:25:00"/>
    <n v="22"/>
    <x v="1"/>
    <s v="CALL. GENERAL RICARDOS / GTA. VALLE DE ORO"/>
    <x v="1"/>
    <n v="14.91"/>
    <s v="Small"/>
    <x v="0"/>
    <x v="2"/>
    <x v="1"/>
    <s v="Driver"/>
    <x v="3"/>
    <x v="0"/>
    <s v="07"/>
    <n v="7"/>
  </r>
  <r>
    <s v="2019S003662"/>
    <x v="54"/>
    <d v="1899-12-30T06:00:00"/>
    <n v="6"/>
    <x v="0"/>
    <s v="CALL. DOCE DE OCTUBRE"/>
    <x v="16"/>
    <n v="5.38"/>
    <s v="Small"/>
    <x v="0"/>
    <x v="6"/>
    <x v="1"/>
    <s v="Driver"/>
    <x v="3"/>
    <x v="0"/>
    <s v="02"/>
    <n v="2"/>
  </r>
  <r>
    <s v="2019S014478"/>
    <x v="55"/>
    <d v="1899-12-30T19:45:00"/>
    <n v="19"/>
    <x v="1"/>
    <s v="CALL. MELILOTO / CALL. NOPALERA"/>
    <x v="3"/>
    <n v="25.41"/>
    <s v="Big"/>
    <x v="0"/>
    <x v="2"/>
    <x v="1"/>
    <s v="Driver"/>
    <x v="3"/>
    <x v="1"/>
    <s v="07"/>
    <n v="7"/>
  </r>
  <r>
    <s v="2019S013888"/>
    <x v="56"/>
    <d v="1899-12-30T07:30:00"/>
    <n v="7"/>
    <x v="0"/>
    <s v="PASEO. CASTELLANA"/>
    <x v="14"/>
    <n v="9.2100000000000009"/>
    <s v="Small"/>
    <x v="1"/>
    <x v="4"/>
    <x v="1"/>
    <s v="Driver"/>
    <x v="3"/>
    <x v="0"/>
    <s v="07"/>
    <n v="7"/>
  </r>
  <r>
    <s v="2019S014004"/>
    <x v="33"/>
    <d v="1899-12-30T20:45:00"/>
    <n v="20"/>
    <x v="1"/>
    <s v="PASEO. PRADO"/>
    <x v="2"/>
    <n v="5.23"/>
    <s v="Small"/>
    <x v="0"/>
    <x v="2"/>
    <x v="1"/>
    <s v="Driver"/>
    <x v="3"/>
    <x v="0"/>
    <s v="06"/>
    <n v="6"/>
  </r>
  <r>
    <s v="2019S014256"/>
    <x v="57"/>
    <d v="1899-12-30T16:05:00"/>
    <n v="16"/>
    <x v="1"/>
    <s v="CALL. ARROYO DE LA MEDIA LEGUA / CALL. CORREGIDOR DIEGO CABEZA DE VACA"/>
    <x v="12"/>
    <n v="6.34"/>
    <s v="Small"/>
    <x v="2"/>
    <x v="2"/>
    <x v="1"/>
    <s v="Driver"/>
    <x v="3"/>
    <x v="1"/>
    <s v="07"/>
    <n v="7"/>
  </r>
  <r>
    <s v="2019S016203"/>
    <x v="58"/>
    <d v="1899-12-30T19:45:00"/>
    <n v="19"/>
    <x v="1"/>
    <s v="AVDA. CIUDAD DE BARCELONA / CALL. SECO"/>
    <x v="16"/>
    <n v="5.38"/>
    <s v="Small"/>
    <x v="0"/>
    <x v="4"/>
    <x v="1"/>
    <s v="Driver"/>
    <x v="3"/>
    <x v="0"/>
    <s v="02"/>
    <n v="2"/>
  </r>
  <r>
    <s v="2019S018235"/>
    <x v="59"/>
    <d v="1899-12-30T09:48:00"/>
    <n v="9"/>
    <x v="0"/>
    <s v="CALL. HORTALEZA"/>
    <x v="2"/>
    <n v="5.23"/>
    <s v="Small"/>
    <x v="0"/>
    <x v="6"/>
    <x v="1"/>
    <s v="Driver"/>
    <x v="3"/>
    <x v="0"/>
    <s v="07"/>
    <n v="7"/>
  </r>
  <r>
    <s v="2019S019254"/>
    <x v="60"/>
    <d v="1899-12-30T21:00:00"/>
    <n v="21"/>
    <x v="1"/>
    <s v="CALL. GILENA"/>
    <x v="4"/>
    <n v="20.25"/>
    <s v="Big"/>
    <x v="0"/>
    <x v="4"/>
    <x v="3"/>
    <s v="Driver"/>
    <x v="3"/>
    <x v="0"/>
    <s v="01"/>
    <n v="1"/>
  </r>
  <r>
    <s v="2019S020422"/>
    <x v="61"/>
    <d v="1899-12-30T21:00:00"/>
    <n v="21"/>
    <x v="1"/>
    <s v="PASEO. ESPERANZA"/>
    <x v="11"/>
    <n v="6.46"/>
    <s v="Small"/>
    <x v="0"/>
    <x v="4"/>
    <x v="1"/>
    <s v="Driver"/>
    <x v="3"/>
    <x v="0"/>
    <s v="01"/>
    <n v="1"/>
  </r>
  <r>
    <s v="2019S020733"/>
    <x v="1"/>
    <d v="1899-12-30T16:35:00"/>
    <n v="16"/>
    <x v="1"/>
    <s v="CALL. JUAN IGNACIO LUCA DE TENA"/>
    <x v="13"/>
    <n v="22.36"/>
    <s v="Big"/>
    <x v="2"/>
    <x v="2"/>
    <x v="1"/>
    <s v="Driver"/>
    <x v="3"/>
    <x v="0"/>
    <s v="02"/>
    <n v="2"/>
  </r>
  <r>
    <s v="2019S021787"/>
    <x v="62"/>
    <d v="1899-12-30T11:05:00"/>
    <n v="11"/>
    <x v="0"/>
    <s v="PASEO. MARCELINO CAMACHO / CALL. ANTOLINA MERINO"/>
    <x v="1"/>
    <n v="14.91"/>
    <s v="Small"/>
    <x v="0"/>
    <x v="4"/>
    <x v="1"/>
    <s v="Driver"/>
    <x v="3"/>
    <x v="1"/>
    <s v="01"/>
    <n v="1"/>
  </r>
  <r>
    <s v="2019S022707"/>
    <x v="63"/>
    <d v="1899-12-30T23:00:00"/>
    <n v="23"/>
    <x v="1"/>
    <s v="AVDA. ASTURIAS"/>
    <x v="5"/>
    <n v="5.38"/>
    <s v="Small"/>
    <x v="1"/>
    <x v="4"/>
    <x v="1"/>
    <s v="Driver"/>
    <x v="3"/>
    <x v="0"/>
    <s v="06"/>
    <n v="6"/>
  </r>
  <r>
    <s v="2019S022622"/>
    <x v="63"/>
    <d v="1899-12-30T02:55:00"/>
    <n v="2"/>
    <x v="0"/>
    <s v="AVDA. ASTURIAS / CALL. VIA LIMITE"/>
    <x v="5"/>
    <n v="5.38"/>
    <s v="Small"/>
    <x v="1"/>
    <x v="2"/>
    <x v="1"/>
    <s v="Driver"/>
    <x v="3"/>
    <x v="0"/>
    <s v=""/>
    <s v=""/>
  </r>
  <r>
    <s v="2019S023497"/>
    <x v="64"/>
    <d v="1899-12-30T20:05:00"/>
    <n v="20"/>
    <x v="1"/>
    <s v="CALL. JAVIER DE MIGUEL"/>
    <x v="17"/>
    <n v="14.89"/>
    <s v="Small"/>
    <x v="0"/>
    <x v="4"/>
    <x v="1"/>
    <s v="Driver"/>
    <x v="3"/>
    <x v="0"/>
    <s v="03"/>
    <n v="3"/>
  </r>
  <r>
    <s v="2019S023601"/>
    <x v="19"/>
    <d v="1899-12-30T19:38:00"/>
    <n v="19"/>
    <x v="1"/>
    <s v="CALL. GENERAL LACY / CALL. ANCORA"/>
    <x v="11"/>
    <n v="6.46"/>
    <s v="Small"/>
    <x v="0"/>
    <x v="2"/>
    <x v="1"/>
    <s v="Driver"/>
    <x v="3"/>
    <x v="0"/>
    <s v="01"/>
    <n v="1"/>
  </r>
  <r>
    <s v="2019S024149"/>
    <x v="2"/>
    <d v="1899-12-30T20:38:00"/>
    <n v="20"/>
    <x v="1"/>
    <s v="AVDA. MONASTERIO DE SILOS"/>
    <x v="10"/>
    <n v="237.81"/>
    <s v="Big"/>
    <x v="1"/>
    <x v="4"/>
    <x v="1"/>
    <s v="Driver"/>
    <x v="3"/>
    <x v="0"/>
    <s v="02"/>
    <n v="2"/>
  </r>
  <r>
    <s v="2019S023734"/>
    <x v="2"/>
    <d v="1899-12-30T20:35:00"/>
    <n v="20"/>
    <x v="1"/>
    <s v="GTA. SANTUARIO DE TISCAR"/>
    <x v="10"/>
    <n v="237.81"/>
    <s v="Big"/>
    <x v="1"/>
    <x v="6"/>
    <x v="1"/>
    <s v="Driver"/>
    <x v="3"/>
    <x v="0"/>
    <s v="02"/>
    <n v="2"/>
  </r>
  <r>
    <s v="2019S023783"/>
    <x v="45"/>
    <d v="1899-12-30T00:15:00"/>
    <n v="0"/>
    <x v="0"/>
    <s v="GTA. RUIZ JIMENEZ / CALL. SAN BERNARDO"/>
    <x v="2"/>
    <n v="5.23"/>
    <s v="Small"/>
    <x v="0"/>
    <x v="3"/>
    <x v="1"/>
    <s v="Driver"/>
    <x v="3"/>
    <x v="0"/>
    <s v="01"/>
    <n v="1"/>
  </r>
  <r>
    <s v="2019S025170"/>
    <x v="65"/>
    <d v="1899-12-30T16:45:00"/>
    <n v="16"/>
    <x v="1"/>
    <s v="CALL. GENERAL RICARDOS"/>
    <x v="1"/>
    <n v="14.91"/>
    <s v="Small"/>
    <x v="0"/>
    <x v="0"/>
    <x v="1"/>
    <s v="Driver"/>
    <x v="3"/>
    <x v="0"/>
    <s v="14"/>
    <n v="14"/>
  </r>
  <r>
    <s v="2019S025348"/>
    <x v="66"/>
    <d v="1899-12-30T09:20:00"/>
    <n v="9"/>
    <x v="0"/>
    <s v="CTRA. RODAJOS"/>
    <x v="9"/>
    <n v="43.05"/>
    <s v="Big"/>
    <x v="0"/>
    <x v="0"/>
    <x v="1"/>
    <s v="Pedestrian"/>
    <x v="3"/>
    <x v="0"/>
    <s v="14"/>
    <n v="14"/>
  </r>
  <r>
    <s v="2019S025555"/>
    <x v="46"/>
    <d v="1899-12-30T20:45:00"/>
    <n v="20"/>
    <x v="1"/>
    <s v="CALL. CLAUDIO COELLO"/>
    <x v="18"/>
    <n v="5.39"/>
    <s v="Small"/>
    <x v="0"/>
    <x v="2"/>
    <x v="1"/>
    <s v="Driver"/>
    <x v="3"/>
    <x v="0"/>
    <s v="06"/>
    <n v="6"/>
  </r>
  <r>
    <s v="2019S025769"/>
    <x v="67"/>
    <d v="1899-12-30T19:30:00"/>
    <n v="19"/>
    <x v="1"/>
    <s v="CALL. CERRO DE LA PLATA"/>
    <x v="16"/>
    <n v="5.38"/>
    <s v="Small"/>
    <x v="0"/>
    <x v="6"/>
    <x v="1"/>
    <s v="Driver"/>
    <x v="3"/>
    <x v="0"/>
    <s v="02"/>
    <n v="2"/>
  </r>
  <r>
    <s v="2019S026237"/>
    <x v="68"/>
    <d v="1899-12-30T13:45:00"/>
    <n v="13"/>
    <x v="0"/>
    <s v="CALL. RESINA"/>
    <x v="4"/>
    <n v="20.25"/>
    <s v="Big"/>
    <x v="0"/>
    <x v="2"/>
    <x v="1"/>
    <s v="Driver"/>
    <x v="3"/>
    <x v="0"/>
    <s v="05"/>
    <n v="5"/>
  </r>
  <r>
    <s v="2019S027182"/>
    <x v="69"/>
    <d v="1899-12-30T21:45:00"/>
    <n v="21"/>
    <x v="1"/>
    <s v="CALL. AZUCENAS"/>
    <x v="5"/>
    <n v="5.38"/>
    <s v="Small"/>
    <x v="1"/>
    <x v="2"/>
    <x v="1"/>
    <s v="Driver"/>
    <x v="3"/>
    <x v="0"/>
    <s v="02"/>
    <n v="2"/>
  </r>
  <r>
    <s v="2019S027855"/>
    <x v="70"/>
    <d v="1899-12-30T20:15:00"/>
    <n v="20"/>
    <x v="1"/>
    <s v="AVDA. AVIACION / CTRA. BARRIO DE LA FORTUNA"/>
    <x v="3"/>
    <n v="25.41"/>
    <s v="Big"/>
    <x v="0"/>
    <x v="2"/>
    <x v="1"/>
    <s v="Driver"/>
    <x v="3"/>
    <x v="0"/>
    <s v="02"/>
    <n v="2"/>
  </r>
  <r>
    <s v="2019S027955"/>
    <x v="71"/>
    <d v="1899-12-30T03:30:00"/>
    <n v="3"/>
    <x v="0"/>
    <s v="CALL. MARAVEDI"/>
    <x v="1"/>
    <n v="14.91"/>
    <s v="Small"/>
    <x v="0"/>
    <x v="4"/>
    <x v="1"/>
    <s v="Driver"/>
    <x v="3"/>
    <x v="0"/>
    <s v="01"/>
    <n v="1"/>
  </r>
  <r>
    <s v="2019S028861"/>
    <x v="72"/>
    <d v="1899-12-30T13:30:00"/>
    <n v="13"/>
    <x v="0"/>
    <s v="AVDA. POBLADOS / AUTOV. A-42"/>
    <x v="1"/>
    <n v="14.91"/>
    <s v="Small"/>
    <x v="0"/>
    <x v="2"/>
    <x v="1"/>
    <s v="Driver"/>
    <x v="3"/>
    <x v="0"/>
    <s v="02"/>
    <n v="2"/>
  </r>
  <r>
    <s v="2019S029285"/>
    <x v="73"/>
    <d v="1899-12-30T21:50:00"/>
    <n v="21"/>
    <x v="1"/>
    <s v="CALL. RAMON GOMEZ DE LA SERNA"/>
    <x v="10"/>
    <n v="237.81"/>
    <s v="Big"/>
    <x v="1"/>
    <x v="2"/>
    <x v="1"/>
    <s v="Driver"/>
    <x v="3"/>
    <x v="0"/>
    <s v="07"/>
    <n v="7"/>
  </r>
  <r>
    <s v="2019S029644"/>
    <x v="6"/>
    <d v="1899-12-30T21:15:00"/>
    <n v="21"/>
    <x v="1"/>
    <s v="CALL. ARROYO DE LA MEDIA LEGUA / CALL. ALCALDE GARRIDO JUARISTI"/>
    <x v="12"/>
    <n v="6.34"/>
    <s v="Small"/>
    <x v="2"/>
    <x v="0"/>
    <x v="1"/>
    <s v="Pedestrian"/>
    <x v="3"/>
    <x v="0"/>
    <s v="14"/>
    <n v="14"/>
  </r>
  <r>
    <s v="2019S029946"/>
    <x v="74"/>
    <d v="1899-12-30T18:35:00"/>
    <n v="18"/>
    <x v="1"/>
    <s v="PLAZA DE ORIENTE"/>
    <x v="2"/>
    <n v="5.23"/>
    <s v="Small"/>
    <x v="0"/>
    <x v="0"/>
    <x v="1"/>
    <s v="Driver"/>
    <x v="3"/>
    <x v="1"/>
    <s v="14"/>
    <n v="14"/>
  </r>
  <r>
    <s v="2019S030106"/>
    <x v="74"/>
    <d v="1899-12-30T13:20:00"/>
    <n v="13"/>
    <x v="0"/>
    <s v="IDB. PARQUE LINEAL DEL MANZANARES"/>
    <x v="17"/>
    <n v="14.89"/>
    <s v="Small"/>
    <x v="0"/>
    <x v="5"/>
    <x v="1"/>
    <s v="Driver"/>
    <x v="3"/>
    <x v="0"/>
    <s v="06"/>
    <n v="6"/>
  </r>
  <r>
    <s v="2019S031101"/>
    <x v="75"/>
    <d v="1899-12-30T21:39:00"/>
    <n v="21"/>
    <x v="1"/>
    <s v="CALL. PRINCESA / CALL. MARQUES DE URQUIJO"/>
    <x v="9"/>
    <n v="43.05"/>
    <s v="Big"/>
    <x v="0"/>
    <x v="4"/>
    <x v="1"/>
    <s v="Pedestrian"/>
    <x v="3"/>
    <x v="1"/>
    <s v="14"/>
    <n v="14"/>
  </r>
  <r>
    <s v="2019S031944"/>
    <x v="76"/>
    <d v="1899-12-30T19:23:00"/>
    <n v="19"/>
    <x v="1"/>
    <s v="CALL. ARMADA ESPAÑOLA / PASEO. CASTELLANA"/>
    <x v="18"/>
    <n v="5.39"/>
    <s v="Small"/>
    <x v="0"/>
    <x v="3"/>
    <x v="1"/>
    <s v="Driver"/>
    <x v="3"/>
    <x v="0"/>
    <s v="14"/>
    <n v="14"/>
  </r>
  <r>
    <s v="2019S031790"/>
    <x v="76"/>
    <d v="1899-12-30T14:45:00"/>
    <n v="14"/>
    <x v="0"/>
    <s v="CALL. CARNICER"/>
    <x v="5"/>
    <n v="5.38"/>
    <s v="Small"/>
    <x v="1"/>
    <x v="0"/>
    <x v="1"/>
    <s v="Driver"/>
    <x v="3"/>
    <x v="0"/>
    <s v="06"/>
    <n v="6"/>
  </r>
  <r>
    <s v="2019S032025"/>
    <x v="77"/>
    <d v="1899-12-30T21:10:00"/>
    <n v="21"/>
    <x v="1"/>
    <s v="PLAZA. PUERTA DEL SOL / CALL. CARRETAS"/>
    <x v="2"/>
    <n v="5.23"/>
    <s v="Small"/>
    <x v="0"/>
    <x v="4"/>
    <x v="1"/>
    <s v="Driver"/>
    <x v="3"/>
    <x v="0"/>
    <s v=""/>
    <s v=""/>
  </r>
  <r>
    <s v="2019S033057"/>
    <x v="78"/>
    <d v="1899-12-30T16:40:00"/>
    <n v="16"/>
    <x v="1"/>
    <s v="CALL. CYESA"/>
    <x v="8"/>
    <n v="11.38"/>
    <s v="Small"/>
    <x v="2"/>
    <x v="4"/>
    <x v="1"/>
    <s v="Driver"/>
    <x v="3"/>
    <x v="0"/>
    <s v="07"/>
    <n v="7"/>
  </r>
  <r>
    <s v="2019S033232"/>
    <x v="79"/>
    <d v="1899-12-30T22:45:00"/>
    <n v="22"/>
    <x v="1"/>
    <s v="CALL. GRAN VIA"/>
    <x v="2"/>
    <n v="5.23"/>
    <s v="Small"/>
    <x v="0"/>
    <x v="1"/>
    <x v="1"/>
    <s v="Driver"/>
    <x v="3"/>
    <x v="1"/>
    <s v="14"/>
    <n v="14"/>
  </r>
  <r>
    <s v="2019S033483"/>
    <x v="52"/>
    <d v="1899-12-30T14:12:00"/>
    <n v="14"/>
    <x v="0"/>
    <s v="TRVA. SAN MATEO / CALL. HORTALEZA"/>
    <x v="19"/>
    <e v="#N/A"/>
    <e v="#N/A"/>
    <x v="0"/>
    <x v="2"/>
    <x v="0"/>
    <s v="Driver"/>
    <x v="3"/>
    <x v="0"/>
    <s v="07"/>
    <n v="7"/>
  </r>
  <r>
    <s v="2019S033563"/>
    <x v="80"/>
    <d v="1899-12-30T15:25:00"/>
    <n v="15"/>
    <x v="1"/>
    <s v="CALL. O'DONNELL / AVDA. MENENDEZ PELAYO"/>
    <x v="16"/>
    <n v="5.38"/>
    <s v="Small"/>
    <x v="0"/>
    <x v="0"/>
    <x v="1"/>
    <s v="Driver"/>
    <x v="3"/>
    <x v="1"/>
    <s v="14"/>
    <n v="14"/>
  </r>
  <r>
    <s v="2019S033730"/>
    <x v="7"/>
    <d v="1899-12-30T11:10:00"/>
    <n v="11"/>
    <x v="0"/>
    <s v="CALL. FERNANDEZ DE LA HOZ / CALL. GENERAL ARRANDO"/>
    <x v="15"/>
    <n v="4.6900000000000004"/>
    <s v="Small"/>
    <x v="1"/>
    <x v="4"/>
    <x v="3"/>
    <s v="Driver"/>
    <x v="3"/>
    <x v="0"/>
    <s v="14"/>
    <n v="14"/>
  </r>
  <r>
    <s v="2019S034665"/>
    <x v="81"/>
    <d v="1899-12-30T11:45:00"/>
    <n v="11"/>
    <x v="0"/>
    <s v="COLPB. MONTE DE EL PARDO"/>
    <x v="10"/>
    <n v="237.81"/>
    <s v="Big"/>
    <x v="1"/>
    <x v="4"/>
    <x v="1"/>
    <s v="Driver"/>
    <x v="3"/>
    <x v="0"/>
    <s v="06"/>
    <n v="6"/>
  </r>
  <r>
    <s v="2019S035751"/>
    <x v="82"/>
    <d v="1899-12-30T14:10:00"/>
    <n v="14"/>
    <x v="0"/>
    <s v="PLAZA. CONDE DE CASAL / AVDA. MEDITERRANEO"/>
    <x v="16"/>
    <n v="5.38"/>
    <s v="Small"/>
    <x v="0"/>
    <x v="3"/>
    <x v="1"/>
    <s v="Driver"/>
    <x v="3"/>
    <x v="1"/>
    <s v="06"/>
    <n v="6"/>
  </r>
  <r>
    <s v="2019S037819"/>
    <x v="83"/>
    <d v="1899-12-30T02:20:00"/>
    <n v="2"/>
    <x v="0"/>
    <s v="PLAZA. CONDE DE CASAL / AVDA. MEDITERRANEO"/>
    <x v="16"/>
    <n v="5.38"/>
    <s v="Small"/>
    <x v="0"/>
    <x v="4"/>
    <x v="1"/>
    <s v="Driver"/>
    <x v="3"/>
    <x v="1"/>
    <s v="07"/>
    <n v="7"/>
  </r>
  <r>
    <s v="2019S039749"/>
    <x v="84"/>
    <d v="1899-12-30T03:50:00"/>
    <n v="3"/>
    <x v="0"/>
    <s v="CALL. GRAN VIA / CALL. DOCTOR CARRACIDO"/>
    <x v="2"/>
    <n v="5.23"/>
    <s v="Small"/>
    <x v="0"/>
    <x v="1"/>
    <x v="1"/>
    <s v="Driver"/>
    <x v="3"/>
    <x v="0"/>
    <s v=""/>
    <s v=""/>
  </r>
  <r>
    <s v="2019S000132"/>
    <x v="28"/>
    <d v="1899-12-30T12:45:00"/>
    <n v="12"/>
    <x v="0"/>
    <s v="AVDA. SANTA EUGENIA / CALL. REAL DE ARGANDA"/>
    <x v="6"/>
    <n v="51.92"/>
    <s v="Big"/>
    <x v="0"/>
    <x v="1"/>
    <x v="1"/>
    <s v="Driver"/>
    <x v="4"/>
    <x v="0"/>
    <s v="14"/>
    <n v="14"/>
  </r>
  <r>
    <s v="2019S004601"/>
    <x v="54"/>
    <d v="1899-12-30T19:50:00"/>
    <n v="19"/>
    <x v="1"/>
    <s v="CALL. ARENAL / CALL. DONADOS"/>
    <x v="2"/>
    <n v="5.23"/>
    <s v="Small"/>
    <x v="0"/>
    <x v="3"/>
    <x v="1"/>
    <s v="Driver"/>
    <x v="4"/>
    <x v="0"/>
    <s v="07"/>
    <n v="7"/>
  </r>
  <r>
    <s v="2019S010907"/>
    <x v="85"/>
    <d v="1899-12-30T04:00:00"/>
    <n v="4"/>
    <x v="0"/>
    <s v="CALL. GRAN VIA"/>
    <x v="2"/>
    <n v="5.23"/>
    <s v="Small"/>
    <x v="0"/>
    <x v="2"/>
    <x v="2"/>
    <s v="Driver"/>
    <x v="4"/>
    <x v="0"/>
    <s v="05"/>
    <n v="5"/>
  </r>
  <r>
    <s v="2019S008460"/>
    <x v="86"/>
    <d v="1899-12-30T01:40:00"/>
    <n v="1"/>
    <x v="0"/>
    <s v="CALL. SANTA ENGRACIA / CALL. RIOS ROSAS"/>
    <x v="15"/>
    <n v="4.6900000000000004"/>
    <s v="Small"/>
    <x v="1"/>
    <x v="2"/>
    <x v="3"/>
    <s v="Driver"/>
    <x v="4"/>
    <x v="0"/>
    <s v="07"/>
    <n v="7"/>
  </r>
  <r>
    <s v="2019S009733"/>
    <x v="87"/>
    <d v="1899-12-30T16:05:00"/>
    <n v="16"/>
    <x v="1"/>
    <s v="PASEO. REINA CRISTINA / CALL. ANDRES TORREJON"/>
    <x v="16"/>
    <n v="5.38"/>
    <s v="Small"/>
    <x v="0"/>
    <x v="2"/>
    <x v="4"/>
    <s v="Driver"/>
    <x v="4"/>
    <x v="0"/>
    <s v=""/>
    <s v=""/>
  </r>
  <r>
    <s v="2019S009715"/>
    <x v="87"/>
    <d v="1899-12-30T13:45:00"/>
    <n v="13"/>
    <x v="0"/>
    <s v="CALL. PRINCIPE DE VERGARA"/>
    <x v="14"/>
    <n v="9.2100000000000009"/>
    <s v="Small"/>
    <x v="1"/>
    <x v="3"/>
    <x v="1"/>
    <s v="Driver"/>
    <x v="4"/>
    <x v="0"/>
    <s v="07"/>
    <n v="7"/>
  </r>
  <r>
    <s v="2019S010852"/>
    <x v="88"/>
    <d v="1899-12-30T17:30:00"/>
    <n v="17"/>
    <x v="1"/>
    <s v="CALL. SILVANO / CALL. FRANCISCO MOSQUEDA"/>
    <x v="7"/>
    <n v="27.41"/>
    <s v="Big"/>
    <x v="0"/>
    <x v="0"/>
    <x v="1"/>
    <s v="Pedestrian"/>
    <x v="4"/>
    <x v="1"/>
    <s v="07"/>
    <n v="7"/>
  </r>
  <r>
    <s v="2019S010653"/>
    <x v="89"/>
    <d v="1899-12-30T14:20:00"/>
    <n v="14"/>
    <x v="0"/>
    <s v="PASEO. INFANTA ISABEL"/>
    <x v="16"/>
    <n v="5.38"/>
    <s v="Small"/>
    <x v="0"/>
    <x v="3"/>
    <x v="1"/>
    <s v="Driver"/>
    <x v="4"/>
    <x v="0"/>
    <s v="07"/>
    <n v="7"/>
  </r>
  <r>
    <s v="2019S013090"/>
    <x v="90"/>
    <d v="1899-12-30T21:15:00"/>
    <n v="21"/>
    <x v="1"/>
    <s v="PLAZA. ESPAÑA"/>
    <x v="9"/>
    <n v="43.05"/>
    <s v="Big"/>
    <x v="0"/>
    <x v="1"/>
    <x v="1"/>
    <s v="Driver"/>
    <x v="4"/>
    <x v="0"/>
    <s v="06"/>
    <n v="6"/>
  </r>
  <r>
    <s v="2019S014242"/>
    <x v="91"/>
    <d v="1899-12-30T20:55:00"/>
    <n v="20"/>
    <x v="1"/>
    <s v="CALL. PRINCESA / CALL. HILARION ESLAVA"/>
    <x v="15"/>
    <n v="4.6900000000000004"/>
    <s v="Small"/>
    <x v="1"/>
    <x v="2"/>
    <x v="1"/>
    <s v="Driver"/>
    <x v="4"/>
    <x v="1"/>
    <s v="07"/>
    <n v="7"/>
  </r>
  <r>
    <s v="2019S014263"/>
    <x v="57"/>
    <d v="1899-12-30T15:45:00"/>
    <n v="15"/>
    <x v="1"/>
    <s v="CALL. ALFONSO XII / CALL. MONTALBAN"/>
    <x v="16"/>
    <n v="5.38"/>
    <s v="Small"/>
    <x v="0"/>
    <x v="3"/>
    <x v="1"/>
    <s v="Driver"/>
    <x v="4"/>
    <x v="0"/>
    <s v="07"/>
    <n v="7"/>
  </r>
  <r>
    <s v="2019S014722"/>
    <x v="12"/>
    <d v="1899-12-30T19:25:00"/>
    <n v="19"/>
    <x v="1"/>
    <s v="AVDA. PARTENON"/>
    <x v="20"/>
    <n v="41.74"/>
    <s v="Big"/>
    <x v="2"/>
    <x v="2"/>
    <x v="1"/>
    <s v="Driver"/>
    <x v="4"/>
    <x v="0"/>
    <s v="07"/>
    <n v="7"/>
  </r>
  <r>
    <s v="2019S016583"/>
    <x v="92"/>
    <d v="1899-12-30T19:45:00"/>
    <n v="19"/>
    <x v="1"/>
    <s v="CALL. LOPEZ GRASS / AVDA. ALBUFERA"/>
    <x v="17"/>
    <n v="14.89"/>
    <s v="Small"/>
    <x v="0"/>
    <x v="2"/>
    <x v="1"/>
    <s v="Driver"/>
    <x v="4"/>
    <x v="0"/>
    <s v="06"/>
    <n v="6"/>
  </r>
  <r>
    <s v="2019S016157"/>
    <x v="58"/>
    <d v="1899-12-30T22:00:00"/>
    <n v="22"/>
    <x v="1"/>
    <s v="CALL. BRAVO MURILLO"/>
    <x v="5"/>
    <n v="5.38"/>
    <s v="Small"/>
    <x v="1"/>
    <x v="3"/>
    <x v="1"/>
    <s v="Driver"/>
    <x v="4"/>
    <x v="0"/>
    <s v="02"/>
    <n v="2"/>
  </r>
  <r>
    <s v="2019S017942"/>
    <x v="36"/>
    <d v="1899-12-30T22:45:00"/>
    <n v="22"/>
    <x v="1"/>
    <s v="CALL. HORTALEZA"/>
    <x v="2"/>
    <n v="5.23"/>
    <s v="Small"/>
    <x v="0"/>
    <x v="0"/>
    <x v="1"/>
    <s v="Driver"/>
    <x v="4"/>
    <x v="0"/>
    <s v="02"/>
    <n v="2"/>
  </r>
  <r>
    <s v="2019S017764"/>
    <x v="93"/>
    <d v="1899-12-30T15:23:00"/>
    <n v="15"/>
    <x v="1"/>
    <s v="CALL. ALCALA"/>
    <x v="2"/>
    <n v="5.23"/>
    <s v="Small"/>
    <x v="0"/>
    <x v="1"/>
    <x v="1"/>
    <s v="Driver"/>
    <x v="4"/>
    <x v="0"/>
    <s v="07"/>
    <n v="7"/>
  </r>
  <r>
    <s v="2019S017873"/>
    <x v="94"/>
    <d v="1899-12-30T13:50:00"/>
    <n v="13"/>
    <x v="0"/>
    <s v="AUTOV. M-607, +01500S"/>
    <x v="10"/>
    <n v="237.81"/>
    <s v="Big"/>
    <x v="1"/>
    <x v="2"/>
    <x v="0"/>
    <s v="Driver"/>
    <x v="4"/>
    <x v="0"/>
    <s v="06"/>
    <n v="6"/>
  </r>
  <r>
    <s v="2019S019779"/>
    <x v="95"/>
    <d v="1899-12-30T20:15:00"/>
    <n v="20"/>
    <x v="1"/>
    <s v="CALL. GRAN VIA / CALL. SAN BERNARDO"/>
    <x v="2"/>
    <n v="5.23"/>
    <s v="Small"/>
    <x v="0"/>
    <x v="2"/>
    <x v="1"/>
    <s v="Driver"/>
    <x v="4"/>
    <x v="0"/>
    <s v="07"/>
    <n v="7"/>
  </r>
  <r>
    <s v="2019S020351"/>
    <x v="96"/>
    <d v="1899-12-30T21:15:00"/>
    <n v="21"/>
    <x v="1"/>
    <s v="CALL. CEA BERMUDEZ / CALL. BRAVO MURILLO"/>
    <x v="15"/>
    <n v="4.6900000000000004"/>
    <s v="Small"/>
    <x v="1"/>
    <x v="1"/>
    <x v="1"/>
    <s v="Driver"/>
    <x v="4"/>
    <x v="1"/>
    <s v="06"/>
    <n v="6"/>
  </r>
  <r>
    <s v="2019S021149"/>
    <x v="97"/>
    <d v="1899-12-30T14:30:00"/>
    <n v="14"/>
    <x v="0"/>
    <s v="CALL. ALCALA / CALL. RAQUEL MELLER"/>
    <x v="8"/>
    <n v="11.38"/>
    <s v="Small"/>
    <x v="2"/>
    <x v="3"/>
    <x v="1"/>
    <s v="Driver"/>
    <x v="4"/>
    <x v="0"/>
    <s v="07"/>
    <n v="7"/>
  </r>
  <r>
    <s v="2019S021207"/>
    <x v="97"/>
    <d v="1899-12-30T14:05:00"/>
    <n v="14"/>
    <x v="0"/>
    <s v="CALL. PUERTO SERRANO / CALL. PUERTO DE LA CRUZ VERDE"/>
    <x v="11"/>
    <n v="6.46"/>
    <s v="Small"/>
    <x v="0"/>
    <x v="2"/>
    <x v="1"/>
    <s v="Driver"/>
    <x v="4"/>
    <x v="0"/>
    <s v="14"/>
    <n v="14"/>
  </r>
  <r>
    <s v="2019S021258"/>
    <x v="98"/>
    <d v="1899-12-30T19:40:00"/>
    <n v="19"/>
    <x v="1"/>
    <s v="CALL. BARCELO"/>
    <x v="2"/>
    <n v="5.23"/>
    <s v="Small"/>
    <x v="0"/>
    <x v="4"/>
    <x v="1"/>
    <s v="Driver"/>
    <x v="4"/>
    <x v="0"/>
    <s v="05"/>
    <n v="5"/>
  </r>
  <r>
    <s v="2019S021377"/>
    <x v="99"/>
    <d v="1899-12-30T22:52:00"/>
    <n v="22"/>
    <x v="1"/>
    <s v="CALL. JOSE ABASCAL"/>
    <x v="15"/>
    <n v="4.6900000000000004"/>
    <s v="Small"/>
    <x v="1"/>
    <x v="1"/>
    <x v="1"/>
    <s v="Driver"/>
    <x v="4"/>
    <x v="1"/>
    <s v=""/>
    <s v=""/>
  </r>
  <r>
    <s v="2019S022216"/>
    <x v="100"/>
    <d v="1899-12-30T20:31:00"/>
    <n v="20"/>
    <x v="1"/>
    <s v="CALL. MAYOR"/>
    <x v="2"/>
    <n v="5.23"/>
    <s v="Small"/>
    <x v="0"/>
    <x v="0"/>
    <x v="1"/>
    <s v="Driver"/>
    <x v="4"/>
    <x v="0"/>
    <s v="14"/>
    <n v="14"/>
  </r>
  <r>
    <s v="2019S022216"/>
    <x v="100"/>
    <d v="1899-12-30T20:31:00"/>
    <n v="20"/>
    <x v="1"/>
    <s v="CALL. MAYOR"/>
    <x v="2"/>
    <n v="5.23"/>
    <s v="Small"/>
    <x v="0"/>
    <x v="0"/>
    <x v="1"/>
    <s v="Pedestrian"/>
    <x v="4"/>
    <x v="1"/>
    <s v="07"/>
    <n v="7"/>
  </r>
  <r>
    <s v="2019S021753"/>
    <x v="16"/>
    <d v="1899-12-30T01:45:00"/>
    <n v="1"/>
    <x v="0"/>
    <s v="CALL. BUSTOS / CALL. SIERRA DE LOS FILABRES"/>
    <x v="17"/>
    <n v="14.89"/>
    <s v="Small"/>
    <x v="0"/>
    <x v="4"/>
    <x v="1"/>
    <s v="Driver"/>
    <x v="4"/>
    <x v="0"/>
    <s v="01"/>
    <n v="1"/>
  </r>
  <r>
    <s v="2019S021969"/>
    <x v="101"/>
    <d v="1899-12-30T21:08:00"/>
    <n v="21"/>
    <x v="1"/>
    <s v="CALL. VAZQUEZ DE MELLA"/>
    <x v="8"/>
    <n v="11.38"/>
    <s v="Small"/>
    <x v="2"/>
    <x v="4"/>
    <x v="1"/>
    <s v="Driver"/>
    <x v="4"/>
    <x v="0"/>
    <s v="02"/>
    <n v="2"/>
  </r>
  <r>
    <s v="2019S021957"/>
    <x v="101"/>
    <d v="1899-12-30T19:20:00"/>
    <n v="19"/>
    <x v="1"/>
    <s v="CTRA. M-616, +00500S"/>
    <x v="10"/>
    <n v="237.81"/>
    <s v="Big"/>
    <x v="1"/>
    <x v="2"/>
    <x v="1"/>
    <s v="Driver"/>
    <x v="4"/>
    <x v="0"/>
    <s v="14"/>
    <n v="14"/>
  </r>
  <r>
    <s v="2019S023803"/>
    <x v="102"/>
    <d v="1899-12-30T21:00:00"/>
    <n v="21"/>
    <x v="1"/>
    <s v="AVDA. MONTE IGUELDO"/>
    <x v="17"/>
    <n v="14.89"/>
    <s v="Small"/>
    <x v="0"/>
    <x v="1"/>
    <x v="1"/>
    <s v="Driver"/>
    <x v="4"/>
    <x v="0"/>
    <s v="07"/>
    <n v="7"/>
  </r>
  <r>
    <s v="2019S022584"/>
    <x v="103"/>
    <d v="1899-12-30T17:21:00"/>
    <n v="17"/>
    <x v="1"/>
    <s v="CALL. PEDRO DE VALDIVIA"/>
    <x v="14"/>
    <n v="9.2100000000000009"/>
    <s v="Small"/>
    <x v="1"/>
    <x v="6"/>
    <x v="1"/>
    <s v="Driver"/>
    <x v="4"/>
    <x v="0"/>
    <s v="02"/>
    <n v="2"/>
  </r>
  <r>
    <s v="2019S023041"/>
    <x v="17"/>
    <d v="1899-12-30T23:05:00"/>
    <n v="23"/>
    <x v="1"/>
    <s v="CALL. PICO DE LA MALICIOSA"/>
    <x v="17"/>
    <n v="14.89"/>
    <s v="Small"/>
    <x v="0"/>
    <x v="5"/>
    <x v="1"/>
    <s v="Driver"/>
    <x v="4"/>
    <x v="0"/>
    <s v=""/>
    <s v=""/>
  </r>
  <r>
    <s v="2019S023089"/>
    <x v="104"/>
    <d v="1899-12-30T15:15:00"/>
    <n v="15"/>
    <x v="1"/>
    <s v="CALL. GRAN VIA / CALL. ALCALA"/>
    <x v="2"/>
    <n v="5.23"/>
    <s v="Small"/>
    <x v="0"/>
    <x v="3"/>
    <x v="1"/>
    <s v="Driver"/>
    <x v="4"/>
    <x v="0"/>
    <s v=""/>
    <s v=""/>
  </r>
  <r>
    <s v="2019S023355"/>
    <x v="43"/>
    <d v="1899-12-30T21:50:00"/>
    <n v="21"/>
    <x v="1"/>
    <s v="CALL. ALFONSO XII / CALL. CLAUDIO MOYANO"/>
    <x v="16"/>
    <n v="5.38"/>
    <s v="Small"/>
    <x v="0"/>
    <x v="4"/>
    <x v="1"/>
    <s v="Driver"/>
    <x v="4"/>
    <x v="0"/>
    <s v="07"/>
    <n v="7"/>
  </r>
  <r>
    <s v="2019S023694"/>
    <x v="105"/>
    <d v="1899-12-30T19:40:00"/>
    <n v="19"/>
    <x v="1"/>
    <s v="CALL. SANTA ENGRACIA"/>
    <x v="15"/>
    <n v="4.6900000000000004"/>
    <s v="Small"/>
    <x v="1"/>
    <x v="2"/>
    <x v="1"/>
    <s v="Driver"/>
    <x v="4"/>
    <x v="0"/>
    <s v=""/>
    <s v=""/>
  </r>
  <r>
    <s v="2019S023774"/>
    <x v="2"/>
    <d v="1899-12-30T10:50:00"/>
    <n v="10"/>
    <x v="0"/>
    <s v="CALL. MAQUEDA"/>
    <x v="3"/>
    <n v="25.41"/>
    <s v="Big"/>
    <x v="0"/>
    <x v="5"/>
    <x v="1"/>
    <s v="Driver"/>
    <x v="4"/>
    <x v="0"/>
    <s v="07"/>
    <n v="7"/>
  </r>
  <r>
    <s v="2019S023766"/>
    <x v="45"/>
    <d v="1899-12-30T09:25:00"/>
    <n v="9"/>
    <x v="0"/>
    <s v="CALL. EMBAJADORES, 330  FRENTE ENTRADA CAJA MÁGIA"/>
    <x v="17"/>
    <n v="14.89"/>
    <s v="Small"/>
    <x v="0"/>
    <x v="2"/>
    <x v="1"/>
    <s v="Driver"/>
    <x v="4"/>
    <x v="0"/>
    <s v="02"/>
    <n v="2"/>
  </r>
  <r>
    <s v="2019S023979"/>
    <x v="106"/>
    <d v="1899-12-30T23:00:00"/>
    <n v="23"/>
    <x v="1"/>
    <s v="CALL. SEGOVIA / RONDA. SEGOVIA"/>
    <x v="11"/>
    <n v="6.46"/>
    <s v="Small"/>
    <x v="0"/>
    <x v="5"/>
    <x v="1"/>
    <s v="Driver"/>
    <x v="4"/>
    <x v="0"/>
    <s v="07"/>
    <n v="7"/>
  </r>
  <r>
    <s v="2019S024340"/>
    <x v="107"/>
    <d v="1899-12-30T20:45:00"/>
    <n v="20"/>
    <x v="1"/>
    <s v="AVDA. BETANZOS"/>
    <x v="10"/>
    <n v="237.81"/>
    <s v="Big"/>
    <x v="1"/>
    <x v="1"/>
    <x v="1"/>
    <s v="Driver"/>
    <x v="4"/>
    <x v="0"/>
    <s v=""/>
    <s v=""/>
  </r>
  <r>
    <s v="2019S024426"/>
    <x v="108"/>
    <d v="1899-12-30T16:10:00"/>
    <n v="16"/>
    <x v="1"/>
    <s v="CALL. ELOY GONZALO / CALL. SANTISIMA TRINIDAD"/>
    <x v="15"/>
    <n v="4.6900000000000004"/>
    <s v="Small"/>
    <x v="1"/>
    <x v="3"/>
    <x v="1"/>
    <s v="Driver"/>
    <x v="4"/>
    <x v="0"/>
    <s v=""/>
    <s v=""/>
  </r>
  <r>
    <s v="2019S024853"/>
    <x v="109"/>
    <d v="1899-12-30T19:40:00"/>
    <n v="19"/>
    <x v="1"/>
    <s v="PLAZA. INDEPENDENCIA"/>
    <x v="16"/>
    <n v="5.38"/>
    <s v="Small"/>
    <x v="0"/>
    <x v="1"/>
    <x v="1"/>
    <s v="Driver"/>
    <x v="4"/>
    <x v="0"/>
    <s v="07"/>
    <n v="7"/>
  </r>
  <r>
    <s v="2019S024842"/>
    <x v="109"/>
    <d v="1899-12-30T17:06:00"/>
    <n v="17"/>
    <x v="1"/>
    <s v="PASEO. INFANTA ISABEL"/>
    <x v="16"/>
    <n v="5.38"/>
    <s v="Small"/>
    <x v="0"/>
    <x v="2"/>
    <x v="4"/>
    <s v="Driver"/>
    <x v="4"/>
    <x v="0"/>
    <s v="14"/>
    <n v="14"/>
  </r>
  <r>
    <s v="2019S025524"/>
    <x v="110"/>
    <d v="1899-12-30T13:37:00"/>
    <n v="13"/>
    <x v="0"/>
    <s v="CALL. RAFAEL BERGAMIN"/>
    <x v="8"/>
    <n v="11.38"/>
    <s v="Small"/>
    <x v="2"/>
    <x v="4"/>
    <x v="1"/>
    <s v="Driver"/>
    <x v="4"/>
    <x v="0"/>
    <s v="02"/>
    <n v="2"/>
  </r>
  <r>
    <s v="2019S026421"/>
    <x v="111"/>
    <d v="1899-12-30T16:00:00"/>
    <n v="16"/>
    <x v="1"/>
    <s v="GTA. PUENTE DE SEGOVIA"/>
    <x v="3"/>
    <n v="25.41"/>
    <s v="Big"/>
    <x v="0"/>
    <x v="1"/>
    <x v="1"/>
    <s v="Driver"/>
    <x v="4"/>
    <x v="0"/>
    <s v="02"/>
    <n v="2"/>
  </r>
  <r>
    <s v="2019S025463"/>
    <x v="46"/>
    <d v="1899-12-30T04:20:00"/>
    <n v="4"/>
    <x v="0"/>
    <s v="CALL. ALCALA"/>
    <x v="2"/>
    <n v="5.23"/>
    <s v="Small"/>
    <x v="0"/>
    <x v="5"/>
    <x v="1"/>
    <s v="Driver"/>
    <x v="4"/>
    <x v="0"/>
    <s v="14"/>
    <n v="14"/>
  </r>
  <r>
    <s v="2019S025463"/>
    <x v="46"/>
    <d v="1899-12-30T04:20:00"/>
    <n v="4"/>
    <x v="0"/>
    <s v="CALL. ALCALA"/>
    <x v="2"/>
    <n v="5.23"/>
    <s v="Small"/>
    <x v="0"/>
    <x v="5"/>
    <x v="1"/>
    <s v="Passenger"/>
    <x v="4"/>
    <x v="1"/>
    <s v="06"/>
    <n v="6"/>
  </r>
  <r>
    <s v="2019S025640"/>
    <x v="112"/>
    <d v="1899-12-30T19:35:00"/>
    <n v="19"/>
    <x v="1"/>
    <s v="CALL. MULLER / CALL. AZUCENAS"/>
    <x v="5"/>
    <n v="5.38"/>
    <s v="Small"/>
    <x v="1"/>
    <x v="2"/>
    <x v="1"/>
    <s v="Driver"/>
    <x v="4"/>
    <x v="0"/>
    <s v=""/>
    <s v=""/>
  </r>
  <r>
    <s v="2019S025927"/>
    <x v="112"/>
    <d v="1899-12-30T01:15:00"/>
    <n v="1"/>
    <x v="0"/>
    <s v="AVDA. MENENDEZ PELAYO / CALL. O'DONNELL"/>
    <x v="16"/>
    <n v="5.38"/>
    <s v="Small"/>
    <x v="0"/>
    <x v="1"/>
    <x v="1"/>
    <s v="Driver"/>
    <x v="4"/>
    <x v="0"/>
    <s v=""/>
    <s v=""/>
  </r>
  <r>
    <s v="2019S025639"/>
    <x v="113"/>
    <d v="1899-12-30T03:20:00"/>
    <n v="3"/>
    <x v="0"/>
    <s v="CALL. JOSE ABASCAL"/>
    <x v="15"/>
    <n v="4.6900000000000004"/>
    <s v="Small"/>
    <x v="1"/>
    <x v="4"/>
    <x v="1"/>
    <s v="Driver"/>
    <x v="4"/>
    <x v="0"/>
    <s v="07"/>
    <n v="7"/>
  </r>
  <r>
    <s v="2019S026840"/>
    <x v="114"/>
    <d v="1899-12-30T22:15:00"/>
    <n v="22"/>
    <x v="1"/>
    <s v="CALL. DOCTOR ESQUERDO"/>
    <x v="16"/>
    <n v="5.38"/>
    <s v="Small"/>
    <x v="0"/>
    <x v="4"/>
    <x v="1"/>
    <s v="Driver"/>
    <x v="4"/>
    <x v="0"/>
    <s v="02"/>
    <n v="2"/>
  </r>
  <r>
    <s v="2019S026841"/>
    <x v="115"/>
    <d v="1899-12-30T08:30:00"/>
    <n v="8"/>
    <x v="0"/>
    <s v="CALL. NAVARRA / CALL. PAMPLONA"/>
    <x v="5"/>
    <n v="5.38"/>
    <s v="Small"/>
    <x v="1"/>
    <x v="4"/>
    <x v="0"/>
    <s v="Driver"/>
    <x v="4"/>
    <x v="1"/>
    <s v="07"/>
    <n v="7"/>
  </r>
  <r>
    <s v="2019S027425"/>
    <x v="116"/>
    <d v="1899-12-30T23:05:00"/>
    <n v="23"/>
    <x v="1"/>
    <s v="CUESTA DE LA VEGA"/>
    <x v="2"/>
    <n v="5.23"/>
    <s v="Small"/>
    <x v="0"/>
    <x v="4"/>
    <x v="1"/>
    <s v="Driver"/>
    <x v="4"/>
    <x v="1"/>
    <s v="07"/>
    <n v="7"/>
  </r>
  <r>
    <s v="2019S028932"/>
    <x v="117"/>
    <d v="1899-12-30T15:30:00"/>
    <n v="15"/>
    <x v="1"/>
    <s v="PASEO. CAMOENS Y VALERO"/>
    <x v="9"/>
    <n v="43.05"/>
    <s v="Big"/>
    <x v="0"/>
    <x v="6"/>
    <x v="0"/>
    <s v="Driver"/>
    <x v="4"/>
    <x v="0"/>
    <s v="06"/>
    <n v="6"/>
  </r>
  <r>
    <s v="2019S029200"/>
    <x v="118"/>
    <d v="1899-12-30T21:40:00"/>
    <n v="21"/>
    <x v="1"/>
    <s v="CALL. PRINCESA"/>
    <x v="9"/>
    <n v="43.05"/>
    <s v="Big"/>
    <x v="0"/>
    <x v="2"/>
    <x v="1"/>
    <s v="Driver"/>
    <x v="4"/>
    <x v="0"/>
    <s v="05"/>
    <n v="5"/>
  </r>
  <r>
    <s v="2019S030317"/>
    <x v="119"/>
    <d v="1899-12-30T01:49:00"/>
    <n v="1"/>
    <x v="0"/>
    <s v="CALL. ALCALA"/>
    <x v="2"/>
    <n v="5.23"/>
    <s v="Small"/>
    <x v="0"/>
    <x v="4"/>
    <x v="1"/>
    <s v="Driver"/>
    <x v="4"/>
    <x v="0"/>
    <s v="07"/>
    <n v="7"/>
  </r>
  <r>
    <s v="2019S030632"/>
    <x v="120"/>
    <d v="1899-12-30T15:20:00"/>
    <n v="15"/>
    <x v="1"/>
    <s v="CALL. MAYOR"/>
    <x v="2"/>
    <n v="5.23"/>
    <s v="Small"/>
    <x v="0"/>
    <x v="0"/>
    <x v="1"/>
    <s v="Driver"/>
    <x v="4"/>
    <x v="0"/>
    <s v="14"/>
    <n v="14"/>
  </r>
  <r>
    <s v="2019S030697"/>
    <x v="121"/>
    <d v="1899-12-30T13:15:00"/>
    <n v="13"/>
    <x v="0"/>
    <s v="AVDA. ENTREVIAS / CALL. PADRE LLANOS"/>
    <x v="17"/>
    <n v="14.89"/>
    <s v="Small"/>
    <x v="0"/>
    <x v="2"/>
    <x v="1"/>
    <s v="Driver"/>
    <x v="4"/>
    <x v="0"/>
    <s v="14"/>
    <n v="14"/>
  </r>
  <r>
    <s v="2019S030886"/>
    <x v="122"/>
    <d v="1899-12-30T21:38:00"/>
    <n v="21"/>
    <x v="1"/>
    <s v="CALL. MODESTO LAFUENTE / CALL. MARIA DE GUZMAN"/>
    <x v="15"/>
    <n v="4.6900000000000004"/>
    <s v="Small"/>
    <x v="1"/>
    <x v="2"/>
    <x v="3"/>
    <s v="Driver"/>
    <x v="4"/>
    <x v="0"/>
    <s v=""/>
    <s v=""/>
  </r>
  <r>
    <s v="2019S031193"/>
    <x v="123"/>
    <d v="1899-12-30T19:40:00"/>
    <n v="19"/>
    <x v="1"/>
    <s v="CALL. FUENTE CARRANTONA"/>
    <x v="12"/>
    <n v="6.34"/>
    <s v="Small"/>
    <x v="2"/>
    <x v="2"/>
    <x v="1"/>
    <s v="Driver"/>
    <x v="4"/>
    <x v="0"/>
    <s v="05"/>
    <n v="5"/>
  </r>
  <r>
    <s v="2019S031320"/>
    <x v="124"/>
    <d v="1899-12-30T23:43:00"/>
    <n v="23"/>
    <x v="1"/>
    <s v="PLAZA. EMPERADOR CARLOS V / RONDA. ATOCHA"/>
    <x v="2"/>
    <n v="5.23"/>
    <s v="Small"/>
    <x v="0"/>
    <x v="1"/>
    <x v="1"/>
    <s v="Driver"/>
    <x v="4"/>
    <x v="0"/>
    <s v="14"/>
    <n v="14"/>
  </r>
  <r>
    <s v="2019S031692"/>
    <x v="25"/>
    <d v="1899-12-30T16:20:00"/>
    <n v="16"/>
    <x v="1"/>
    <s v="PASEO. SANTA MARIA DE LA CABEZA"/>
    <x v="11"/>
    <n v="6.46"/>
    <s v="Small"/>
    <x v="0"/>
    <x v="2"/>
    <x v="1"/>
    <s v="Driver"/>
    <x v="4"/>
    <x v="0"/>
    <s v="07"/>
    <n v="7"/>
  </r>
  <r>
    <s v="2019S031830"/>
    <x v="125"/>
    <d v="1899-12-30T22:25:00"/>
    <n v="22"/>
    <x v="1"/>
    <s v="AVDA. AMERICA"/>
    <x v="18"/>
    <n v="5.39"/>
    <s v="Small"/>
    <x v="0"/>
    <x v="4"/>
    <x v="1"/>
    <s v="Driver"/>
    <x v="4"/>
    <x v="0"/>
    <s v="01"/>
    <n v="1"/>
  </r>
  <r>
    <s v="2019S032046"/>
    <x v="126"/>
    <d v="1899-12-30T20:15:00"/>
    <n v="20"/>
    <x v="1"/>
    <s v="CALL. ALCALA"/>
    <x v="2"/>
    <n v="5.23"/>
    <s v="Small"/>
    <x v="0"/>
    <x v="4"/>
    <x v="1"/>
    <s v="Driver"/>
    <x v="4"/>
    <x v="0"/>
    <s v="07"/>
    <n v="7"/>
  </r>
  <r>
    <s v="2019S032663"/>
    <x v="127"/>
    <d v="1899-12-30T20:45:00"/>
    <n v="20"/>
    <x v="1"/>
    <s v="CALL. CAMINO DE LOS VINATEROS / CALL. ARROYO DE LA MEDIA LEGUA"/>
    <x v="12"/>
    <n v="6.34"/>
    <s v="Small"/>
    <x v="2"/>
    <x v="2"/>
    <x v="1"/>
    <s v="Driver"/>
    <x v="4"/>
    <x v="0"/>
    <s v="07"/>
    <n v="7"/>
  </r>
  <r>
    <s v="2019S033133"/>
    <x v="128"/>
    <d v="1899-12-30T07:55:00"/>
    <n v="7"/>
    <x v="0"/>
    <s v="CALL. EVANGELIOS / CALL. OLVIDO"/>
    <x v="0"/>
    <n v="12.36"/>
    <s v="Small"/>
    <x v="0"/>
    <x v="2"/>
    <x v="3"/>
    <s v="Driver"/>
    <x v="4"/>
    <x v="0"/>
    <s v="07"/>
    <n v="7"/>
  </r>
  <r>
    <s v="2019S034187"/>
    <x v="129"/>
    <d v="1899-12-30T15:45:00"/>
    <n v="15"/>
    <x v="1"/>
    <s v="AVDA. MENENDEZ PELAYO"/>
    <x v="16"/>
    <n v="5.38"/>
    <s v="Small"/>
    <x v="0"/>
    <x v="4"/>
    <x v="1"/>
    <s v="Driver"/>
    <x v="4"/>
    <x v="0"/>
    <s v="03"/>
    <n v="3"/>
  </r>
  <r>
    <s v="2019S034555"/>
    <x v="130"/>
    <d v="1899-12-30T21:05:00"/>
    <n v="21"/>
    <x v="1"/>
    <s v="PASEO. PRADO"/>
    <x v="2"/>
    <n v="5.23"/>
    <s v="Small"/>
    <x v="0"/>
    <x v="1"/>
    <x v="1"/>
    <s v="Driver"/>
    <x v="4"/>
    <x v="0"/>
    <s v="02"/>
    <n v="2"/>
  </r>
  <r>
    <s v="2019S034565"/>
    <x v="130"/>
    <d v="1899-12-30T15:50:00"/>
    <n v="15"/>
    <x v="1"/>
    <s v="CALL. EMBAJADORES"/>
    <x v="11"/>
    <n v="6.46"/>
    <s v="Small"/>
    <x v="0"/>
    <x v="4"/>
    <x v="1"/>
    <s v="Driver"/>
    <x v="4"/>
    <x v="0"/>
    <s v="01"/>
    <n v="1"/>
  </r>
  <r>
    <s v="2019S035312"/>
    <x v="131"/>
    <d v="1899-12-30T00:10:00"/>
    <n v="0"/>
    <x v="0"/>
    <s v="PLAZA. SAN ILDEFONSO"/>
    <x v="2"/>
    <n v="5.23"/>
    <s v="Small"/>
    <x v="0"/>
    <x v="2"/>
    <x v="4"/>
    <s v="Driver"/>
    <x v="4"/>
    <x v="0"/>
    <s v=""/>
    <s v=""/>
  </r>
  <r>
    <s v="2019S035786"/>
    <x v="132"/>
    <d v="1899-12-30T19:40:00"/>
    <n v="19"/>
    <x v="1"/>
    <s v="CALL. JACOBINIA / CALL. EUGENIA DE MONTIJO"/>
    <x v="1"/>
    <n v="14.91"/>
    <s v="Small"/>
    <x v="0"/>
    <x v="2"/>
    <x v="1"/>
    <s v="Driver"/>
    <x v="4"/>
    <x v="1"/>
    <s v="14"/>
    <n v="14"/>
  </r>
  <r>
    <s v="2019S035655"/>
    <x v="132"/>
    <d v="1899-12-30T13:25:00"/>
    <n v="13"/>
    <x v="0"/>
    <s v="PASEO. CHOPERA / PLAZA. GENERAL MAROTO"/>
    <x v="11"/>
    <n v="6.46"/>
    <s v="Small"/>
    <x v="0"/>
    <x v="4"/>
    <x v="1"/>
    <s v="Driver"/>
    <x v="4"/>
    <x v="1"/>
    <s v="07"/>
    <n v="7"/>
  </r>
  <r>
    <s v="2019S036005"/>
    <x v="82"/>
    <d v="1899-12-30T12:00:00"/>
    <n v="12"/>
    <x v="0"/>
    <s v="AVDA. PORTUGAL / PQUE. MADRID RIO"/>
    <x v="3"/>
    <n v="25.41"/>
    <s v="Big"/>
    <x v="0"/>
    <x v="0"/>
    <x v="1"/>
    <s v="Driver"/>
    <x v="4"/>
    <x v="0"/>
    <s v="01"/>
    <n v="1"/>
  </r>
  <r>
    <s v="2019S036539"/>
    <x v="133"/>
    <d v="1899-12-30T23:15:00"/>
    <n v="23"/>
    <x v="1"/>
    <s v="CALL. CASTELLO"/>
    <x v="18"/>
    <n v="5.39"/>
    <s v="Small"/>
    <x v="0"/>
    <x v="5"/>
    <x v="0"/>
    <s v="Driver"/>
    <x v="4"/>
    <x v="1"/>
    <s v="02"/>
    <n v="2"/>
  </r>
  <r>
    <s v="2019S036984"/>
    <x v="134"/>
    <d v="1899-12-30T17:27:00"/>
    <n v="17"/>
    <x v="1"/>
    <s v="CALL. FERMIN CABALLERO"/>
    <x v="10"/>
    <n v="237.81"/>
    <s v="Big"/>
    <x v="1"/>
    <x v="2"/>
    <x v="0"/>
    <s v="Driver"/>
    <x v="4"/>
    <x v="0"/>
    <s v=""/>
    <s v=""/>
  </r>
  <r>
    <s v="2019S037082"/>
    <x v="135"/>
    <d v="1899-12-30T15:40:00"/>
    <n v="15"/>
    <x v="1"/>
    <s v="CALL. PELAYO"/>
    <x v="2"/>
    <n v="5.23"/>
    <s v="Small"/>
    <x v="0"/>
    <x v="4"/>
    <x v="3"/>
    <s v="Driver"/>
    <x v="4"/>
    <x v="0"/>
    <s v="06"/>
    <n v="6"/>
  </r>
  <r>
    <s v="2019S037330"/>
    <x v="136"/>
    <d v="1899-12-30T22:15:00"/>
    <n v="22"/>
    <x v="1"/>
    <s v="PLAZA. OLAVIDE"/>
    <x v="15"/>
    <n v="4.6900000000000004"/>
    <s v="Small"/>
    <x v="1"/>
    <x v="4"/>
    <x v="3"/>
    <s v="Driver"/>
    <x v="4"/>
    <x v="0"/>
    <s v="07"/>
    <n v="7"/>
  </r>
  <r>
    <s v="2019S037437"/>
    <x v="136"/>
    <d v="1899-12-30T15:15:00"/>
    <n v="15"/>
    <x v="1"/>
    <s v="CALL. NICOLAS SALMERON"/>
    <x v="8"/>
    <n v="11.38"/>
    <s v="Small"/>
    <x v="2"/>
    <x v="2"/>
    <x v="1"/>
    <s v="Driver"/>
    <x v="4"/>
    <x v="0"/>
    <s v="07"/>
    <n v="7"/>
  </r>
  <r>
    <s v="2019S037130"/>
    <x v="136"/>
    <d v="1899-12-30T01:40:00"/>
    <n v="1"/>
    <x v="0"/>
    <s v="CALL. BRAVO MURILLO"/>
    <x v="5"/>
    <n v="5.38"/>
    <s v="Small"/>
    <x v="1"/>
    <x v="3"/>
    <x v="1"/>
    <s v="Driver"/>
    <x v="4"/>
    <x v="0"/>
    <s v="07"/>
    <n v="7"/>
  </r>
  <r>
    <s v="2019S037712"/>
    <x v="83"/>
    <d v="1899-12-30T23:30:00"/>
    <n v="23"/>
    <x v="1"/>
    <s v="SANTA  ENGRACIA"/>
    <x v="15"/>
    <n v="4.6900000000000004"/>
    <s v="Small"/>
    <x v="1"/>
    <x v="0"/>
    <x v="1"/>
    <s v="Driver"/>
    <x v="4"/>
    <x v="1"/>
    <s v="14"/>
    <n v="14"/>
  </r>
  <r>
    <s v="2019S037712"/>
    <x v="83"/>
    <d v="1899-12-30T23:30:00"/>
    <n v="23"/>
    <x v="1"/>
    <s v="SANTA  ENGRACIA"/>
    <x v="15"/>
    <n v="4.6900000000000004"/>
    <s v="Small"/>
    <x v="1"/>
    <x v="0"/>
    <x v="1"/>
    <s v="Pedestrian"/>
    <x v="4"/>
    <x v="1"/>
    <s v="07"/>
    <n v="7"/>
  </r>
  <r>
    <s v="2019S039461"/>
    <x v="137"/>
    <d v="1899-12-30T06:40:00"/>
    <n v="6"/>
    <x v="0"/>
    <s v="PASEO. PRADO"/>
    <x v="2"/>
    <n v="5.23"/>
    <s v="Small"/>
    <x v="0"/>
    <x v="4"/>
    <x v="1"/>
    <s v="Driver"/>
    <x v="4"/>
    <x v="0"/>
    <s v="02"/>
    <n v="2"/>
  </r>
  <r>
    <s v="2019S039179"/>
    <x v="138"/>
    <d v="1899-12-30T22:00:00"/>
    <n v="22"/>
    <x v="1"/>
    <s v="CALL. MARQUES DE VALDEIGLESIAS"/>
    <x v="2"/>
    <n v="5.23"/>
    <s v="Small"/>
    <x v="0"/>
    <x v="0"/>
    <x v="1"/>
    <s v="Driver"/>
    <x v="4"/>
    <x v="0"/>
    <s v="07"/>
    <n v="7"/>
  </r>
  <r>
    <s v="2019S000659"/>
    <x v="139"/>
    <d v="1899-12-30T14:00:00"/>
    <n v="14"/>
    <x v="0"/>
    <s v="CALL. CASTELLO / CALL. DON RAMON DE LA CRUZ"/>
    <x v="18"/>
    <n v="5.39"/>
    <s v="Small"/>
    <x v="0"/>
    <x v="1"/>
    <x v="1"/>
    <s v="Driver"/>
    <x v="5"/>
    <x v="0"/>
    <s v="01"/>
    <n v="1"/>
  </r>
  <r>
    <s v="2019S001738"/>
    <x v="140"/>
    <d v="1899-12-30T13:03:00"/>
    <n v="13"/>
    <x v="0"/>
    <s v="C/ MONASTERIO DE ARLANZA-AV. SANTUARIO DE VALVERDE"/>
    <x v="10"/>
    <n v="237.81"/>
    <s v="Big"/>
    <x v="1"/>
    <x v="4"/>
    <x v="1"/>
    <s v="Driver"/>
    <x v="5"/>
    <x v="0"/>
    <s v="02"/>
    <n v="2"/>
  </r>
  <r>
    <s v="2019S003283"/>
    <x v="141"/>
    <d v="1899-12-30T16:00:00"/>
    <n v="16"/>
    <x v="1"/>
    <s v="CALL. GRAN VIA / CALL. SAN BERNARDO"/>
    <x v="2"/>
    <n v="5.23"/>
    <s v="Small"/>
    <x v="0"/>
    <x v="2"/>
    <x v="1"/>
    <s v="Driver"/>
    <x v="5"/>
    <x v="0"/>
    <s v="14"/>
    <n v="14"/>
  </r>
  <r>
    <s v="2019S002594"/>
    <x v="30"/>
    <d v="1899-12-30T22:45:00"/>
    <n v="22"/>
    <x v="1"/>
    <s v="POLIG. ALUCHE-AVENIDA DE LOS POBLADOS / CALL. SECOYA"/>
    <x v="3"/>
    <n v="25.41"/>
    <s v="Big"/>
    <x v="0"/>
    <x v="6"/>
    <x v="1"/>
    <s v="Driver"/>
    <x v="5"/>
    <x v="0"/>
    <s v="06"/>
    <n v="6"/>
  </r>
  <r>
    <s v="2019S002591"/>
    <x v="30"/>
    <d v="1899-12-30T22:15:00"/>
    <n v="22"/>
    <x v="1"/>
    <s v="AVDA. POBLADOS / CALL. SECOYA"/>
    <x v="1"/>
    <n v="14.91"/>
    <s v="Small"/>
    <x v="0"/>
    <x v="6"/>
    <x v="1"/>
    <s v="Driver"/>
    <x v="5"/>
    <x v="0"/>
    <s v="02"/>
    <n v="2"/>
  </r>
  <r>
    <s v="2019S003463"/>
    <x v="142"/>
    <d v="1899-12-30T22:45:00"/>
    <n v="22"/>
    <x v="1"/>
    <s v="CALL. MIGUEL ANGEL / PASEO. GENERAL MARTINEZ CAMPOS"/>
    <x v="15"/>
    <n v="4.6900000000000004"/>
    <s v="Small"/>
    <x v="1"/>
    <x v="2"/>
    <x v="4"/>
    <s v="Driver"/>
    <x v="5"/>
    <x v="0"/>
    <s v=""/>
    <s v=""/>
  </r>
  <r>
    <s v="2019S004528"/>
    <x v="143"/>
    <d v="1899-12-30T21:10:00"/>
    <n v="21"/>
    <x v="1"/>
    <s v="PLAZA. INDEPENDENCIA / CALL. ALCALA"/>
    <x v="18"/>
    <n v="5.39"/>
    <s v="Small"/>
    <x v="0"/>
    <x v="2"/>
    <x v="3"/>
    <s v="Driver"/>
    <x v="5"/>
    <x v="0"/>
    <s v="06"/>
    <n v="6"/>
  </r>
  <r>
    <s v="2019S006032"/>
    <x v="144"/>
    <d v="1899-12-30T21:35:00"/>
    <n v="21"/>
    <x v="1"/>
    <s v="CALL. MARIA DE MOLINA"/>
    <x v="18"/>
    <n v="5.39"/>
    <s v="Small"/>
    <x v="0"/>
    <x v="1"/>
    <x v="1"/>
    <s v="Driver"/>
    <x v="5"/>
    <x v="0"/>
    <s v="07"/>
    <n v="7"/>
  </r>
  <r>
    <s v="2019S006501"/>
    <x v="145"/>
    <d v="1899-12-30T16:15:00"/>
    <n v="16"/>
    <x v="1"/>
    <s v="CALL. ALCALA"/>
    <x v="2"/>
    <n v="5.23"/>
    <s v="Small"/>
    <x v="0"/>
    <x v="0"/>
    <x v="1"/>
    <s v="Driver"/>
    <x v="5"/>
    <x v="0"/>
    <s v="02"/>
    <n v="2"/>
  </r>
  <r>
    <s v="2019S006501"/>
    <x v="145"/>
    <d v="1899-12-30T16:15:00"/>
    <n v="16"/>
    <x v="1"/>
    <s v="CALL. ALCALA"/>
    <x v="2"/>
    <n v="5.23"/>
    <s v="Small"/>
    <x v="0"/>
    <x v="0"/>
    <x v="1"/>
    <s v="Pedestrian"/>
    <x v="5"/>
    <x v="1"/>
    <s v="14"/>
    <n v="14"/>
  </r>
  <r>
    <s v="2019S009806"/>
    <x v="146"/>
    <d v="1899-12-30T21:40:00"/>
    <n v="21"/>
    <x v="1"/>
    <s v="CALL. MESON DE PAREDES / CALL. JUANELO"/>
    <x v="2"/>
    <n v="5.23"/>
    <s v="Small"/>
    <x v="0"/>
    <x v="2"/>
    <x v="1"/>
    <s v="Driver"/>
    <x v="5"/>
    <x v="0"/>
    <s v="07"/>
    <n v="7"/>
  </r>
  <r>
    <s v="2019S009942"/>
    <x v="147"/>
    <d v="1899-12-30T14:15:00"/>
    <n v="14"/>
    <x v="0"/>
    <s v="CALL. ALCALA"/>
    <x v="2"/>
    <n v="5.23"/>
    <s v="Small"/>
    <x v="0"/>
    <x v="1"/>
    <x v="1"/>
    <s v="Driver"/>
    <x v="5"/>
    <x v="0"/>
    <s v="01"/>
    <n v="1"/>
  </r>
  <r>
    <s v="2019S010289"/>
    <x v="147"/>
    <d v="1899-12-30T09:15:00"/>
    <n v="9"/>
    <x v="0"/>
    <s v="CALL. MIGUEL ANGEL"/>
    <x v="15"/>
    <n v="4.6900000000000004"/>
    <s v="Small"/>
    <x v="1"/>
    <x v="2"/>
    <x v="1"/>
    <s v="Driver"/>
    <x v="5"/>
    <x v="0"/>
    <s v="06"/>
    <n v="6"/>
  </r>
  <r>
    <s v="2019S010293"/>
    <x v="148"/>
    <d v="1899-12-30T22:00:00"/>
    <n v="22"/>
    <x v="1"/>
    <s v="PASEO. PRADO"/>
    <x v="2"/>
    <n v="5.23"/>
    <s v="Small"/>
    <x v="0"/>
    <x v="1"/>
    <x v="1"/>
    <s v="Driver"/>
    <x v="5"/>
    <x v="0"/>
    <s v="02"/>
    <n v="2"/>
  </r>
  <r>
    <s v="2019S010849"/>
    <x v="89"/>
    <d v="1899-12-30T20:00:00"/>
    <n v="20"/>
    <x v="1"/>
    <s v="CALL. SANTA ENGRACIA"/>
    <x v="15"/>
    <n v="4.6900000000000004"/>
    <s v="Small"/>
    <x v="1"/>
    <x v="0"/>
    <x v="1"/>
    <s v="Driver"/>
    <x v="5"/>
    <x v="0"/>
    <s v="06"/>
    <n v="6"/>
  </r>
  <r>
    <s v="2019S010849"/>
    <x v="89"/>
    <d v="1899-12-30T20:00:00"/>
    <n v="20"/>
    <x v="1"/>
    <s v="CALL. SANTA ENGRACIA"/>
    <x v="15"/>
    <n v="4.6900000000000004"/>
    <s v="Small"/>
    <x v="1"/>
    <x v="0"/>
    <x v="1"/>
    <s v="Pedestrian"/>
    <x v="5"/>
    <x v="0"/>
    <s v="14"/>
    <n v="14"/>
  </r>
  <r>
    <s v="2019S013666"/>
    <x v="32"/>
    <d v="1899-12-30T10:30:00"/>
    <n v="10"/>
    <x v="0"/>
    <s v="CALL. MANCHA / AVDA. ENTREVIAS"/>
    <x v="17"/>
    <n v="14.89"/>
    <s v="Small"/>
    <x v="0"/>
    <x v="3"/>
    <x v="1"/>
    <s v="Driver"/>
    <x v="5"/>
    <x v="0"/>
    <s v="06"/>
    <n v="6"/>
  </r>
  <r>
    <s v="2019S014113"/>
    <x v="149"/>
    <d v="1899-12-30T13:30:00"/>
    <n v="13"/>
    <x v="0"/>
    <s v="PASEO. MOLINO"/>
    <x v="11"/>
    <n v="6.46"/>
    <s v="Small"/>
    <x v="0"/>
    <x v="4"/>
    <x v="1"/>
    <s v="Driver"/>
    <x v="5"/>
    <x v="1"/>
    <s v="03"/>
    <n v="3"/>
  </r>
  <r>
    <s v="2019S014661"/>
    <x v="12"/>
    <d v="1899-12-30T16:45:00"/>
    <n v="16"/>
    <x v="1"/>
    <s v="PASEO. CASTELLANA / CALL. RAIMUNDO FERNANDEZ VILLAVERDE"/>
    <x v="5"/>
    <n v="5.38"/>
    <s v="Small"/>
    <x v="1"/>
    <x v="2"/>
    <x v="1"/>
    <s v="Driver"/>
    <x v="5"/>
    <x v="0"/>
    <s v="07"/>
    <n v="7"/>
  </r>
  <r>
    <s v="2019S015339"/>
    <x v="34"/>
    <d v="1899-12-30T22:00:00"/>
    <n v="22"/>
    <x v="1"/>
    <s v="AVDA. PORTUGAL"/>
    <x v="3"/>
    <n v="25.41"/>
    <s v="Big"/>
    <x v="0"/>
    <x v="4"/>
    <x v="1"/>
    <s v="Driver"/>
    <x v="5"/>
    <x v="1"/>
    <s v="07"/>
    <n v="7"/>
  </r>
  <r>
    <s v="2019S015263"/>
    <x v="34"/>
    <d v="1899-12-30T19:20:00"/>
    <n v="19"/>
    <x v="1"/>
    <s v="PASEO. ERMITA DEL SANTO / CALL. VIA CARPETANA"/>
    <x v="3"/>
    <n v="25.41"/>
    <s v="Big"/>
    <x v="0"/>
    <x v="2"/>
    <x v="1"/>
    <s v="Driver"/>
    <x v="5"/>
    <x v="1"/>
    <s v="02"/>
    <n v="2"/>
  </r>
  <r>
    <s v="2019S015537"/>
    <x v="150"/>
    <d v="1899-12-30T20:15:00"/>
    <n v="20"/>
    <x v="1"/>
    <s v="CALL. ALCOCER / AVDA. ANDALUCIA"/>
    <x v="4"/>
    <n v="20.25"/>
    <s v="Big"/>
    <x v="0"/>
    <x v="5"/>
    <x v="1"/>
    <s v="Driver"/>
    <x v="5"/>
    <x v="1"/>
    <s v=""/>
    <s v=""/>
  </r>
  <r>
    <s v="2019S016402"/>
    <x v="35"/>
    <d v="1899-12-30T20:40:00"/>
    <n v="20"/>
    <x v="1"/>
    <s v="PASEO. LA HABANA"/>
    <x v="14"/>
    <n v="9.2100000000000009"/>
    <s v="Small"/>
    <x v="1"/>
    <x v="4"/>
    <x v="1"/>
    <s v="Driver"/>
    <x v="5"/>
    <x v="1"/>
    <s v="06"/>
    <n v="6"/>
  </r>
  <r>
    <s v="2019S016482"/>
    <x v="151"/>
    <d v="1899-12-30T14:25:00"/>
    <n v="14"/>
    <x v="0"/>
    <s v="CALL. SAN BERNARDO"/>
    <x v="2"/>
    <n v="5.23"/>
    <s v="Small"/>
    <x v="0"/>
    <x v="3"/>
    <x v="1"/>
    <s v="Driver"/>
    <x v="5"/>
    <x v="0"/>
    <s v="07"/>
    <n v="7"/>
  </r>
  <r>
    <s v="2019S016359"/>
    <x v="151"/>
    <d v="1899-12-30T00:00:00"/>
    <n v="0"/>
    <x v="0"/>
    <s v="CUSTA. SAN VICENTE / CALL. BAILEN"/>
    <x v="2"/>
    <n v="5.23"/>
    <s v="Small"/>
    <x v="0"/>
    <x v="4"/>
    <x v="1"/>
    <s v="Driver"/>
    <x v="5"/>
    <x v="0"/>
    <s v="03"/>
    <n v="3"/>
  </r>
  <r>
    <s v="2019S016675"/>
    <x v="152"/>
    <d v="1899-12-30T18:15:00"/>
    <n v="18"/>
    <x v="1"/>
    <s v="CALL. SANTA CRUZ DE RETAMAR / AVDA. MIGUEL HERNANDEZ"/>
    <x v="17"/>
    <n v="14.89"/>
    <s v="Small"/>
    <x v="0"/>
    <x v="4"/>
    <x v="1"/>
    <s v="Driver"/>
    <x v="5"/>
    <x v="1"/>
    <s v="07"/>
    <n v="7"/>
  </r>
  <r>
    <s v="2019S017107"/>
    <x v="153"/>
    <d v="1899-12-30T16:30:00"/>
    <n v="16"/>
    <x v="1"/>
    <s v="CALL. JOSE SILVA"/>
    <x v="8"/>
    <n v="11.38"/>
    <s v="Small"/>
    <x v="2"/>
    <x v="2"/>
    <x v="1"/>
    <s v="Driver"/>
    <x v="5"/>
    <x v="0"/>
    <s v="14"/>
    <n v="14"/>
  </r>
  <r>
    <s v="2019S016753"/>
    <x v="153"/>
    <d v="1899-12-30T14:20:00"/>
    <n v="14"/>
    <x v="0"/>
    <s v="CALL. HULLA / AVDA. LOS ROSALES"/>
    <x v="4"/>
    <n v="20.25"/>
    <s v="Big"/>
    <x v="0"/>
    <x v="4"/>
    <x v="1"/>
    <s v="Driver"/>
    <x v="5"/>
    <x v="0"/>
    <s v="03"/>
    <n v="3"/>
  </r>
  <r>
    <s v="2019S017125"/>
    <x v="154"/>
    <d v="1899-12-30T21:45:00"/>
    <n v="21"/>
    <x v="1"/>
    <s v="CALL. HORTALEZA"/>
    <x v="2"/>
    <n v="5.23"/>
    <s v="Small"/>
    <x v="0"/>
    <x v="1"/>
    <x v="4"/>
    <s v="Driver"/>
    <x v="5"/>
    <x v="0"/>
    <s v=""/>
    <s v=""/>
  </r>
  <r>
    <s v="2019S017125"/>
    <x v="154"/>
    <d v="1899-12-30T21:45:00"/>
    <n v="21"/>
    <x v="1"/>
    <s v="CALL. HORTALEZA"/>
    <x v="2"/>
    <n v="5.23"/>
    <s v="Small"/>
    <x v="0"/>
    <x v="1"/>
    <x v="4"/>
    <s v="Driver"/>
    <x v="5"/>
    <x v="1"/>
    <s v=""/>
    <s v=""/>
  </r>
  <r>
    <s v="2019S016996"/>
    <x v="154"/>
    <d v="1899-12-30T02:00:00"/>
    <n v="2"/>
    <x v="0"/>
    <s v="CALL. BRAVO MURILLO"/>
    <x v="5"/>
    <n v="5.38"/>
    <s v="Small"/>
    <x v="1"/>
    <x v="4"/>
    <x v="1"/>
    <s v="Driver"/>
    <x v="5"/>
    <x v="0"/>
    <s v="14"/>
    <n v="14"/>
  </r>
  <r>
    <s v="2019S033688"/>
    <x v="36"/>
    <d v="1899-12-30T10:10:00"/>
    <n v="10"/>
    <x v="0"/>
    <s v="CALL. ALCANTARA"/>
    <x v="18"/>
    <n v="5.39"/>
    <s v="Small"/>
    <x v="0"/>
    <x v="1"/>
    <x v="1"/>
    <s v="Driver"/>
    <x v="5"/>
    <x v="0"/>
    <s v=""/>
    <s v=""/>
  </r>
  <r>
    <s v="2019S017367"/>
    <x v="155"/>
    <d v="1899-12-30T22:25:00"/>
    <n v="22"/>
    <x v="1"/>
    <s v="PLAZA. EMPERADOR CARLOS V / CALL. SANTA ISABEL"/>
    <x v="2"/>
    <n v="5.23"/>
    <s v="Small"/>
    <x v="0"/>
    <x v="4"/>
    <x v="1"/>
    <s v="Driver"/>
    <x v="5"/>
    <x v="0"/>
    <s v="01"/>
    <n v="1"/>
  </r>
  <r>
    <s v="2019S018907"/>
    <x v="93"/>
    <d v="1899-12-30T22:44:00"/>
    <n v="22"/>
    <x v="1"/>
    <s v="PASEO. DELICIAS"/>
    <x v="11"/>
    <n v="6.46"/>
    <s v="Small"/>
    <x v="0"/>
    <x v="1"/>
    <x v="1"/>
    <s v="Driver"/>
    <x v="5"/>
    <x v="0"/>
    <s v=""/>
    <s v=""/>
  </r>
  <r>
    <s v="2019S018020"/>
    <x v="156"/>
    <d v="1899-12-30T21:40:00"/>
    <n v="21"/>
    <x v="1"/>
    <s v="CALL. GRAN VIA / METRO. PLAZA DE ESPAÑA"/>
    <x v="2"/>
    <n v="5.23"/>
    <s v="Small"/>
    <x v="0"/>
    <x v="1"/>
    <x v="4"/>
    <s v="Driver"/>
    <x v="5"/>
    <x v="0"/>
    <s v=""/>
    <s v=""/>
  </r>
  <r>
    <s v="2019S018249"/>
    <x v="157"/>
    <d v="1899-12-30T21:25:00"/>
    <n v="21"/>
    <x v="1"/>
    <s v="CALL. MIGUEL ARREDONDO / CALL. ALONSO CARBONELL"/>
    <x v="11"/>
    <n v="6.46"/>
    <s v="Small"/>
    <x v="0"/>
    <x v="2"/>
    <x v="3"/>
    <s v="Driver"/>
    <x v="5"/>
    <x v="0"/>
    <s v="01"/>
    <n v="1"/>
  </r>
  <r>
    <s v="2019S018366"/>
    <x v="157"/>
    <d v="1899-12-30T20:15:00"/>
    <n v="20"/>
    <x v="1"/>
    <s v="CALL. VICTORIA"/>
    <x v="2"/>
    <n v="5.23"/>
    <s v="Small"/>
    <x v="0"/>
    <x v="4"/>
    <x v="3"/>
    <s v="Driver"/>
    <x v="5"/>
    <x v="1"/>
    <s v="02"/>
    <n v="2"/>
  </r>
  <r>
    <s v="2019S018655"/>
    <x v="158"/>
    <d v="1899-12-30T14:15:00"/>
    <n v="14"/>
    <x v="0"/>
    <s v="CALL. BARCO"/>
    <x v="2"/>
    <n v="5.23"/>
    <s v="Small"/>
    <x v="0"/>
    <x v="4"/>
    <x v="1"/>
    <s v="Driver"/>
    <x v="5"/>
    <x v="0"/>
    <s v="02"/>
    <n v="2"/>
  </r>
  <r>
    <s v="2019S018950"/>
    <x v="159"/>
    <d v="1899-12-30T18:35:00"/>
    <n v="18"/>
    <x v="1"/>
    <s v="CALL. CLAUDIO MOYANO / PASEO. PRADO"/>
    <x v="16"/>
    <n v="5.38"/>
    <s v="Small"/>
    <x v="0"/>
    <x v="4"/>
    <x v="1"/>
    <s v="Driver"/>
    <x v="5"/>
    <x v="1"/>
    <s v="02"/>
    <n v="2"/>
  </r>
  <r>
    <s v="2019S019554"/>
    <x v="160"/>
    <d v="1899-12-30T16:00:00"/>
    <n v="16"/>
    <x v="1"/>
    <s v="CALL. ARROYO BELINCOSO"/>
    <x v="12"/>
    <n v="6.34"/>
    <s v="Small"/>
    <x v="2"/>
    <x v="5"/>
    <x v="5"/>
    <s v="Driver"/>
    <x v="5"/>
    <x v="1"/>
    <s v="07"/>
    <n v="7"/>
  </r>
  <r>
    <s v="2019S020003"/>
    <x v="161"/>
    <d v="1899-12-30T20:40:00"/>
    <n v="20"/>
    <x v="1"/>
    <s v="PLAZA. ALONSO MARTINEZ"/>
    <x v="15"/>
    <n v="4.6900000000000004"/>
    <s v="Small"/>
    <x v="1"/>
    <x v="4"/>
    <x v="1"/>
    <s v="Driver"/>
    <x v="5"/>
    <x v="0"/>
    <s v="14"/>
    <n v="14"/>
  </r>
  <r>
    <s v="2019S020462"/>
    <x v="162"/>
    <d v="1899-12-30T22:20:00"/>
    <n v="22"/>
    <x v="1"/>
    <s v="CALL. SANTA CATALINA / CRA. SAN JERONIMO"/>
    <x v="2"/>
    <n v="5.23"/>
    <s v="Small"/>
    <x v="0"/>
    <x v="4"/>
    <x v="1"/>
    <s v="Driver"/>
    <x v="5"/>
    <x v="0"/>
    <s v="01"/>
    <n v="1"/>
  </r>
  <r>
    <s v="2019S021387"/>
    <x v="163"/>
    <d v="1899-12-30T23:18:00"/>
    <n v="23"/>
    <x v="1"/>
    <s v="CALL. GOYA / CALL. ALCALA"/>
    <x v="18"/>
    <n v="5.39"/>
    <s v="Small"/>
    <x v="0"/>
    <x v="3"/>
    <x v="1"/>
    <s v="Driver"/>
    <x v="5"/>
    <x v="1"/>
    <s v=""/>
    <s v=""/>
  </r>
  <r>
    <s v="2019S021497"/>
    <x v="15"/>
    <d v="1899-12-30T17:41:00"/>
    <n v="17"/>
    <x v="1"/>
    <s v="PASEO. PINTOR ROSALES / PASEO. MORET"/>
    <x v="9"/>
    <n v="43.05"/>
    <s v="Big"/>
    <x v="0"/>
    <x v="0"/>
    <x v="1"/>
    <s v="Driver"/>
    <x v="5"/>
    <x v="0"/>
    <s v="14"/>
    <n v="14"/>
  </r>
  <r>
    <s v="2019S021964"/>
    <x v="100"/>
    <d v="1899-12-30T17:45:00"/>
    <n v="17"/>
    <x v="1"/>
    <s v="CTRA. CIUDAD UNIVERSITARIA / PASEO. VENTA"/>
    <x v="9"/>
    <n v="43.05"/>
    <s v="Big"/>
    <x v="0"/>
    <x v="4"/>
    <x v="1"/>
    <s v="Driver"/>
    <x v="5"/>
    <x v="1"/>
    <s v="07"/>
    <n v="7"/>
  </r>
  <r>
    <s v="2019S022021"/>
    <x v="41"/>
    <d v="1899-12-30T08:30:00"/>
    <n v="8"/>
    <x v="0"/>
    <s v="PASEO. ACACIAS"/>
    <x v="11"/>
    <n v="6.46"/>
    <s v="Small"/>
    <x v="0"/>
    <x v="1"/>
    <x v="1"/>
    <s v="Driver"/>
    <x v="5"/>
    <x v="1"/>
    <s v="07"/>
    <n v="7"/>
  </r>
  <r>
    <s v="2019S022373"/>
    <x v="102"/>
    <d v="1899-12-30T09:45:00"/>
    <n v="9"/>
    <x v="0"/>
    <s v="CALL. SANTA ENGRACIA"/>
    <x v="15"/>
    <n v="4.6900000000000004"/>
    <s v="Small"/>
    <x v="1"/>
    <x v="2"/>
    <x v="1"/>
    <s v="Driver"/>
    <x v="5"/>
    <x v="1"/>
    <s v="05"/>
    <n v="5"/>
  </r>
  <r>
    <s v="2019S022866"/>
    <x v="63"/>
    <d v="1899-12-30T13:30:00"/>
    <n v="13"/>
    <x v="0"/>
    <s v="CALL. FUENTE CARRANTONA / CALL. BENJAMIN PALENCIA"/>
    <x v="12"/>
    <n v="6.34"/>
    <s v="Small"/>
    <x v="2"/>
    <x v="2"/>
    <x v="1"/>
    <s v="Driver"/>
    <x v="5"/>
    <x v="0"/>
    <s v="01"/>
    <n v="1"/>
  </r>
  <r>
    <s v="2019S022732"/>
    <x v="63"/>
    <d v="1899-12-30T13:00:00"/>
    <n v="13"/>
    <x v="0"/>
    <s v="PQUE. MADRID RIO, +00240E"/>
    <x v="3"/>
    <n v="25.41"/>
    <s v="Big"/>
    <x v="0"/>
    <x v="4"/>
    <x v="1"/>
    <s v="Driver"/>
    <x v="5"/>
    <x v="1"/>
    <s v="07"/>
    <n v="7"/>
  </r>
  <r>
    <s v="2019S022864"/>
    <x v="63"/>
    <d v="1899-12-30T07:55:00"/>
    <n v="7"/>
    <x v="0"/>
    <s v="CALL. JOSE MARIA PEREDA / CALL. SOR MARIA DE AGREDA"/>
    <x v="8"/>
    <n v="11.38"/>
    <s v="Small"/>
    <x v="2"/>
    <x v="2"/>
    <x v="6"/>
    <s v="Driver"/>
    <x v="5"/>
    <x v="0"/>
    <s v="07"/>
    <n v="7"/>
  </r>
  <r>
    <s v="2019S022907"/>
    <x v="164"/>
    <d v="1899-12-30T19:25:00"/>
    <n v="19"/>
    <x v="1"/>
    <s v="PLAZA. CIBELES / CALL. ALCALA"/>
    <x v="2"/>
    <n v="5.23"/>
    <s v="Small"/>
    <x v="0"/>
    <x v="3"/>
    <x v="1"/>
    <s v="Driver"/>
    <x v="5"/>
    <x v="0"/>
    <s v="07"/>
    <n v="7"/>
  </r>
  <r>
    <s v="2019S022923"/>
    <x v="164"/>
    <d v="1899-12-30T15:22:00"/>
    <n v="15"/>
    <x v="1"/>
    <s v="GTA. RUBEN DARIO"/>
    <x v="15"/>
    <n v="4.6900000000000004"/>
    <s v="Small"/>
    <x v="1"/>
    <x v="0"/>
    <x v="1"/>
    <s v="Driver"/>
    <x v="5"/>
    <x v="0"/>
    <s v="14"/>
    <n v="14"/>
  </r>
  <r>
    <s v="2019S023014"/>
    <x v="104"/>
    <d v="1899-12-30T15:21:00"/>
    <n v="15"/>
    <x v="1"/>
    <s v="PASEO. INFANTA ISABEL / AVDA. CIUDAD DE BARCELONA"/>
    <x v="16"/>
    <n v="5.38"/>
    <s v="Small"/>
    <x v="0"/>
    <x v="7"/>
    <x v="1"/>
    <s v="Driver"/>
    <x v="5"/>
    <x v="1"/>
    <s v="02"/>
    <n v="2"/>
  </r>
  <r>
    <s v="2019S022968"/>
    <x v="104"/>
    <d v="1899-12-30T07:50:00"/>
    <n v="7"/>
    <x v="0"/>
    <s v="CALLE JOAQUIN TURINA-CALLE SITIO DE EL ESCORIAL"/>
    <x v="1"/>
    <n v="14.91"/>
    <s v="Small"/>
    <x v="0"/>
    <x v="0"/>
    <x v="1"/>
    <s v="Driver"/>
    <x v="5"/>
    <x v="0"/>
    <s v="14"/>
    <n v="14"/>
  </r>
  <r>
    <s v="2019S023533"/>
    <x v="165"/>
    <d v="1899-12-30T20:45:00"/>
    <n v="20"/>
    <x v="1"/>
    <s v="AVDA. POBLADOS"/>
    <x v="1"/>
    <n v="14.91"/>
    <s v="Small"/>
    <x v="0"/>
    <x v="4"/>
    <x v="1"/>
    <s v="Driver"/>
    <x v="5"/>
    <x v="0"/>
    <s v="02"/>
    <n v="2"/>
  </r>
  <r>
    <s v="2019S023549"/>
    <x v="64"/>
    <d v="1899-12-30T08:15:00"/>
    <n v="8"/>
    <x v="0"/>
    <s v="CALL. PLEYADES"/>
    <x v="9"/>
    <n v="43.05"/>
    <s v="Big"/>
    <x v="0"/>
    <x v="2"/>
    <x v="1"/>
    <s v="Driver"/>
    <x v="5"/>
    <x v="1"/>
    <s v="06"/>
    <n v="6"/>
  </r>
  <r>
    <s v="2019S023512"/>
    <x v="44"/>
    <d v="1899-12-30T21:42:00"/>
    <n v="21"/>
    <x v="1"/>
    <s v="AVDA. MIRAFLORES"/>
    <x v="9"/>
    <n v="43.05"/>
    <s v="Big"/>
    <x v="0"/>
    <x v="4"/>
    <x v="1"/>
    <s v="Driver"/>
    <x v="5"/>
    <x v="0"/>
    <s v="06"/>
    <n v="6"/>
  </r>
  <r>
    <s v="2019S024318"/>
    <x v="105"/>
    <d v="1899-12-30T21:40:00"/>
    <n v="21"/>
    <x v="1"/>
    <s v="RONDA. SUR"/>
    <x v="17"/>
    <n v="14.89"/>
    <s v="Small"/>
    <x v="0"/>
    <x v="4"/>
    <x v="1"/>
    <s v="Driver"/>
    <x v="5"/>
    <x v="1"/>
    <s v="06"/>
    <n v="6"/>
  </r>
  <r>
    <s v="2019S023943"/>
    <x v="45"/>
    <d v="1899-12-30T23:55:00"/>
    <n v="23"/>
    <x v="1"/>
    <s v="PASEO. VIRGEN DEL PUERTO"/>
    <x v="11"/>
    <n v="6.46"/>
    <s v="Small"/>
    <x v="0"/>
    <x v="4"/>
    <x v="1"/>
    <s v="Driver"/>
    <x v="5"/>
    <x v="0"/>
    <s v="07"/>
    <n v="7"/>
  </r>
  <r>
    <s v="2019S024208"/>
    <x v="166"/>
    <d v="1899-12-30T00:14:00"/>
    <n v="0"/>
    <x v="0"/>
    <s v="CALL. EMBAJADORES / CALL. LABRADORES"/>
    <x v="11"/>
    <n v="6.46"/>
    <s v="Small"/>
    <x v="0"/>
    <x v="2"/>
    <x v="1"/>
    <s v="Driver"/>
    <x v="5"/>
    <x v="0"/>
    <s v="14"/>
    <n v="14"/>
  </r>
  <r>
    <s v="2019S024666"/>
    <x v="167"/>
    <d v="1899-12-30T18:40:00"/>
    <n v="18"/>
    <x v="1"/>
    <s v="CALL. ALCALA"/>
    <x v="2"/>
    <n v="5.23"/>
    <s v="Small"/>
    <x v="0"/>
    <x v="4"/>
    <x v="1"/>
    <s v="Driver"/>
    <x v="5"/>
    <x v="0"/>
    <s v="01"/>
    <n v="1"/>
  </r>
  <r>
    <s v="2019S024720"/>
    <x v="168"/>
    <d v="1899-12-30T04:30:00"/>
    <n v="4"/>
    <x v="0"/>
    <s v="CALL. JOSE ABASCAL / CALL. FERNANDEZ DE LA HOZ"/>
    <x v="15"/>
    <n v="4.6900000000000004"/>
    <s v="Small"/>
    <x v="1"/>
    <x v="3"/>
    <x v="1"/>
    <s v="Driver"/>
    <x v="5"/>
    <x v="0"/>
    <s v="07"/>
    <n v="7"/>
  </r>
  <r>
    <s v="2019S024896"/>
    <x v="109"/>
    <d v="1899-12-30T16:20:00"/>
    <n v="16"/>
    <x v="1"/>
    <s v="CALL. CRISTOBAL BORDIU"/>
    <x v="15"/>
    <n v="4.6900000000000004"/>
    <s v="Small"/>
    <x v="1"/>
    <x v="1"/>
    <x v="1"/>
    <s v="Driver"/>
    <x v="5"/>
    <x v="1"/>
    <s v="07"/>
    <n v="7"/>
  </r>
  <r>
    <s v="2019S025019"/>
    <x v="169"/>
    <d v="1899-12-30T20:15:00"/>
    <n v="20"/>
    <x v="1"/>
    <s v="CALL. TOMAS BRETON"/>
    <x v="11"/>
    <n v="6.46"/>
    <s v="Small"/>
    <x v="0"/>
    <x v="2"/>
    <x v="4"/>
    <s v="Driver"/>
    <x v="5"/>
    <x v="1"/>
    <s v=""/>
    <s v=""/>
  </r>
  <r>
    <s v="2019S025193"/>
    <x v="20"/>
    <d v="1899-12-30T09:15:00"/>
    <n v="9"/>
    <x v="0"/>
    <s v="CALL. FUENCARRAL / GTA. BILBAO"/>
    <x v="2"/>
    <n v="5.23"/>
    <s v="Small"/>
    <x v="0"/>
    <x v="1"/>
    <x v="1"/>
    <s v="Driver"/>
    <x v="5"/>
    <x v="0"/>
    <s v="07"/>
    <n v="7"/>
  </r>
  <r>
    <s v="2019S025642"/>
    <x v="113"/>
    <d v="1899-12-30T16:10:00"/>
    <n v="16"/>
    <x v="1"/>
    <s v="CUSTA. SAN VICENTE"/>
    <x v="2"/>
    <n v="5.23"/>
    <s v="Small"/>
    <x v="0"/>
    <x v="0"/>
    <x v="1"/>
    <s v="Driver"/>
    <x v="5"/>
    <x v="1"/>
    <s v="14"/>
    <n v="14"/>
  </r>
  <r>
    <s v="2019S025841"/>
    <x v="170"/>
    <d v="1899-12-30T11:00:00"/>
    <n v="11"/>
    <x v="0"/>
    <s v="CALL. RAIMUNDO FERNANDEZ VILLAVERDE"/>
    <x v="15"/>
    <n v="4.6900000000000004"/>
    <s v="Small"/>
    <x v="1"/>
    <x v="1"/>
    <x v="1"/>
    <s v="Driver"/>
    <x v="5"/>
    <x v="1"/>
    <s v="07"/>
    <n v="7"/>
  </r>
  <r>
    <s v="2019S026089"/>
    <x v="171"/>
    <d v="1899-12-30T08:45:00"/>
    <n v="8"/>
    <x v="0"/>
    <s v="AV. ROSALES CON ROTONDA M-40"/>
    <x v="4"/>
    <n v="20.25"/>
    <s v="Big"/>
    <x v="0"/>
    <x v="3"/>
    <x v="1"/>
    <s v="Driver"/>
    <x v="5"/>
    <x v="1"/>
    <s v=""/>
    <s v=""/>
  </r>
  <r>
    <s v="2019S026198"/>
    <x v="3"/>
    <d v="1899-12-30T15:25:00"/>
    <n v="15"/>
    <x v="1"/>
    <s v="CALL. MONTESA / CALL. JOSE ORTEGA Y GASSET"/>
    <x v="18"/>
    <n v="5.39"/>
    <s v="Small"/>
    <x v="0"/>
    <x v="4"/>
    <x v="1"/>
    <s v="Driver"/>
    <x v="5"/>
    <x v="0"/>
    <s v="06"/>
    <n v="6"/>
  </r>
  <r>
    <s v="2019S026510"/>
    <x v="172"/>
    <d v="1899-12-30T18:45:00"/>
    <n v="18"/>
    <x v="1"/>
    <s v="CALL. ARGANZUELA"/>
    <x v="2"/>
    <n v="5.23"/>
    <s v="Small"/>
    <x v="0"/>
    <x v="4"/>
    <x v="1"/>
    <s v="Driver"/>
    <x v="5"/>
    <x v="0"/>
    <s v="02"/>
    <n v="2"/>
  </r>
  <r>
    <s v="2019S026571"/>
    <x v="4"/>
    <d v="1899-12-30T22:00:00"/>
    <n v="22"/>
    <x v="1"/>
    <s v="CALL. GRAN VIA / CALL. CLAVEL"/>
    <x v="2"/>
    <n v="5.23"/>
    <s v="Small"/>
    <x v="0"/>
    <x v="4"/>
    <x v="1"/>
    <s v="Driver"/>
    <x v="5"/>
    <x v="0"/>
    <s v=""/>
    <s v=""/>
  </r>
  <r>
    <s v="2019S026665"/>
    <x v="173"/>
    <d v="1899-12-30T21:00:00"/>
    <n v="21"/>
    <x v="1"/>
    <s v="CALL. MARQUES DE URQUIJO / CALL. FERRAZ"/>
    <x v="9"/>
    <n v="43.05"/>
    <s v="Big"/>
    <x v="0"/>
    <x v="4"/>
    <x v="1"/>
    <s v="Driver"/>
    <x v="5"/>
    <x v="1"/>
    <s v="07"/>
    <n v="7"/>
  </r>
  <r>
    <s v="2019S026963"/>
    <x v="174"/>
    <d v="1899-12-30T20:45:00"/>
    <n v="20"/>
    <x v="1"/>
    <s v="GTA. EMILIO CASTELAR"/>
    <x v="18"/>
    <n v="5.39"/>
    <s v="Small"/>
    <x v="0"/>
    <x v="4"/>
    <x v="3"/>
    <s v="Driver"/>
    <x v="5"/>
    <x v="0"/>
    <s v="01"/>
    <n v="1"/>
  </r>
  <r>
    <s v="2019S026924"/>
    <x v="174"/>
    <d v="1899-12-30T13:10:00"/>
    <n v="13"/>
    <x v="0"/>
    <s v="PASEO. CASTELLANA"/>
    <x v="14"/>
    <n v="9.2100000000000009"/>
    <s v="Small"/>
    <x v="1"/>
    <x v="4"/>
    <x v="1"/>
    <s v="Driver"/>
    <x v="5"/>
    <x v="0"/>
    <s v="05"/>
    <n v="5"/>
  </r>
  <r>
    <s v="2019S027052"/>
    <x v="175"/>
    <d v="1899-12-30T22:40:00"/>
    <n v="22"/>
    <x v="1"/>
    <s v="GTA. ATOCHA-REINA SOFIA"/>
    <x v="2"/>
    <n v="5.23"/>
    <s v="Small"/>
    <x v="0"/>
    <x v="3"/>
    <x v="1"/>
    <s v="Driver"/>
    <x v="5"/>
    <x v="1"/>
    <s v="01"/>
    <n v="1"/>
  </r>
  <r>
    <s v="2019S027369"/>
    <x v="176"/>
    <d v="1899-12-30T13:15:00"/>
    <n v="13"/>
    <x v="0"/>
    <s v="CALL. MANZANARES / CALL. LINNEO"/>
    <x v="11"/>
    <n v="6.46"/>
    <s v="Small"/>
    <x v="0"/>
    <x v="2"/>
    <x v="1"/>
    <s v="Driver"/>
    <x v="5"/>
    <x v="0"/>
    <s v="07"/>
    <n v="7"/>
  </r>
  <r>
    <s v="2019S027422"/>
    <x v="116"/>
    <d v="1899-12-30T20:40:00"/>
    <n v="20"/>
    <x v="1"/>
    <s v="CALL. DOCTOR ESQUERDO"/>
    <x v="16"/>
    <n v="5.38"/>
    <s v="Small"/>
    <x v="0"/>
    <x v="1"/>
    <x v="1"/>
    <s v="Driver"/>
    <x v="5"/>
    <x v="0"/>
    <s v="01"/>
    <n v="1"/>
  </r>
  <r>
    <s v="2019S027477"/>
    <x v="116"/>
    <d v="1899-12-30T20:40:00"/>
    <n v="20"/>
    <x v="1"/>
    <s v="AVDA. MEDITERRANEO / AUTOV. A-3"/>
    <x v="6"/>
    <n v="51.92"/>
    <s v="Big"/>
    <x v="0"/>
    <x v="2"/>
    <x v="1"/>
    <s v="Driver"/>
    <x v="5"/>
    <x v="0"/>
    <s v="07"/>
    <n v="7"/>
  </r>
  <r>
    <s v="2019S027541"/>
    <x v="177"/>
    <d v="1899-12-30T22:00:00"/>
    <n v="22"/>
    <x v="1"/>
    <s v="CALL. GENOVA / CALL. ZURBANO"/>
    <x v="15"/>
    <n v="4.6900000000000004"/>
    <s v="Small"/>
    <x v="1"/>
    <x v="1"/>
    <x v="4"/>
    <s v="Driver"/>
    <x v="5"/>
    <x v="0"/>
    <s v=""/>
    <s v=""/>
  </r>
  <r>
    <s v="2019S027642"/>
    <x v="178"/>
    <d v="1899-12-30T03:30:00"/>
    <n v="3"/>
    <x v="0"/>
    <s v="CUSTA. VEGA"/>
    <x v="2"/>
    <n v="5.23"/>
    <s v="Small"/>
    <x v="0"/>
    <x v="4"/>
    <x v="1"/>
    <s v="Driver"/>
    <x v="5"/>
    <x v="1"/>
    <s v=""/>
    <s v=""/>
  </r>
  <r>
    <s v="2019S028647"/>
    <x v="179"/>
    <d v="1899-12-30T19:45:00"/>
    <n v="19"/>
    <x v="1"/>
    <s v="CALL. PRINCIPE DE VERGARA / CALL. HERMOSILLA"/>
    <x v="18"/>
    <n v="5.39"/>
    <s v="Small"/>
    <x v="0"/>
    <x v="3"/>
    <x v="4"/>
    <s v="Driver"/>
    <x v="5"/>
    <x v="0"/>
    <s v=""/>
    <s v=""/>
  </r>
  <r>
    <s v="2019S028686"/>
    <x v="180"/>
    <d v="1899-12-30T14:50:00"/>
    <n v="14"/>
    <x v="0"/>
    <s v="AVDA. PEÑA PRIETA / CALL. MENDIVIL"/>
    <x v="17"/>
    <n v="14.89"/>
    <s v="Small"/>
    <x v="0"/>
    <x v="4"/>
    <x v="1"/>
    <s v="Driver"/>
    <x v="5"/>
    <x v="0"/>
    <s v="06"/>
    <n v="6"/>
  </r>
  <r>
    <s v="2019S028881"/>
    <x v="181"/>
    <d v="1899-12-30T19:10:00"/>
    <n v="19"/>
    <x v="1"/>
    <s v="CALL. SERRANO"/>
    <x v="14"/>
    <n v="9.2100000000000009"/>
    <s v="Small"/>
    <x v="1"/>
    <x v="1"/>
    <x v="1"/>
    <s v="Driver"/>
    <x v="5"/>
    <x v="0"/>
    <s v="07"/>
    <n v="7"/>
  </r>
  <r>
    <s v="2019S029547"/>
    <x v="182"/>
    <d v="1899-12-30T21:45:00"/>
    <n v="21"/>
    <x v="1"/>
    <s v="CALL. ATOCHA / PLAZA. EMPERADOR CARLOS V"/>
    <x v="2"/>
    <n v="5.23"/>
    <s v="Small"/>
    <x v="0"/>
    <x v="1"/>
    <x v="1"/>
    <s v="Driver"/>
    <x v="5"/>
    <x v="1"/>
    <s v="05"/>
    <n v="5"/>
  </r>
  <r>
    <s v="2019S029018"/>
    <x v="183"/>
    <d v="1899-12-30T13:00:00"/>
    <n v="13"/>
    <x v="0"/>
    <s v="PASEO. GENERAL MARTINEZ CAMPOS"/>
    <x v="15"/>
    <n v="4.6900000000000004"/>
    <s v="Small"/>
    <x v="1"/>
    <x v="1"/>
    <x v="1"/>
    <s v="Driver"/>
    <x v="5"/>
    <x v="0"/>
    <s v="02"/>
    <n v="2"/>
  </r>
  <r>
    <s v="2019S029022"/>
    <x v="5"/>
    <d v="1899-12-30T08:00:00"/>
    <n v="8"/>
    <x v="0"/>
    <s v="CALL. CAMPEZO / CALL. LAGUARDIA"/>
    <x v="13"/>
    <n v="22.36"/>
    <s v="Big"/>
    <x v="2"/>
    <x v="2"/>
    <x v="1"/>
    <s v="Driver"/>
    <x v="5"/>
    <x v="0"/>
    <s v="06"/>
    <n v="6"/>
  </r>
  <r>
    <s v="2019S029497"/>
    <x v="184"/>
    <d v="1899-12-30T23:38:00"/>
    <n v="23"/>
    <x v="1"/>
    <s v="CALL. CLAVEL / CALL. CABALLERO DE GRACIA"/>
    <x v="2"/>
    <n v="5.23"/>
    <s v="Small"/>
    <x v="0"/>
    <x v="5"/>
    <x v="1"/>
    <s v="Driver"/>
    <x v="5"/>
    <x v="1"/>
    <s v="01"/>
    <n v="1"/>
  </r>
  <r>
    <s v="2019S029444"/>
    <x v="184"/>
    <d v="1899-12-30T13:22:00"/>
    <n v="13"/>
    <x v="0"/>
    <s v="AVDA. ALBUFERA"/>
    <x v="17"/>
    <n v="14.89"/>
    <s v="Small"/>
    <x v="0"/>
    <x v="2"/>
    <x v="1"/>
    <s v="Driver"/>
    <x v="5"/>
    <x v="0"/>
    <s v="07"/>
    <n v="7"/>
  </r>
  <r>
    <s v="2019S029437"/>
    <x v="184"/>
    <d v="1899-12-30T10:40:00"/>
    <n v="10"/>
    <x v="0"/>
    <s v="CALL. ALBERTO AGUILERA"/>
    <x v="15"/>
    <n v="4.6900000000000004"/>
    <s v="Small"/>
    <x v="1"/>
    <x v="4"/>
    <x v="1"/>
    <s v="Driver"/>
    <x v="5"/>
    <x v="0"/>
    <s v="01"/>
    <n v="1"/>
  </r>
  <r>
    <s v="2019S029560"/>
    <x v="6"/>
    <d v="1899-12-30T19:25:00"/>
    <n v="19"/>
    <x v="1"/>
    <s v="CALL. FRANCOS RODRIGUEZ"/>
    <x v="5"/>
    <n v="5.38"/>
    <s v="Small"/>
    <x v="1"/>
    <x v="0"/>
    <x v="1"/>
    <s v="Driver"/>
    <x v="5"/>
    <x v="0"/>
    <s v="14"/>
    <n v="14"/>
  </r>
  <r>
    <s v="2019S029716"/>
    <x v="185"/>
    <d v="1899-12-30T05:35:00"/>
    <n v="5"/>
    <x v="0"/>
    <s v="CALL. SEGOVIA"/>
    <x v="11"/>
    <n v="6.46"/>
    <s v="Small"/>
    <x v="0"/>
    <x v="4"/>
    <x v="1"/>
    <s v="Driver"/>
    <x v="5"/>
    <x v="0"/>
    <s v="02"/>
    <n v="2"/>
  </r>
  <r>
    <s v="2019S029888"/>
    <x v="186"/>
    <d v="1899-12-30T21:00:00"/>
    <n v="21"/>
    <x v="1"/>
    <s v="CALL. IRUN / CALL. CADARSO"/>
    <x v="9"/>
    <n v="43.05"/>
    <s v="Big"/>
    <x v="0"/>
    <x v="4"/>
    <x v="1"/>
    <s v="Driver"/>
    <x v="5"/>
    <x v="0"/>
    <s v="07"/>
    <n v="7"/>
  </r>
  <r>
    <s v="2019S029862"/>
    <x v="186"/>
    <d v="1899-12-30T11:55:00"/>
    <n v="11"/>
    <x v="0"/>
    <s v="PARQUE LINEAL DEL MANZANARES"/>
    <x v="1"/>
    <n v="14.91"/>
    <s v="Small"/>
    <x v="0"/>
    <x v="0"/>
    <x v="1"/>
    <s v="Pedestrian"/>
    <x v="5"/>
    <x v="1"/>
    <s v="07"/>
    <n v="7"/>
  </r>
  <r>
    <s v="2019S029977"/>
    <x v="74"/>
    <d v="1899-12-30T06:50:00"/>
    <n v="6"/>
    <x v="0"/>
    <s v="AVDA. SAN FERMIN / AVDA. PERLA"/>
    <x v="0"/>
    <n v="12.36"/>
    <s v="Small"/>
    <x v="0"/>
    <x v="1"/>
    <x v="1"/>
    <s v="Driver"/>
    <x v="5"/>
    <x v="0"/>
    <s v="06"/>
    <n v="6"/>
  </r>
  <r>
    <s v="2019S030203"/>
    <x v="187"/>
    <d v="1899-12-30T13:15:00"/>
    <n v="13"/>
    <x v="0"/>
    <s v="CUSTA. SAN VICENTE / GTA. SAN VICENTE"/>
    <x v="9"/>
    <n v="43.05"/>
    <s v="Big"/>
    <x v="0"/>
    <x v="1"/>
    <x v="1"/>
    <s v="Driver"/>
    <x v="5"/>
    <x v="0"/>
    <s v="02"/>
    <n v="2"/>
  </r>
  <r>
    <s v="2019S030398"/>
    <x v="119"/>
    <d v="1899-12-30T11:30:00"/>
    <n v="11"/>
    <x v="0"/>
    <s v="GTA. ANGEL CAIDO / CALL. FERNAN NUÑEZ"/>
    <x v="16"/>
    <n v="5.38"/>
    <s v="Small"/>
    <x v="0"/>
    <x v="0"/>
    <x v="1"/>
    <s v="Driver"/>
    <x v="5"/>
    <x v="0"/>
    <s v="14"/>
    <n v="14"/>
  </r>
  <r>
    <s v="2019S030783"/>
    <x v="121"/>
    <d v="1899-12-30T10:40:00"/>
    <n v="10"/>
    <x v="0"/>
    <s v="PASEO. ACACIAS"/>
    <x v="11"/>
    <n v="6.46"/>
    <s v="Small"/>
    <x v="0"/>
    <x v="0"/>
    <x v="1"/>
    <s v="Driver"/>
    <x v="5"/>
    <x v="0"/>
    <s v=""/>
    <s v=""/>
  </r>
  <r>
    <s v="2019S031098"/>
    <x v="75"/>
    <d v="1899-12-30T20:40:00"/>
    <n v="20"/>
    <x v="1"/>
    <s v="CALL. HACIENDA DE PAVONES / CALL. BRUJAS"/>
    <x v="12"/>
    <n v="6.34"/>
    <s v="Small"/>
    <x v="2"/>
    <x v="4"/>
    <x v="1"/>
    <s v="Driver"/>
    <x v="5"/>
    <x v="0"/>
    <s v="01"/>
    <n v="1"/>
  </r>
  <r>
    <s v="2019S031094"/>
    <x v="75"/>
    <d v="1899-12-30T18:10:00"/>
    <n v="18"/>
    <x v="1"/>
    <s v="PLAZA. ALONSO MARTINEZ"/>
    <x v="15"/>
    <n v="4.6900000000000004"/>
    <s v="Small"/>
    <x v="1"/>
    <x v="2"/>
    <x v="4"/>
    <s v="Driver"/>
    <x v="5"/>
    <x v="0"/>
    <s v=""/>
    <s v=""/>
  </r>
  <r>
    <s v="2019S031256"/>
    <x v="188"/>
    <d v="1899-12-30T21:30:00"/>
    <n v="21"/>
    <x v="1"/>
    <s v="PASEO. CASTELLANA"/>
    <x v="14"/>
    <n v="9.2100000000000009"/>
    <s v="Small"/>
    <x v="1"/>
    <x v="2"/>
    <x v="1"/>
    <s v="Driver"/>
    <x v="5"/>
    <x v="0"/>
    <s v="05"/>
    <n v="5"/>
  </r>
  <r>
    <s v="2019S031280"/>
    <x v="124"/>
    <d v="1899-12-30T14:20:00"/>
    <n v="14"/>
    <x v="0"/>
    <s v="CALL. SERRANO"/>
    <x v="14"/>
    <n v="9.2100000000000009"/>
    <s v="Small"/>
    <x v="1"/>
    <x v="7"/>
    <x v="1"/>
    <s v="Driver"/>
    <x v="5"/>
    <x v="0"/>
    <s v=""/>
    <s v=""/>
  </r>
  <r>
    <s v="2019S031647"/>
    <x v="189"/>
    <d v="1899-12-30T13:20:00"/>
    <n v="13"/>
    <x v="0"/>
    <s v="CMNO. ROBLEDAL"/>
    <x v="9"/>
    <n v="43.05"/>
    <s v="Big"/>
    <x v="0"/>
    <x v="3"/>
    <x v="1"/>
    <s v="Driver"/>
    <x v="5"/>
    <x v="0"/>
    <s v="07"/>
    <n v="7"/>
  </r>
  <r>
    <s v="2019S031619"/>
    <x v="50"/>
    <d v="1899-12-30T22:45:00"/>
    <n v="22"/>
    <x v="1"/>
    <s v="CALL. GENOVA / CALL. ARGENSOLA"/>
    <x v="15"/>
    <n v="4.6900000000000004"/>
    <s v="Small"/>
    <x v="1"/>
    <x v="4"/>
    <x v="1"/>
    <s v="Driver"/>
    <x v="5"/>
    <x v="0"/>
    <s v="02"/>
    <n v="2"/>
  </r>
  <r>
    <s v="2019S031721"/>
    <x v="190"/>
    <d v="1899-12-30T20:00:00"/>
    <n v="20"/>
    <x v="1"/>
    <s v="CALL. AMOS DE ESCALANTE"/>
    <x v="8"/>
    <n v="11.38"/>
    <s v="Small"/>
    <x v="2"/>
    <x v="0"/>
    <x v="1"/>
    <s v="Driver"/>
    <x v="5"/>
    <x v="0"/>
    <s v="14"/>
    <n v="14"/>
  </r>
  <r>
    <s v="2019S031798"/>
    <x v="190"/>
    <d v="1899-12-30T19:00:00"/>
    <n v="19"/>
    <x v="1"/>
    <s v="CALL. EMBAJADORES"/>
    <x v="11"/>
    <n v="6.46"/>
    <s v="Small"/>
    <x v="0"/>
    <x v="3"/>
    <x v="1"/>
    <s v="Driver"/>
    <x v="5"/>
    <x v="1"/>
    <s v="01"/>
    <n v="1"/>
  </r>
  <r>
    <s v="2019S031846"/>
    <x v="190"/>
    <d v="1899-12-30T13:30:00"/>
    <n v="13"/>
    <x v="0"/>
    <s v="AVDA. POBLADOS / CALL. GUETARIA"/>
    <x v="0"/>
    <n v="12.36"/>
    <s v="Small"/>
    <x v="0"/>
    <x v="1"/>
    <x v="1"/>
    <s v="Driver"/>
    <x v="5"/>
    <x v="1"/>
    <s v=""/>
    <s v=""/>
  </r>
  <r>
    <s v="2019S031828"/>
    <x v="76"/>
    <d v="1899-12-30T15:45:00"/>
    <n v="15"/>
    <x v="1"/>
    <s v="CALL. NUÑEZ DE BALBOA / CALL. JOSE ORTEGA Y GASSET"/>
    <x v="18"/>
    <n v="5.39"/>
    <s v="Small"/>
    <x v="0"/>
    <x v="4"/>
    <x v="1"/>
    <s v="Driver"/>
    <x v="5"/>
    <x v="1"/>
    <s v="02"/>
    <n v="2"/>
  </r>
  <r>
    <s v="2019S031790"/>
    <x v="76"/>
    <d v="1899-12-30T14:45:00"/>
    <n v="14"/>
    <x v="0"/>
    <s v="CALL. CARNICER"/>
    <x v="5"/>
    <n v="5.38"/>
    <s v="Small"/>
    <x v="1"/>
    <x v="0"/>
    <x v="1"/>
    <s v="Pedestrian"/>
    <x v="5"/>
    <x v="1"/>
    <s v="07"/>
    <n v="7"/>
  </r>
  <r>
    <s v="2019S031989"/>
    <x v="77"/>
    <d v="1899-12-30T14:10:00"/>
    <n v="14"/>
    <x v="0"/>
    <s v="CALL. SANTA ENGRACIA"/>
    <x v="15"/>
    <n v="4.6900000000000004"/>
    <s v="Small"/>
    <x v="1"/>
    <x v="2"/>
    <x v="1"/>
    <s v="Driver"/>
    <x v="5"/>
    <x v="1"/>
    <s v="07"/>
    <n v="7"/>
  </r>
  <r>
    <s v="2019S031862"/>
    <x v="77"/>
    <d v="1899-12-30T09:38:00"/>
    <n v="9"/>
    <x v="0"/>
    <s v="MINISTERIO DE DEFENSA"/>
    <x v="5"/>
    <n v="5.38"/>
    <s v="Small"/>
    <x v="1"/>
    <x v="4"/>
    <x v="1"/>
    <s v="Driver"/>
    <x v="5"/>
    <x v="0"/>
    <s v="02"/>
    <n v="2"/>
  </r>
  <r>
    <s v="2019S031994"/>
    <x v="126"/>
    <d v="1899-12-30T00:05:00"/>
    <n v="0"/>
    <x v="0"/>
    <s v="PASEO. ESPERANZA / PASEO. ESPERANZA"/>
    <x v="11"/>
    <n v="6.46"/>
    <s v="Small"/>
    <x v="0"/>
    <x v="2"/>
    <x v="1"/>
    <s v="Driver"/>
    <x v="5"/>
    <x v="0"/>
    <s v="05"/>
    <n v="5"/>
  </r>
  <r>
    <s v="2019S032318"/>
    <x v="51"/>
    <d v="1899-12-30T17:15:00"/>
    <n v="17"/>
    <x v="1"/>
    <s v="CALL. PALMA / CALL. SAN BERNARDO"/>
    <x v="2"/>
    <n v="5.23"/>
    <s v="Small"/>
    <x v="0"/>
    <x v="1"/>
    <x v="1"/>
    <s v="Driver"/>
    <x v="5"/>
    <x v="0"/>
    <s v="06"/>
    <n v="6"/>
  </r>
  <r>
    <s v="2019S032458"/>
    <x v="26"/>
    <d v="1899-12-30T15:05:00"/>
    <n v="15"/>
    <x v="1"/>
    <s v="CALL. MARIA DE MOLINA / CALL. PRINCIPE DE VERGARA"/>
    <x v="18"/>
    <n v="5.39"/>
    <s v="Small"/>
    <x v="0"/>
    <x v="2"/>
    <x v="1"/>
    <s v="Driver"/>
    <x v="5"/>
    <x v="1"/>
    <s v="07"/>
    <n v="7"/>
  </r>
  <r>
    <s v="2019S032806"/>
    <x v="191"/>
    <d v="1899-12-30T13:41:00"/>
    <n v="13"/>
    <x v="0"/>
    <s v="CALL. VIRGEN DE LA ALEGRIA"/>
    <x v="8"/>
    <n v="11.38"/>
    <s v="Small"/>
    <x v="2"/>
    <x v="2"/>
    <x v="1"/>
    <s v="Driver"/>
    <x v="5"/>
    <x v="0"/>
    <s v="07"/>
    <n v="7"/>
  </r>
  <r>
    <s v="2019S032872"/>
    <x v="191"/>
    <d v="1899-12-30T01:15:00"/>
    <n v="1"/>
    <x v="0"/>
    <s v="CALL. ALFONSO XII"/>
    <x v="16"/>
    <n v="5.38"/>
    <s v="Small"/>
    <x v="0"/>
    <x v="2"/>
    <x v="1"/>
    <s v="Driver"/>
    <x v="5"/>
    <x v="0"/>
    <s v="02"/>
    <n v="2"/>
  </r>
  <r>
    <s v="2019S032978"/>
    <x v="128"/>
    <d v="1899-12-30T20:40:00"/>
    <n v="20"/>
    <x v="1"/>
    <s v="CALL. JOSE ORTEGA Y GASSET / PLAZA. MARQUES DE SALAMANCA"/>
    <x v="18"/>
    <n v="5.39"/>
    <s v="Small"/>
    <x v="0"/>
    <x v="4"/>
    <x v="3"/>
    <s v="Driver"/>
    <x v="5"/>
    <x v="1"/>
    <s v="07"/>
    <n v="7"/>
  </r>
  <r>
    <s v="2019S032883"/>
    <x v="128"/>
    <d v="1899-12-30T10:30:00"/>
    <n v="10"/>
    <x v="0"/>
    <s v="PLAZA. PUERTA CERRADA"/>
    <x v="2"/>
    <n v="5.23"/>
    <s v="Small"/>
    <x v="0"/>
    <x v="2"/>
    <x v="1"/>
    <s v="Driver"/>
    <x v="5"/>
    <x v="1"/>
    <s v="01"/>
    <n v="1"/>
  </r>
  <r>
    <s v="2019S033115"/>
    <x v="192"/>
    <d v="1899-12-30T23:20:00"/>
    <n v="23"/>
    <x v="1"/>
    <s v="CALL. DUQUE DE SESTO"/>
    <x v="18"/>
    <n v="5.39"/>
    <s v="Small"/>
    <x v="0"/>
    <x v="1"/>
    <x v="1"/>
    <s v="Driver"/>
    <x v="5"/>
    <x v="0"/>
    <s v=""/>
    <s v=""/>
  </r>
  <r>
    <s v="2019S033316"/>
    <x v="79"/>
    <d v="1899-12-30T20:00:00"/>
    <n v="20"/>
    <x v="1"/>
    <s v="CALL. AGUSTIN DE FOXA"/>
    <x v="14"/>
    <n v="9.2100000000000009"/>
    <s v="Small"/>
    <x v="1"/>
    <x v="4"/>
    <x v="1"/>
    <s v="Driver"/>
    <x v="5"/>
    <x v="1"/>
    <s v="05"/>
    <n v="5"/>
  </r>
  <r>
    <s v="2019S033546"/>
    <x v="80"/>
    <d v="1899-12-30T14:00:00"/>
    <n v="14"/>
    <x v="0"/>
    <s v="CALL. BRAVO MURILLO"/>
    <x v="5"/>
    <n v="5.38"/>
    <s v="Small"/>
    <x v="1"/>
    <x v="3"/>
    <x v="1"/>
    <s v="Driver"/>
    <x v="5"/>
    <x v="1"/>
    <s v="14"/>
    <n v="14"/>
  </r>
  <r>
    <s v="2019S034015"/>
    <x v="193"/>
    <d v="1899-12-30T09:30:00"/>
    <n v="9"/>
    <x v="0"/>
    <s v="CALL. DIEGO DE LEON / CALL. PRINCIPE DE VERGARA"/>
    <x v="18"/>
    <n v="5.39"/>
    <s v="Small"/>
    <x v="0"/>
    <x v="2"/>
    <x v="1"/>
    <s v="Driver"/>
    <x v="5"/>
    <x v="0"/>
    <s v="05"/>
    <n v="5"/>
  </r>
  <r>
    <s v="2019S034336"/>
    <x v="194"/>
    <d v="1899-12-30T11:00:00"/>
    <n v="11"/>
    <x v="0"/>
    <s v="CALL. SAN CONRADO / AVDA. MANZANARES"/>
    <x v="3"/>
    <n v="25.41"/>
    <s v="Big"/>
    <x v="0"/>
    <x v="2"/>
    <x v="1"/>
    <s v="Driver"/>
    <x v="5"/>
    <x v="0"/>
    <s v=""/>
    <s v=""/>
  </r>
  <r>
    <s v="2019S034953"/>
    <x v="195"/>
    <d v="1899-12-30T16:45:00"/>
    <n v="16"/>
    <x v="1"/>
    <s v="PASEO. PRADO / PLAZA. CIBELES"/>
    <x v="16"/>
    <n v="5.38"/>
    <s v="Small"/>
    <x v="0"/>
    <x v="3"/>
    <x v="1"/>
    <s v="Driver"/>
    <x v="5"/>
    <x v="1"/>
    <s v=""/>
    <s v=""/>
  </r>
  <r>
    <s v="2019S035414"/>
    <x v="196"/>
    <d v="1899-12-30T15:30:00"/>
    <n v="15"/>
    <x v="1"/>
    <s v="PASEO. CHOPERA"/>
    <x v="11"/>
    <n v="6.46"/>
    <s v="Small"/>
    <x v="0"/>
    <x v="0"/>
    <x v="1"/>
    <s v="Driver"/>
    <x v="5"/>
    <x v="0"/>
    <s v="07"/>
    <n v="7"/>
  </r>
  <r>
    <s v="2019S035414"/>
    <x v="196"/>
    <d v="1899-12-30T15:30:00"/>
    <n v="15"/>
    <x v="1"/>
    <s v="PASEO. CHOPERA"/>
    <x v="11"/>
    <n v="6.46"/>
    <s v="Small"/>
    <x v="0"/>
    <x v="0"/>
    <x v="1"/>
    <s v="Pedestrian"/>
    <x v="5"/>
    <x v="0"/>
    <s v="14"/>
    <n v="14"/>
  </r>
  <r>
    <s v="2019S035586"/>
    <x v="197"/>
    <d v="1899-12-30T21:45:00"/>
    <n v="21"/>
    <x v="1"/>
    <s v="CALL. GENERAL ALVAREZ DE CASTRO / CALL. ELOY GONZALO"/>
    <x v="15"/>
    <n v="4.6900000000000004"/>
    <s v="Small"/>
    <x v="1"/>
    <x v="1"/>
    <x v="1"/>
    <s v="Driver"/>
    <x v="5"/>
    <x v="1"/>
    <s v="07"/>
    <n v="7"/>
  </r>
  <r>
    <s v="2019S035805"/>
    <x v="82"/>
    <d v="1899-12-30T20:45:00"/>
    <n v="20"/>
    <x v="1"/>
    <s v="PASEO. ESPERANZA / CALL. MORATINES"/>
    <x v="11"/>
    <n v="6.46"/>
    <s v="Small"/>
    <x v="0"/>
    <x v="2"/>
    <x v="0"/>
    <s v="Driver"/>
    <x v="5"/>
    <x v="0"/>
    <s v="07"/>
    <n v="7"/>
  </r>
  <r>
    <s v="2019S035904"/>
    <x v="198"/>
    <d v="1899-12-30T20:15:00"/>
    <n v="20"/>
    <x v="1"/>
    <s v="AVDA. ALFONSO XIII"/>
    <x v="14"/>
    <n v="9.2100000000000009"/>
    <s v="Small"/>
    <x v="1"/>
    <x v="3"/>
    <x v="1"/>
    <s v="Driver"/>
    <x v="5"/>
    <x v="0"/>
    <s v="07"/>
    <n v="7"/>
  </r>
  <r>
    <s v="2019S036046"/>
    <x v="199"/>
    <d v="1899-12-30T15:15:00"/>
    <n v="15"/>
    <x v="1"/>
    <s v="CALL. SERRANO / CALL. AYALA"/>
    <x v="18"/>
    <n v="5.39"/>
    <s v="Small"/>
    <x v="0"/>
    <x v="1"/>
    <x v="1"/>
    <s v="Driver"/>
    <x v="5"/>
    <x v="1"/>
    <s v=""/>
    <s v=""/>
  </r>
  <r>
    <s v="2019S036377"/>
    <x v="200"/>
    <d v="1899-12-30T21:15:00"/>
    <n v="21"/>
    <x v="1"/>
    <s v="GTA. SAN VICENTE"/>
    <x v="9"/>
    <n v="43.05"/>
    <s v="Big"/>
    <x v="0"/>
    <x v="4"/>
    <x v="3"/>
    <s v="Driver"/>
    <x v="5"/>
    <x v="0"/>
    <s v="05"/>
    <n v="5"/>
  </r>
  <r>
    <s v="2019S036525"/>
    <x v="201"/>
    <d v="1899-12-30T20:50:00"/>
    <n v="20"/>
    <x v="1"/>
    <s v="AVDA. BRASILIA / AVDA. BADAJOZ"/>
    <x v="18"/>
    <n v="5.39"/>
    <s v="Small"/>
    <x v="0"/>
    <x v="3"/>
    <x v="3"/>
    <s v="Driver"/>
    <x v="5"/>
    <x v="1"/>
    <s v="07"/>
    <n v="7"/>
  </r>
  <r>
    <s v="2019S036820"/>
    <x v="202"/>
    <d v="1899-12-30T20:45:00"/>
    <n v="20"/>
    <x v="1"/>
    <s v="GTA. RUIZ JIMENEZ / CALL. SAN BERNARDO"/>
    <x v="2"/>
    <n v="5.23"/>
    <s v="Small"/>
    <x v="0"/>
    <x v="2"/>
    <x v="1"/>
    <s v="Driver"/>
    <x v="5"/>
    <x v="0"/>
    <s v="07"/>
    <n v="7"/>
  </r>
  <r>
    <s v="2019S036846"/>
    <x v="203"/>
    <d v="1899-12-30T22:50:00"/>
    <n v="22"/>
    <x v="1"/>
    <s v="PLAZA. ALONSO MARTINEZ / CALL. SANTA ENGRACIA"/>
    <x v="15"/>
    <n v="4.6900000000000004"/>
    <s v="Small"/>
    <x v="1"/>
    <x v="4"/>
    <x v="3"/>
    <s v="Driver"/>
    <x v="5"/>
    <x v="1"/>
    <s v="07"/>
    <n v="7"/>
  </r>
  <r>
    <s v="2019S037342"/>
    <x v="204"/>
    <d v="1899-12-30T23:30:00"/>
    <n v="23"/>
    <x v="1"/>
    <s v="PASEO. SANTA MARIA DE LA CABEZA / CALL. MARCELO USERA"/>
    <x v="11"/>
    <n v="6.46"/>
    <s v="Small"/>
    <x v="0"/>
    <x v="2"/>
    <x v="3"/>
    <s v="Driver"/>
    <x v="5"/>
    <x v="0"/>
    <s v="07"/>
    <n v="7"/>
  </r>
  <r>
    <s v="2019S037835"/>
    <x v="205"/>
    <d v="1899-12-30T16:00:00"/>
    <n v="16"/>
    <x v="1"/>
    <s v="CALL. DOBLA / AVDA. POBLADOS"/>
    <x v="1"/>
    <n v="14.91"/>
    <s v="Small"/>
    <x v="0"/>
    <x v="2"/>
    <x v="3"/>
    <s v="Driver"/>
    <x v="5"/>
    <x v="0"/>
    <s v="06"/>
    <n v="6"/>
  </r>
  <r>
    <s v="2019S037723"/>
    <x v="206"/>
    <d v="1899-12-30T01:00:00"/>
    <n v="1"/>
    <x v="0"/>
    <s v="PASEO. CASTELLANA"/>
    <x v="14"/>
    <n v="9.2100000000000009"/>
    <s v="Small"/>
    <x v="1"/>
    <x v="2"/>
    <x v="1"/>
    <s v="Driver"/>
    <x v="5"/>
    <x v="1"/>
    <s v="07"/>
    <n v="7"/>
  </r>
  <r>
    <s v="2019S038688"/>
    <x v="207"/>
    <d v="1899-12-30T08:15:00"/>
    <n v="8"/>
    <x v="0"/>
    <s v="CALL. SERRANO"/>
    <x v="14"/>
    <n v="9.2100000000000009"/>
    <s v="Small"/>
    <x v="1"/>
    <x v="4"/>
    <x v="3"/>
    <s v="Driver"/>
    <x v="5"/>
    <x v="0"/>
    <s v="02"/>
    <n v="2"/>
  </r>
  <r>
    <s v="2019S038971"/>
    <x v="208"/>
    <d v="1899-12-30T03:30:00"/>
    <n v="3"/>
    <x v="0"/>
    <s v="PLAZA. SANTA BARBARA"/>
    <x v="2"/>
    <n v="5.23"/>
    <s v="Small"/>
    <x v="0"/>
    <x v="4"/>
    <x v="5"/>
    <s v="Driver"/>
    <x v="5"/>
    <x v="1"/>
    <s v="01"/>
    <n v="1"/>
  </r>
  <r>
    <s v="2019S039263"/>
    <x v="209"/>
    <d v="1899-12-30T00:15:00"/>
    <n v="0"/>
    <x v="0"/>
    <s v="CALL. CARRANZA"/>
    <x v="2"/>
    <n v="5.23"/>
    <s v="Small"/>
    <x v="0"/>
    <x v="3"/>
    <x v="1"/>
    <s v="Driver"/>
    <x v="5"/>
    <x v="0"/>
    <s v="02"/>
    <n v="2"/>
  </r>
  <r>
    <s v="2019S000306"/>
    <x v="210"/>
    <d v="1899-12-30T17:10:00"/>
    <n v="17"/>
    <x v="1"/>
    <s v="CALL. PRADILLO"/>
    <x v="14"/>
    <n v="9.2100000000000009"/>
    <s v="Small"/>
    <x v="1"/>
    <x v="2"/>
    <x v="1"/>
    <s v="Driver"/>
    <x v="6"/>
    <x v="0"/>
    <s v="07"/>
    <n v="7"/>
  </r>
  <r>
    <s v="2019S000904"/>
    <x v="211"/>
    <d v="1899-12-30T14:00:00"/>
    <n v="14"/>
    <x v="0"/>
    <s v="CALL. NUESTRA SEÑORA DE VALVERDE / CALL. DOCTOR JUAN BRAVO"/>
    <x v="10"/>
    <n v="237.81"/>
    <s v="Big"/>
    <x v="1"/>
    <x v="2"/>
    <x v="1"/>
    <s v="Driver"/>
    <x v="6"/>
    <x v="0"/>
    <s v="07"/>
    <n v="7"/>
  </r>
  <r>
    <s v="2019S001943"/>
    <x v="29"/>
    <d v="1899-12-30T14:50:00"/>
    <n v="14"/>
    <x v="0"/>
    <s v="CALL. ANTONIO DE LEYVA"/>
    <x v="1"/>
    <n v="14.91"/>
    <s v="Small"/>
    <x v="0"/>
    <x v="3"/>
    <x v="1"/>
    <s v="Driver"/>
    <x v="6"/>
    <x v="0"/>
    <s v="07"/>
    <n v="7"/>
  </r>
  <r>
    <s v="2019S004582"/>
    <x v="143"/>
    <d v="1899-12-30T11:10:00"/>
    <n v="11"/>
    <x v="0"/>
    <s v="CTRA. EL PARDO A FUENCARRAL"/>
    <x v="10"/>
    <n v="237.81"/>
    <s v="Big"/>
    <x v="1"/>
    <x v="4"/>
    <x v="1"/>
    <s v="Driver"/>
    <x v="6"/>
    <x v="0"/>
    <s v="02"/>
    <n v="2"/>
  </r>
  <r>
    <s v="2019S007634"/>
    <x v="212"/>
    <d v="1899-12-30T19:58:00"/>
    <n v="19"/>
    <x v="1"/>
    <s v="AVDA. ALBUFERA / CALL. PUERTO DE CANFRANC"/>
    <x v="17"/>
    <n v="14.89"/>
    <s v="Small"/>
    <x v="0"/>
    <x v="5"/>
    <x v="1"/>
    <s v="Driver"/>
    <x v="6"/>
    <x v="0"/>
    <s v="14"/>
    <n v="14"/>
  </r>
  <r>
    <s v="2019S006649"/>
    <x v="11"/>
    <d v="1899-12-30T11:41:00"/>
    <n v="11"/>
    <x v="0"/>
    <s v="CALL. TOMASA RUIZ"/>
    <x v="1"/>
    <n v="14.91"/>
    <s v="Small"/>
    <x v="0"/>
    <x v="6"/>
    <x v="1"/>
    <s v="Driver"/>
    <x v="6"/>
    <x v="0"/>
    <s v=""/>
    <s v=""/>
  </r>
  <r>
    <s v="2019S008855"/>
    <x v="31"/>
    <d v="1899-12-30T19:40:00"/>
    <n v="19"/>
    <x v="1"/>
    <s v="CALL. AGUSTIN DE FOXA"/>
    <x v="14"/>
    <n v="9.2100000000000009"/>
    <s v="Small"/>
    <x v="1"/>
    <x v="2"/>
    <x v="1"/>
    <s v="Driver"/>
    <x v="6"/>
    <x v="0"/>
    <s v="06"/>
    <n v="6"/>
  </r>
  <r>
    <s v="2019S009136"/>
    <x v="213"/>
    <d v="1899-12-30T16:10:00"/>
    <n v="16"/>
    <x v="1"/>
    <s v="CALL. VALLEHERMOSO / CALL. FERNANDEZ DE LOS RIOS"/>
    <x v="15"/>
    <n v="4.6900000000000004"/>
    <s v="Small"/>
    <x v="1"/>
    <x v="1"/>
    <x v="4"/>
    <s v="Driver"/>
    <x v="6"/>
    <x v="0"/>
    <s v=""/>
    <s v=""/>
  </r>
  <r>
    <s v="2019S010365"/>
    <x v="148"/>
    <d v="1899-12-30T19:05:00"/>
    <n v="19"/>
    <x v="1"/>
    <s v="GTA. QUEVEDO / CALL. SAN BERNARDO"/>
    <x v="15"/>
    <n v="4.6900000000000004"/>
    <s v="Small"/>
    <x v="1"/>
    <x v="3"/>
    <x v="1"/>
    <s v="Driver"/>
    <x v="6"/>
    <x v="0"/>
    <s v="07"/>
    <n v="7"/>
  </r>
  <r>
    <s v="2019S013570"/>
    <x v="214"/>
    <d v="1899-12-30T16:50:00"/>
    <n v="16"/>
    <x v="1"/>
    <s v="CALL. ESPARTEROS"/>
    <x v="2"/>
    <n v="5.23"/>
    <s v="Small"/>
    <x v="0"/>
    <x v="4"/>
    <x v="1"/>
    <s v="Driver"/>
    <x v="6"/>
    <x v="1"/>
    <s v="01"/>
    <n v="1"/>
  </r>
  <r>
    <s v="2019S014303"/>
    <x v="57"/>
    <d v="1899-12-30T12:45:00"/>
    <n v="12"/>
    <x v="0"/>
    <s v="PASEO. CASTELLANA"/>
    <x v="14"/>
    <n v="9.2100000000000009"/>
    <s v="Small"/>
    <x v="1"/>
    <x v="3"/>
    <x v="1"/>
    <s v="Driver"/>
    <x v="6"/>
    <x v="1"/>
    <s v="01"/>
    <n v="1"/>
  </r>
  <r>
    <s v="2019S016338"/>
    <x v="215"/>
    <d v="1899-12-30T17:30:00"/>
    <n v="17"/>
    <x v="1"/>
    <s v="CALL. ALMAGRO"/>
    <x v="15"/>
    <n v="4.6900000000000004"/>
    <s v="Small"/>
    <x v="1"/>
    <x v="1"/>
    <x v="1"/>
    <s v="Driver"/>
    <x v="6"/>
    <x v="0"/>
    <s v="07"/>
    <n v="7"/>
  </r>
  <r>
    <s v="2019S017217"/>
    <x v="152"/>
    <d v="1899-12-30T16:30:00"/>
    <n v="16"/>
    <x v="1"/>
    <s v="CALLE ALACALA - PASEO DEL PRADO"/>
    <x v="2"/>
    <n v="5.23"/>
    <s v="Small"/>
    <x v="0"/>
    <x v="4"/>
    <x v="1"/>
    <s v="Driver"/>
    <x v="6"/>
    <x v="1"/>
    <s v="07"/>
    <n v="7"/>
  </r>
  <r>
    <s v="2019S018461"/>
    <x v="216"/>
    <d v="1899-12-30T13:05:00"/>
    <n v="13"/>
    <x v="0"/>
    <s v="PASEO. RECOLETOS / CALL. GENOVA"/>
    <x v="2"/>
    <n v="5.23"/>
    <s v="Small"/>
    <x v="0"/>
    <x v="5"/>
    <x v="0"/>
    <s v="Driver"/>
    <x v="6"/>
    <x v="0"/>
    <s v="07"/>
    <n v="7"/>
  </r>
  <r>
    <s v="2019S018552"/>
    <x v="38"/>
    <d v="1899-12-30T09:00:00"/>
    <n v="9"/>
    <x v="0"/>
    <s v="CALL. SAN GERMAN / CALL. POETA JOAN MARAGALL"/>
    <x v="5"/>
    <n v="5.38"/>
    <s v="Small"/>
    <x v="1"/>
    <x v="3"/>
    <x v="1"/>
    <s v="Driver"/>
    <x v="6"/>
    <x v="0"/>
    <s v="01"/>
    <n v="1"/>
  </r>
  <r>
    <s v="2019S018648"/>
    <x v="158"/>
    <d v="1899-12-30T12:10:00"/>
    <n v="12"/>
    <x v="0"/>
    <s v="CALL. POETA JOAN MARAGALL / CALL. SOR ANGELA DE LA CRUZ"/>
    <x v="5"/>
    <n v="5.38"/>
    <s v="Small"/>
    <x v="1"/>
    <x v="2"/>
    <x v="1"/>
    <s v="Driver"/>
    <x v="6"/>
    <x v="0"/>
    <s v="07"/>
    <n v="7"/>
  </r>
  <r>
    <s v="2019S018960"/>
    <x v="217"/>
    <d v="1899-12-30T16:45:00"/>
    <n v="16"/>
    <x v="1"/>
    <s v="CALL. MESON DE PAREDES / RONDA. VALENCIA"/>
    <x v="2"/>
    <n v="5.23"/>
    <s v="Small"/>
    <x v="0"/>
    <x v="1"/>
    <x v="1"/>
    <s v="Driver"/>
    <x v="6"/>
    <x v="0"/>
    <s v="07"/>
    <n v="7"/>
  </r>
  <r>
    <s v="2019S018902"/>
    <x v="159"/>
    <d v="1899-12-30T08:30:00"/>
    <n v="8"/>
    <x v="0"/>
    <s v="CALL. SANTA ISABEL"/>
    <x v="2"/>
    <n v="5.23"/>
    <s v="Small"/>
    <x v="0"/>
    <x v="4"/>
    <x v="1"/>
    <s v="Driver"/>
    <x v="6"/>
    <x v="1"/>
    <s v="05"/>
    <n v="5"/>
  </r>
  <r>
    <s v="2019S019257"/>
    <x v="60"/>
    <d v="1899-12-30T21:00:00"/>
    <n v="21"/>
    <x v="1"/>
    <s v="CALL. SANTA ENGRACIA"/>
    <x v="15"/>
    <n v="4.6900000000000004"/>
    <s v="Small"/>
    <x v="1"/>
    <x v="2"/>
    <x v="1"/>
    <s v="Driver"/>
    <x v="6"/>
    <x v="0"/>
    <s v="07"/>
    <n v="7"/>
  </r>
  <r>
    <s v="2019S019733"/>
    <x v="95"/>
    <d v="1899-12-30T10:40:00"/>
    <n v="10"/>
    <x v="0"/>
    <s v="CALL. JULIA GARCIA BOUTAN / CALL. SOFIA"/>
    <x v="13"/>
    <n v="22.36"/>
    <s v="Big"/>
    <x v="2"/>
    <x v="2"/>
    <x v="1"/>
    <s v="Driver"/>
    <x v="6"/>
    <x v="0"/>
    <s v="02"/>
    <n v="2"/>
  </r>
  <r>
    <s v="2019S019986"/>
    <x v="218"/>
    <d v="1899-12-30T17:15:00"/>
    <n v="17"/>
    <x v="1"/>
    <s v="CTRA. M-616, +00600S"/>
    <x v="10"/>
    <n v="237.81"/>
    <s v="Big"/>
    <x v="1"/>
    <x v="3"/>
    <x v="1"/>
    <s v="Driver"/>
    <x v="6"/>
    <x v="0"/>
    <s v="02"/>
    <n v="2"/>
  </r>
  <r>
    <s v="2019S020526"/>
    <x v="39"/>
    <d v="1899-12-30T13:30:00"/>
    <n v="13"/>
    <x v="0"/>
    <s v="CALL. SANTA ENGRACIA / CALL. MANUEL GONZALEZ LONGORIA"/>
    <x v="15"/>
    <n v="4.6900000000000004"/>
    <s v="Small"/>
    <x v="1"/>
    <x v="2"/>
    <x v="1"/>
    <s v="Driver"/>
    <x v="6"/>
    <x v="1"/>
    <s v="07"/>
    <n v="7"/>
  </r>
  <r>
    <s v="2019S020756"/>
    <x v="1"/>
    <d v="1899-12-30T20:00:00"/>
    <n v="20"/>
    <x v="1"/>
    <s v="CALL. HERNANI"/>
    <x v="5"/>
    <n v="5.38"/>
    <s v="Small"/>
    <x v="1"/>
    <x v="1"/>
    <x v="1"/>
    <s v="Driver"/>
    <x v="6"/>
    <x v="0"/>
    <s v="07"/>
    <n v="7"/>
  </r>
  <r>
    <s v="2019S021079"/>
    <x v="14"/>
    <d v="1899-12-30T14:30:00"/>
    <n v="14"/>
    <x v="0"/>
    <s v="CALL. ISABEL LA CATOLICA"/>
    <x v="2"/>
    <n v="5.23"/>
    <s v="Small"/>
    <x v="0"/>
    <x v="4"/>
    <x v="1"/>
    <s v="Driver"/>
    <x v="6"/>
    <x v="0"/>
    <s v="07"/>
    <n v="7"/>
  </r>
  <r>
    <s v="2019S021460"/>
    <x v="100"/>
    <d v="1899-12-30T04:15:00"/>
    <n v="4"/>
    <x v="0"/>
    <s v="CALL. BRAVO MURILLO"/>
    <x v="5"/>
    <n v="5.38"/>
    <s v="Small"/>
    <x v="1"/>
    <x v="4"/>
    <x v="1"/>
    <s v="Driver"/>
    <x v="6"/>
    <x v="1"/>
    <s v="07"/>
    <n v="7"/>
  </r>
  <r>
    <s v="2019S021730"/>
    <x v="16"/>
    <d v="1899-12-30T19:00:00"/>
    <n v="19"/>
    <x v="1"/>
    <s v="PASEO. FERNAN NUÑEZ"/>
    <x v="16"/>
    <n v="5.38"/>
    <s v="Small"/>
    <x v="0"/>
    <x v="4"/>
    <x v="1"/>
    <s v="Driver"/>
    <x v="6"/>
    <x v="1"/>
    <s v="07"/>
    <n v="7"/>
  </r>
  <r>
    <s v="2019S022810"/>
    <x v="63"/>
    <d v="1899-12-30T12:55:00"/>
    <n v="12"/>
    <x v="0"/>
    <s v="SENDA CICLABLE-AV.ROSALES-CARRET.VILLAV. A VALLECA"/>
    <x v="4"/>
    <n v="20.25"/>
    <s v="Big"/>
    <x v="0"/>
    <x v="0"/>
    <x v="1"/>
    <s v="Pedestrian"/>
    <x v="6"/>
    <x v="1"/>
    <s v="07"/>
    <n v="7"/>
  </r>
  <r>
    <s v="2019S022923"/>
    <x v="164"/>
    <d v="1899-12-30T15:22:00"/>
    <n v="15"/>
    <x v="1"/>
    <s v="GTA. RUBEN DARIO"/>
    <x v="15"/>
    <n v="4.6900000000000004"/>
    <s v="Small"/>
    <x v="1"/>
    <x v="0"/>
    <x v="1"/>
    <s v="Pedestrian"/>
    <x v="6"/>
    <x v="1"/>
    <s v="06"/>
    <n v="6"/>
  </r>
  <r>
    <s v="2019S023412"/>
    <x v="219"/>
    <d v="1899-12-30T21:40:00"/>
    <n v="21"/>
    <x v="1"/>
    <s v="GTA. BILBAO / CALL. FUENCARRAL"/>
    <x v="2"/>
    <n v="5.23"/>
    <s v="Small"/>
    <x v="0"/>
    <x v="1"/>
    <x v="1"/>
    <s v="Driver"/>
    <x v="6"/>
    <x v="0"/>
    <s v="07"/>
    <n v="7"/>
  </r>
  <r>
    <s v="2019S023770"/>
    <x v="45"/>
    <d v="1899-12-30T08:50:00"/>
    <n v="8"/>
    <x v="0"/>
    <s v="PLAZA. ELIPTICA"/>
    <x v="0"/>
    <n v="12.36"/>
    <s v="Small"/>
    <x v="0"/>
    <x v="3"/>
    <x v="1"/>
    <s v="Driver"/>
    <x v="6"/>
    <x v="0"/>
    <s v=""/>
    <s v=""/>
  </r>
  <r>
    <s v="2019S023851"/>
    <x v="220"/>
    <d v="1899-12-30T03:55:00"/>
    <n v="3"/>
    <x v="0"/>
    <s v="CALL. RIOS ROSAS / CALL. PONZANO"/>
    <x v="15"/>
    <n v="4.6900000000000004"/>
    <s v="Small"/>
    <x v="1"/>
    <x v="4"/>
    <x v="1"/>
    <s v="Driver"/>
    <x v="6"/>
    <x v="0"/>
    <s v="07"/>
    <n v="7"/>
  </r>
  <r>
    <s v="2019S024007"/>
    <x v="107"/>
    <d v="1899-12-30T10:40:00"/>
    <n v="10"/>
    <x v="0"/>
    <s v="CALL. BRAVO MURILLO"/>
    <x v="5"/>
    <n v="5.38"/>
    <s v="Small"/>
    <x v="1"/>
    <x v="6"/>
    <x v="1"/>
    <s v="Driver"/>
    <x v="6"/>
    <x v="0"/>
    <s v="14"/>
    <n v="14"/>
  </r>
  <r>
    <s v="2019S024749"/>
    <x v="221"/>
    <d v="1899-12-30T20:15:00"/>
    <n v="20"/>
    <x v="1"/>
    <s v="AVDA. CORDOBA"/>
    <x v="0"/>
    <n v="12.36"/>
    <s v="Small"/>
    <x v="0"/>
    <x v="4"/>
    <x v="1"/>
    <s v="Driver"/>
    <x v="6"/>
    <x v="0"/>
    <s v="01"/>
    <n v="1"/>
  </r>
  <r>
    <s v="2019S024613"/>
    <x v="221"/>
    <d v="1899-12-30T20:00:00"/>
    <n v="20"/>
    <x v="1"/>
    <s v="CALL. VIRGEN DE LA ALEGRIA"/>
    <x v="8"/>
    <n v="11.38"/>
    <s v="Small"/>
    <x v="2"/>
    <x v="1"/>
    <x v="1"/>
    <s v="Driver"/>
    <x v="6"/>
    <x v="0"/>
    <s v="03"/>
    <n v="3"/>
  </r>
  <r>
    <s v="2019S024575"/>
    <x v="221"/>
    <d v="1899-12-30T07:25:00"/>
    <n v="7"/>
    <x v="0"/>
    <s v="AVENIDA DE LA GAVIA-AVENIDA DEL MAYORAZGO"/>
    <x v="6"/>
    <n v="51.92"/>
    <s v="Big"/>
    <x v="0"/>
    <x v="2"/>
    <x v="1"/>
    <s v="Driver"/>
    <x v="6"/>
    <x v="0"/>
    <s v="07"/>
    <n v="7"/>
  </r>
  <r>
    <s v="2019S025093"/>
    <x v="110"/>
    <d v="1899-12-30T20:00:00"/>
    <n v="20"/>
    <x v="1"/>
    <s v="AVDA. MAYORAZGO / CALL. CINCOVILLAS"/>
    <x v="6"/>
    <n v="51.92"/>
    <s v="Big"/>
    <x v="0"/>
    <x v="1"/>
    <x v="1"/>
    <s v="Driver"/>
    <x v="6"/>
    <x v="0"/>
    <s v="07"/>
    <n v="7"/>
  </r>
  <r>
    <s v="2019S024986"/>
    <x v="110"/>
    <d v="1899-12-30T11:15:00"/>
    <n v="11"/>
    <x v="0"/>
    <s v="CALL. PUEBLA / CALL. BARCO"/>
    <x v="2"/>
    <n v="5.23"/>
    <s v="Small"/>
    <x v="0"/>
    <x v="2"/>
    <x v="1"/>
    <s v="Driver"/>
    <x v="6"/>
    <x v="1"/>
    <s v="02"/>
    <n v="2"/>
  </r>
  <r>
    <s v="2019S025143"/>
    <x v="111"/>
    <d v="1899-12-30T07:57:00"/>
    <n v="7"/>
    <x v="0"/>
    <s v="IDB. PARQUE LINEAL DEL MANZANARES"/>
    <x v="17"/>
    <n v="14.89"/>
    <s v="Small"/>
    <x v="0"/>
    <x v="2"/>
    <x v="1"/>
    <s v="Driver"/>
    <x v="6"/>
    <x v="0"/>
    <s v="07"/>
    <n v="7"/>
  </r>
  <r>
    <s v="2019S025348"/>
    <x v="66"/>
    <d v="1899-12-30T09:20:00"/>
    <n v="9"/>
    <x v="0"/>
    <s v="CTRA. RODAJOS"/>
    <x v="9"/>
    <n v="43.05"/>
    <s v="Big"/>
    <x v="0"/>
    <x v="0"/>
    <x v="1"/>
    <s v="Driver"/>
    <x v="6"/>
    <x v="0"/>
    <s v="07"/>
    <n v="7"/>
  </r>
  <r>
    <s v="2019S025527"/>
    <x v="112"/>
    <d v="1899-12-30T09:30:00"/>
    <n v="9"/>
    <x v="0"/>
    <s v="PUERTA PRINCIPAL ZOO"/>
    <x v="9"/>
    <n v="43.05"/>
    <s v="Big"/>
    <x v="0"/>
    <x v="4"/>
    <x v="1"/>
    <s v="Driver"/>
    <x v="6"/>
    <x v="0"/>
    <s v="05"/>
    <n v="5"/>
  </r>
  <r>
    <s v="2019S025762"/>
    <x v="222"/>
    <d v="1899-12-30T10:37:00"/>
    <n v="10"/>
    <x v="0"/>
    <s v="CALL. SERRANO / CALL. MARIA DE MOLINA"/>
    <x v="18"/>
    <n v="5.39"/>
    <s v="Small"/>
    <x v="0"/>
    <x v="2"/>
    <x v="1"/>
    <s v="Driver"/>
    <x v="6"/>
    <x v="1"/>
    <s v="07"/>
    <n v="7"/>
  </r>
  <r>
    <s v="2019S025950"/>
    <x v="170"/>
    <d v="1899-12-30T15:25:00"/>
    <n v="15"/>
    <x v="1"/>
    <s v="CALL. RODRIGUEZ MARIN"/>
    <x v="14"/>
    <n v="9.2100000000000009"/>
    <s v="Small"/>
    <x v="1"/>
    <x v="2"/>
    <x v="1"/>
    <s v="Driver"/>
    <x v="6"/>
    <x v="0"/>
    <s v="05"/>
    <n v="5"/>
  </r>
  <r>
    <s v="2019S025926"/>
    <x v="223"/>
    <d v="1899-12-30T09:30:00"/>
    <n v="9"/>
    <x v="0"/>
    <s v="CRUCE C/ALCALA CON C/ TAMPICO"/>
    <x v="13"/>
    <n v="22.36"/>
    <s v="Big"/>
    <x v="2"/>
    <x v="3"/>
    <x v="1"/>
    <s v="Driver"/>
    <x v="6"/>
    <x v="0"/>
    <s v="07"/>
    <n v="7"/>
  </r>
  <r>
    <s v="2019S026315"/>
    <x v="21"/>
    <d v="1899-12-30T12:45:00"/>
    <n v="12"/>
    <x v="0"/>
    <s v="PASEO. FERNAN NUÑEZ"/>
    <x v="16"/>
    <n v="5.38"/>
    <s v="Small"/>
    <x v="0"/>
    <x v="0"/>
    <x v="1"/>
    <s v="Driver"/>
    <x v="6"/>
    <x v="1"/>
    <s v="07"/>
    <n v="7"/>
  </r>
  <r>
    <s v="2019S026301"/>
    <x v="21"/>
    <d v="1899-12-30T09:40:00"/>
    <n v="9"/>
    <x v="0"/>
    <s v="CALL. MARTINEZ DE LA RIVA / CALL. CACHERO"/>
    <x v="17"/>
    <n v="14.89"/>
    <s v="Small"/>
    <x v="0"/>
    <x v="1"/>
    <x v="1"/>
    <s v="Driver"/>
    <x v="6"/>
    <x v="0"/>
    <s v=""/>
    <s v=""/>
  </r>
  <r>
    <s v="2019S026355"/>
    <x v="224"/>
    <d v="1899-12-30T18:50:00"/>
    <n v="18"/>
    <x v="1"/>
    <s v="CALL. O'DONNELL"/>
    <x v="16"/>
    <n v="5.38"/>
    <s v="Small"/>
    <x v="0"/>
    <x v="4"/>
    <x v="1"/>
    <s v="Driver"/>
    <x v="6"/>
    <x v="1"/>
    <s v="05"/>
    <n v="5"/>
  </r>
  <r>
    <s v="2019S026995"/>
    <x v="4"/>
    <d v="1899-12-30T10:00:00"/>
    <n v="10"/>
    <x v="0"/>
    <s v="PASEO. CASTELLANA"/>
    <x v="14"/>
    <n v="9.2100000000000009"/>
    <s v="Small"/>
    <x v="1"/>
    <x v="2"/>
    <x v="1"/>
    <s v="Driver"/>
    <x v="6"/>
    <x v="1"/>
    <s v=""/>
    <s v=""/>
  </r>
  <r>
    <s v="2019S026886"/>
    <x v="115"/>
    <d v="1899-12-30T19:30:00"/>
    <n v="19"/>
    <x v="1"/>
    <s v="PASEO. RECOLETOS"/>
    <x v="2"/>
    <n v="5.23"/>
    <s v="Small"/>
    <x v="0"/>
    <x v="4"/>
    <x v="1"/>
    <s v="Driver"/>
    <x v="6"/>
    <x v="0"/>
    <s v="01"/>
    <n v="1"/>
  </r>
  <r>
    <s v="2019S027418"/>
    <x v="116"/>
    <d v="1899-12-30T19:05:00"/>
    <n v="19"/>
    <x v="1"/>
    <s v="CALL. SANTA MARIA LA REAL DE NIEVA"/>
    <x v="11"/>
    <n v="6.46"/>
    <s v="Small"/>
    <x v="0"/>
    <x v="2"/>
    <x v="1"/>
    <s v="Driver"/>
    <x v="6"/>
    <x v="0"/>
    <s v="14"/>
    <n v="14"/>
  </r>
  <r>
    <s v="2019S027371"/>
    <x v="116"/>
    <d v="1899-12-30T08:15:00"/>
    <n v="8"/>
    <x v="0"/>
    <s v="AVDA. SUR DEL AEROPUERTO DE BARAJAS / AUTOV. M-22"/>
    <x v="20"/>
    <n v="41.74"/>
    <s v="Big"/>
    <x v="2"/>
    <x v="2"/>
    <x v="1"/>
    <s v="Driver"/>
    <x v="6"/>
    <x v="0"/>
    <s v="02"/>
    <n v="2"/>
  </r>
  <r>
    <s v="2019S027558"/>
    <x v="225"/>
    <d v="1899-12-30T19:45:00"/>
    <n v="19"/>
    <x v="1"/>
    <s v="CMNO. POZO DEL TIO RAIMUNDO"/>
    <x v="6"/>
    <n v="51.92"/>
    <s v="Big"/>
    <x v="0"/>
    <x v="1"/>
    <x v="1"/>
    <s v="Driver"/>
    <x v="6"/>
    <x v="0"/>
    <s v="07"/>
    <n v="7"/>
  </r>
  <r>
    <s v="2019S027511"/>
    <x v="225"/>
    <d v="1899-12-30T09:47:00"/>
    <n v="9"/>
    <x v="0"/>
    <s v="CALL. UNANIMIDAD / CALL. TERTULIA"/>
    <x v="4"/>
    <n v="20.25"/>
    <s v="Big"/>
    <x v="0"/>
    <x v="2"/>
    <x v="1"/>
    <s v="Driver"/>
    <x v="6"/>
    <x v="1"/>
    <s v="07"/>
    <n v="7"/>
  </r>
  <r>
    <s v="2019S027608"/>
    <x v="226"/>
    <d v="1899-12-30T15:50:00"/>
    <n v="15"/>
    <x v="1"/>
    <s v="CALL. VIA LIMITE / CALL. ALCOLEA"/>
    <x v="5"/>
    <n v="5.38"/>
    <s v="Small"/>
    <x v="1"/>
    <x v="3"/>
    <x v="1"/>
    <s v="Driver"/>
    <x v="6"/>
    <x v="0"/>
    <s v="02"/>
    <n v="2"/>
  </r>
  <r>
    <s v="2019S027568"/>
    <x v="226"/>
    <d v="1899-12-30T03:01:00"/>
    <n v="3"/>
    <x v="0"/>
    <s v="CALL. SEGOVIA"/>
    <x v="11"/>
    <n v="6.46"/>
    <s v="Small"/>
    <x v="0"/>
    <x v="4"/>
    <x v="1"/>
    <s v="Driver"/>
    <x v="6"/>
    <x v="1"/>
    <s v="05"/>
    <n v="5"/>
  </r>
  <r>
    <s v="2019S027795"/>
    <x v="70"/>
    <d v="1899-12-30T22:00:00"/>
    <n v="22"/>
    <x v="1"/>
    <s v="CALL. CONCEJAL FRANCISCO JOSE JIMENEZ MARTIN"/>
    <x v="3"/>
    <n v="25.41"/>
    <s v="Big"/>
    <x v="0"/>
    <x v="4"/>
    <x v="1"/>
    <s v="Driver"/>
    <x v="6"/>
    <x v="0"/>
    <s v="03"/>
    <n v="3"/>
  </r>
  <r>
    <s v="2019S028132"/>
    <x v="227"/>
    <d v="1899-12-30T12:15:00"/>
    <n v="12"/>
    <x v="0"/>
    <s v="CALL. ISABEL COLBRAND / CALL. PALAS DE REY"/>
    <x v="10"/>
    <n v="237.81"/>
    <s v="Big"/>
    <x v="1"/>
    <x v="2"/>
    <x v="1"/>
    <s v="Driver"/>
    <x v="6"/>
    <x v="0"/>
    <s v="07"/>
    <n v="7"/>
  </r>
  <r>
    <s v="2019S028337"/>
    <x v="228"/>
    <d v="1899-12-30T13:05:00"/>
    <n v="13"/>
    <x v="0"/>
    <s v="CALLE ALCALA 149"/>
    <x v="18"/>
    <n v="5.39"/>
    <s v="Small"/>
    <x v="0"/>
    <x v="1"/>
    <x v="1"/>
    <s v="Driver"/>
    <x v="6"/>
    <x v="0"/>
    <s v=""/>
    <s v=""/>
  </r>
  <r>
    <s v="2019S028541"/>
    <x v="229"/>
    <d v="1899-12-30T18:35:00"/>
    <n v="18"/>
    <x v="1"/>
    <s v="CALL. VELAZQUEZ"/>
    <x v="18"/>
    <n v="5.39"/>
    <s v="Small"/>
    <x v="0"/>
    <x v="1"/>
    <x v="1"/>
    <s v="Driver"/>
    <x v="6"/>
    <x v="1"/>
    <s v="07"/>
    <n v="7"/>
  </r>
  <r>
    <s v="2019S028640"/>
    <x v="230"/>
    <d v="1899-12-30T21:40:00"/>
    <n v="21"/>
    <x v="1"/>
    <s v="CMNO. ROBLEDAL"/>
    <x v="9"/>
    <n v="43.05"/>
    <s v="Big"/>
    <x v="0"/>
    <x v="2"/>
    <x v="1"/>
    <s v="Driver"/>
    <x v="6"/>
    <x v="0"/>
    <s v="14"/>
    <n v="14"/>
  </r>
  <r>
    <s v="2019S029079"/>
    <x v="5"/>
    <d v="1899-12-30T22:45:00"/>
    <n v="22"/>
    <x v="1"/>
    <s v="CALL. LUCHANA"/>
    <x v="15"/>
    <n v="4.6900000000000004"/>
    <s v="Small"/>
    <x v="1"/>
    <x v="4"/>
    <x v="1"/>
    <s v="Driver"/>
    <x v="6"/>
    <x v="0"/>
    <s v="14"/>
    <n v="14"/>
  </r>
  <r>
    <s v="2019S029561"/>
    <x v="118"/>
    <d v="1899-12-30T16:45:00"/>
    <n v="16"/>
    <x v="1"/>
    <s v="CALL. MARQUES DE CUBAS"/>
    <x v="2"/>
    <n v="5.23"/>
    <s v="Small"/>
    <x v="0"/>
    <x v="6"/>
    <x v="1"/>
    <s v="Driver"/>
    <x v="6"/>
    <x v="0"/>
    <s v="02"/>
    <n v="2"/>
  </r>
  <r>
    <s v="2019S029485"/>
    <x v="184"/>
    <d v="1899-12-30T18:30:00"/>
    <n v="18"/>
    <x v="1"/>
    <s v="CALL. GENERAL ORAA / CALL. GENERAL PARDIÑAS"/>
    <x v="18"/>
    <n v="5.39"/>
    <s v="Small"/>
    <x v="0"/>
    <x v="4"/>
    <x v="1"/>
    <s v="Driver"/>
    <x v="6"/>
    <x v="1"/>
    <s v="06"/>
    <n v="6"/>
  </r>
  <r>
    <s v="2019S030118"/>
    <x v="231"/>
    <d v="1899-12-30T11:00:00"/>
    <n v="11"/>
    <x v="0"/>
    <s v="CALL. CARRION DE LOS CONDES"/>
    <x v="7"/>
    <n v="27.41"/>
    <s v="Big"/>
    <x v="0"/>
    <x v="0"/>
    <x v="1"/>
    <s v="Driver"/>
    <x v="6"/>
    <x v="0"/>
    <s v="14"/>
    <n v="14"/>
  </r>
  <r>
    <s v="2019S030424"/>
    <x v="119"/>
    <d v="1899-12-30T16:19:00"/>
    <n v="16"/>
    <x v="1"/>
    <s v="CALL. LUCHANA"/>
    <x v="15"/>
    <n v="4.6900000000000004"/>
    <s v="Small"/>
    <x v="1"/>
    <x v="4"/>
    <x v="3"/>
    <s v="Driver"/>
    <x v="6"/>
    <x v="0"/>
    <s v="07"/>
    <n v="7"/>
  </r>
  <r>
    <s v="2019S030534"/>
    <x v="24"/>
    <d v="1899-12-30T21:45:00"/>
    <n v="21"/>
    <x v="1"/>
    <s v="PTA. TOLEDO / AVDA. GRAN VIA DE SAN FRANCISCO"/>
    <x v="2"/>
    <n v="5.23"/>
    <s v="Small"/>
    <x v="0"/>
    <x v="4"/>
    <x v="1"/>
    <s v="Driver"/>
    <x v="6"/>
    <x v="0"/>
    <s v="01"/>
    <n v="1"/>
  </r>
  <r>
    <s v="2019S030957"/>
    <x v="232"/>
    <d v="1899-12-30T12:00:00"/>
    <n v="12"/>
    <x v="0"/>
    <s v="CALL. SAGASTA / CALL. MEJIA LEQUERICA"/>
    <x v="2"/>
    <n v="5.23"/>
    <s v="Small"/>
    <x v="0"/>
    <x v="3"/>
    <x v="1"/>
    <s v="Driver"/>
    <x v="6"/>
    <x v="0"/>
    <s v="02"/>
    <n v="2"/>
  </r>
  <r>
    <s v="2019S031115"/>
    <x v="75"/>
    <d v="1899-12-30T18:31:00"/>
    <n v="18"/>
    <x v="1"/>
    <s v="ENTRE FAROLAS Nº 6 Y 7"/>
    <x v="9"/>
    <n v="43.05"/>
    <s v="Big"/>
    <x v="0"/>
    <x v="4"/>
    <x v="1"/>
    <s v="Driver"/>
    <x v="6"/>
    <x v="0"/>
    <s v="01"/>
    <n v="1"/>
  </r>
  <r>
    <s v="2019S031114"/>
    <x v="75"/>
    <d v="1899-12-30T17:35:00"/>
    <n v="17"/>
    <x v="1"/>
    <s v="PLAZA. PUERTA DEL SOL"/>
    <x v="2"/>
    <n v="5.23"/>
    <s v="Small"/>
    <x v="0"/>
    <x v="0"/>
    <x v="1"/>
    <s v="Driver"/>
    <x v="6"/>
    <x v="0"/>
    <s v="14"/>
    <n v="14"/>
  </r>
  <r>
    <s v="2019S031329"/>
    <x v="25"/>
    <d v="1899-12-30T12:50:00"/>
    <n v="12"/>
    <x v="0"/>
    <s v="PASEO. BAJO DE LA VIRGEN DEL PUERTO / FRENTE JARDINES DEL MORO"/>
    <x v="2"/>
    <n v="5.23"/>
    <s v="Small"/>
    <x v="0"/>
    <x v="7"/>
    <x v="1"/>
    <s v="Driver"/>
    <x v="6"/>
    <x v="0"/>
    <s v="02"/>
    <n v="2"/>
  </r>
  <r>
    <s v="2019S032000"/>
    <x v="189"/>
    <d v="1899-12-30T14:40:00"/>
    <n v="14"/>
    <x v="0"/>
    <s v="CALL. ANTONIO DE LEYVA / PLAZA. ELIPTICA"/>
    <x v="1"/>
    <n v="14.91"/>
    <s v="Small"/>
    <x v="0"/>
    <x v="2"/>
    <x v="1"/>
    <s v="Driver"/>
    <x v="6"/>
    <x v="0"/>
    <s v="06"/>
    <n v="6"/>
  </r>
  <r>
    <s v="2019S031647"/>
    <x v="189"/>
    <d v="1899-12-30T13:20:00"/>
    <n v="13"/>
    <x v="0"/>
    <s v="CMNO. ROBLEDAL"/>
    <x v="9"/>
    <n v="43.05"/>
    <s v="Big"/>
    <x v="0"/>
    <x v="3"/>
    <x v="1"/>
    <s v="Driver"/>
    <x v="6"/>
    <x v="1"/>
    <s v="14"/>
    <n v="14"/>
  </r>
  <r>
    <s v="2019S031532"/>
    <x v="125"/>
    <d v="1899-12-30T06:10:00"/>
    <n v="6"/>
    <x v="0"/>
    <s v="CALLE GRAN VIA 72"/>
    <x v="2"/>
    <n v="5.23"/>
    <s v="Small"/>
    <x v="0"/>
    <x v="4"/>
    <x v="1"/>
    <s v="Driver"/>
    <x v="6"/>
    <x v="0"/>
    <s v="01"/>
    <n v="1"/>
  </r>
  <r>
    <s v="2019S031696"/>
    <x v="50"/>
    <d v="1899-12-30T15:30:00"/>
    <n v="15"/>
    <x v="1"/>
    <s v="CALL. DONOSO CORTES / CALL. ANDRES MELLADO"/>
    <x v="15"/>
    <n v="4.6900000000000004"/>
    <s v="Small"/>
    <x v="1"/>
    <x v="4"/>
    <x v="4"/>
    <s v="Driver"/>
    <x v="6"/>
    <x v="1"/>
    <s v=""/>
    <s v=""/>
  </r>
  <r>
    <s v="2019S031567"/>
    <x v="50"/>
    <d v="1899-12-30T10:00:00"/>
    <n v="10"/>
    <x v="0"/>
    <s v="PASEO. CASTELLANA"/>
    <x v="14"/>
    <n v="9.2100000000000009"/>
    <s v="Small"/>
    <x v="1"/>
    <x v="3"/>
    <x v="1"/>
    <s v="Driver"/>
    <x v="6"/>
    <x v="0"/>
    <s v="01"/>
    <n v="1"/>
  </r>
  <r>
    <s v="2019S031932"/>
    <x v="190"/>
    <d v="1899-12-30T21:15:00"/>
    <n v="21"/>
    <x v="1"/>
    <s v="GTA. EMILIO CASTELAR / CALL. GENERAL ORAA"/>
    <x v="18"/>
    <n v="5.39"/>
    <s v="Small"/>
    <x v="0"/>
    <x v="2"/>
    <x v="1"/>
    <s v="Driver"/>
    <x v="6"/>
    <x v="1"/>
    <s v="02"/>
    <n v="2"/>
  </r>
  <r>
    <s v="2019S031798"/>
    <x v="190"/>
    <d v="1899-12-30T19:00:00"/>
    <n v="19"/>
    <x v="1"/>
    <s v="CALL. EMBAJADORES"/>
    <x v="11"/>
    <n v="6.46"/>
    <s v="Small"/>
    <x v="0"/>
    <x v="3"/>
    <x v="1"/>
    <s v="Driver"/>
    <x v="6"/>
    <x v="0"/>
    <s v="14"/>
    <n v="14"/>
  </r>
  <r>
    <s v="2019S031852"/>
    <x v="76"/>
    <d v="1899-12-30T09:30:00"/>
    <n v="9"/>
    <x v="0"/>
    <s v="CALL. CAMINO DE LOS VINATEROS"/>
    <x v="12"/>
    <n v="6.34"/>
    <s v="Small"/>
    <x v="2"/>
    <x v="2"/>
    <x v="1"/>
    <s v="Driver"/>
    <x v="6"/>
    <x v="1"/>
    <s v="02"/>
    <n v="2"/>
  </r>
  <r>
    <s v="2019S032108"/>
    <x v="126"/>
    <d v="1899-12-30T09:30:00"/>
    <n v="9"/>
    <x v="0"/>
    <s v="CALL. ALCALA / PLAZA. CIBELES"/>
    <x v="16"/>
    <n v="5.38"/>
    <s v="Small"/>
    <x v="0"/>
    <x v="5"/>
    <x v="1"/>
    <s v="Driver"/>
    <x v="6"/>
    <x v="0"/>
    <s v="07"/>
    <n v="7"/>
  </r>
  <r>
    <s v="2019S032125"/>
    <x v="233"/>
    <d v="1899-12-30T01:45:00"/>
    <n v="1"/>
    <x v="0"/>
    <s v="GTA. SANTA MARIA DE LA CABEZA / GTA. SANTA MARIA DE LA CABEZA"/>
    <x v="11"/>
    <n v="6.46"/>
    <s v="Small"/>
    <x v="0"/>
    <x v="0"/>
    <x v="1"/>
    <s v="Driver"/>
    <x v="6"/>
    <x v="0"/>
    <s v="14"/>
    <n v="14"/>
  </r>
  <r>
    <s v="2019S033299"/>
    <x v="79"/>
    <d v="1899-12-30T15:30:00"/>
    <n v="15"/>
    <x v="1"/>
    <s v="CALL. EVANGELIOS"/>
    <x v="0"/>
    <n v="12.36"/>
    <s v="Small"/>
    <x v="0"/>
    <x v="4"/>
    <x v="4"/>
    <s v="Driver"/>
    <x v="6"/>
    <x v="0"/>
    <s v=""/>
    <s v=""/>
  </r>
  <r>
    <s v="2019S033921"/>
    <x v="234"/>
    <d v="1899-12-30T08:41:00"/>
    <n v="8"/>
    <x v="0"/>
    <s v="CALL. PRINCESA"/>
    <x v="9"/>
    <n v="43.05"/>
    <s v="Big"/>
    <x v="0"/>
    <x v="4"/>
    <x v="1"/>
    <s v="Driver"/>
    <x v="6"/>
    <x v="0"/>
    <s v="07"/>
    <n v="7"/>
  </r>
  <r>
    <s v="2019S033669"/>
    <x v="235"/>
    <d v="1899-12-30T20:00:00"/>
    <n v="20"/>
    <x v="1"/>
    <s v="CALL. BRAVO MURILLO"/>
    <x v="5"/>
    <n v="5.38"/>
    <s v="Small"/>
    <x v="1"/>
    <x v="1"/>
    <x v="3"/>
    <s v="Driver"/>
    <x v="6"/>
    <x v="1"/>
    <s v="01"/>
    <n v="1"/>
  </r>
  <r>
    <s v="2019S033987"/>
    <x v="193"/>
    <d v="1899-12-30T04:30:00"/>
    <n v="4"/>
    <x v="0"/>
    <s v="CALL. ELOY GONZALO"/>
    <x v="15"/>
    <n v="4.6900000000000004"/>
    <s v="Small"/>
    <x v="1"/>
    <x v="4"/>
    <x v="1"/>
    <s v="Driver"/>
    <x v="6"/>
    <x v="0"/>
    <s v="02"/>
    <n v="2"/>
  </r>
  <r>
    <s v="2019S034011"/>
    <x v="193"/>
    <d v="1899-12-30T01:42:00"/>
    <n v="1"/>
    <x v="0"/>
    <s v="AVDA. CIUDAD DE BARCELONA / CALL. DOCTOR ESQUERDO"/>
    <x v="16"/>
    <n v="5.38"/>
    <s v="Small"/>
    <x v="0"/>
    <x v="4"/>
    <x v="1"/>
    <s v="Driver"/>
    <x v="6"/>
    <x v="0"/>
    <s v="01"/>
    <n v="1"/>
  </r>
  <r>
    <s v="2019S034858"/>
    <x v="236"/>
    <d v="1899-12-30T17:02:00"/>
    <n v="17"/>
    <x v="1"/>
    <s v="CALL. JOAQUIN COSTA"/>
    <x v="14"/>
    <n v="9.2100000000000009"/>
    <s v="Small"/>
    <x v="1"/>
    <x v="4"/>
    <x v="1"/>
    <s v="Driver"/>
    <x v="6"/>
    <x v="1"/>
    <s v="07"/>
    <n v="7"/>
  </r>
  <r>
    <s v="2019S035655"/>
    <x v="132"/>
    <d v="1899-12-30T13:25:00"/>
    <n v="13"/>
    <x v="0"/>
    <s v="PASEO. CHOPERA / PLAZA. GENERAL MAROTO"/>
    <x v="11"/>
    <n v="6.46"/>
    <s v="Small"/>
    <x v="0"/>
    <x v="4"/>
    <x v="1"/>
    <s v="Pedestrian"/>
    <x v="6"/>
    <x v="0"/>
    <s v="14"/>
    <n v="14"/>
  </r>
  <r>
    <s v="2019S035527"/>
    <x v="132"/>
    <d v="1899-12-30T00:41:00"/>
    <n v="0"/>
    <x v="0"/>
    <s v="RONDA. SEGOVIA"/>
    <x v="2"/>
    <n v="5.23"/>
    <s v="Small"/>
    <x v="0"/>
    <x v="5"/>
    <x v="3"/>
    <s v="Driver"/>
    <x v="6"/>
    <x v="0"/>
    <s v="01"/>
    <n v="1"/>
  </r>
  <r>
    <s v="2019S035767"/>
    <x v="198"/>
    <d v="1899-12-30T15:00:00"/>
    <n v="15"/>
    <x v="1"/>
    <s v="CALL. SERRANO"/>
    <x v="14"/>
    <n v="9.2100000000000009"/>
    <s v="Small"/>
    <x v="1"/>
    <x v="4"/>
    <x v="1"/>
    <s v="Driver"/>
    <x v="6"/>
    <x v="0"/>
    <s v="07"/>
    <n v="7"/>
  </r>
  <r>
    <s v="2019S036407"/>
    <x v="200"/>
    <d v="1899-12-30T17:25:00"/>
    <n v="17"/>
    <x v="1"/>
    <s v="AVDA. SECUNDINO ZUAZO / CALL. MARIA DE LAS MERCEDES DE BORBON"/>
    <x v="7"/>
    <n v="27.41"/>
    <s v="Big"/>
    <x v="0"/>
    <x v="4"/>
    <x v="1"/>
    <s v="Driver"/>
    <x v="6"/>
    <x v="1"/>
    <s v="07"/>
    <n v="7"/>
  </r>
  <r>
    <s v="2019S036327"/>
    <x v="201"/>
    <d v="1899-12-30T05:55:00"/>
    <n v="5"/>
    <x v="0"/>
    <s v="CALL. GRAN VIA"/>
    <x v="2"/>
    <n v="5.23"/>
    <s v="Small"/>
    <x v="0"/>
    <x v="2"/>
    <x v="3"/>
    <s v="Driver"/>
    <x v="6"/>
    <x v="0"/>
    <s v="02"/>
    <n v="2"/>
  </r>
  <r>
    <s v="2019S037662"/>
    <x v="205"/>
    <d v="1899-12-30T21:30:00"/>
    <n v="21"/>
    <x v="1"/>
    <s v="AVDA. CIUDAD DE BARCELONA / CALL. ARREGUI Y ARUEJ"/>
    <x v="16"/>
    <n v="5.38"/>
    <s v="Small"/>
    <x v="0"/>
    <x v="2"/>
    <x v="0"/>
    <s v="Driver"/>
    <x v="6"/>
    <x v="0"/>
    <s v="07"/>
    <n v="7"/>
  </r>
  <r>
    <s v="2019S037683"/>
    <x v="205"/>
    <d v="1899-12-30T20:15:00"/>
    <n v="20"/>
    <x v="1"/>
    <s v="CALL. RIOS ROSAS"/>
    <x v="15"/>
    <n v="4.6900000000000004"/>
    <s v="Small"/>
    <x v="1"/>
    <x v="3"/>
    <x v="1"/>
    <s v="Driver"/>
    <x v="6"/>
    <x v="0"/>
    <s v=""/>
    <s v=""/>
  </r>
  <r>
    <s v="2019S038013"/>
    <x v="237"/>
    <d v="1899-12-30T19:50:00"/>
    <n v="19"/>
    <x v="1"/>
    <s v="CALL. BRAVO MURILLO / CALL. SAN GERMAN"/>
    <x v="5"/>
    <n v="5.38"/>
    <s v="Small"/>
    <x v="1"/>
    <x v="2"/>
    <x v="3"/>
    <s v="Driver"/>
    <x v="6"/>
    <x v="0"/>
    <s v=""/>
    <s v=""/>
  </r>
  <r>
    <s v="2019S038296"/>
    <x v="238"/>
    <d v="1899-12-30T05:15:00"/>
    <n v="5"/>
    <x v="0"/>
    <s v="CALL. SERRANO"/>
    <x v="14"/>
    <n v="9.2100000000000009"/>
    <s v="Small"/>
    <x v="1"/>
    <x v="4"/>
    <x v="1"/>
    <s v="Driver"/>
    <x v="6"/>
    <x v="0"/>
    <s v="01"/>
    <n v="1"/>
  </r>
  <r>
    <s v="2019S038482"/>
    <x v="239"/>
    <d v="1899-12-30T00:10:00"/>
    <n v="0"/>
    <x v="0"/>
    <s v="PASEO. CASTELLANA"/>
    <x v="14"/>
    <n v="9.2100000000000009"/>
    <s v="Small"/>
    <x v="1"/>
    <x v="4"/>
    <x v="1"/>
    <s v="Driver"/>
    <x v="6"/>
    <x v="0"/>
    <s v="07"/>
    <n v="7"/>
  </r>
  <r>
    <s v="2019S038736"/>
    <x v="207"/>
    <d v="1899-12-30T18:15:00"/>
    <n v="18"/>
    <x v="1"/>
    <s v="AVDA. CANILLEJAS A VICALVARO / CALL. JULIAN CAMARILLO"/>
    <x v="13"/>
    <n v="22.36"/>
    <s v="Big"/>
    <x v="2"/>
    <x v="2"/>
    <x v="0"/>
    <s v="Driver"/>
    <x v="6"/>
    <x v="0"/>
    <s v="06"/>
    <n v="6"/>
  </r>
  <r>
    <s v="2019S039890"/>
    <x v="9"/>
    <d v="1899-12-30T18:30:00"/>
    <n v="18"/>
    <x v="1"/>
    <s v="CALL. ALEJANDRO SANCHEZ"/>
    <x v="1"/>
    <n v="14.91"/>
    <s v="Small"/>
    <x v="0"/>
    <x v="0"/>
    <x v="2"/>
    <s v="Driver"/>
    <x v="6"/>
    <x v="0"/>
    <s v="14"/>
    <n v="14"/>
  </r>
  <r>
    <s v="2019S039705"/>
    <x v="84"/>
    <d v="1899-12-30T18:35:00"/>
    <n v="18"/>
    <x v="1"/>
    <s v="CALL. CORREGIDOR SEÑOR DE LA ELIPA / CALL. CAMINO DE LOS VINATEROS"/>
    <x v="12"/>
    <n v="6.34"/>
    <s v="Small"/>
    <x v="2"/>
    <x v="2"/>
    <x v="1"/>
    <s v="Driver"/>
    <x v="6"/>
    <x v="0"/>
    <s v="07"/>
    <n v="7"/>
  </r>
  <r>
    <s v="2019S002373"/>
    <x v="140"/>
    <d v="1899-12-30T20:55:00"/>
    <n v="20"/>
    <x v="1"/>
    <s v="CALL. PUERTO DE LA CRUZ VERDE"/>
    <x v="11"/>
    <n v="6.46"/>
    <s v="Small"/>
    <x v="0"/>
    <x v="0"/>
    <x v="1"/>
    <s v="Pedestrian"/>
    <x v="7"/>
    <x v="0"/>
    <s v="07"/>
    <n v="7"/>
  </r>
  <r>
    <s v="2019S003306"/>
    <x v="240"/>
    <d v="1899-12-30T09:00:00"/>
    <n v="9"/>
    <x v="0"/>
    <s v="AVDA. DAROCA / CALL. NICOLAS SALMERON"/>
    <x v="8"/>
    <n v="11.38"/>
    <s v="Small"/>
    <x v="2"/>
    <x v="2"/>
    <x v="1"/>
    <s v="Driver"/>
    <x v="7"/>
    <x v="0"/>
    <s v="06"/>
    <n v="6"/>
  </r>
  <r>
    <s v="2019S005992"/>
    <x v="85"/>
    <d v="1899-12-30T09:12:00"/>
    <n v="9"/>
    <x v="0"/>
    <s v="CALLE ALFONSO XI , CALLE ALCALA"/>
    <x v="16"/>
    <n v="5.38"/>
    <s v="Small"/>
    <x v="0"/>
    <x v="2"/>
    <x v="1"/>
    <s v="Driver"/>
    <x v="7"/>
    <x v="0"/>
    <s v="07"/>
    <n v="7"/>
  </r>
  <r>
    <s v="2019S007855"/>
    <x v="86"/>
    <d v="1899-12-30T13:30:00"/>
    <n v="13"/>
    <x v="0"/>
    <s v="CALL. DOCTOR ESQUERDO / CALL. DOCTOR ESQUERDO"/>
    <x v="16"/>
    <n v="5.38"/>
    <s v="Small"/>
    <x v="0"/>
    <x v="1"/>
    <x v="1"/>
    <s v="Driver"/>
    <x v="7"/>
    <x v="1"/>
    <s v="07"/>
    <n v="7"/>
  </r>
  <r>
    <s v="2019S007753"/>
    <x v="241"/>
    <d v="1899-12-30T00:03:00"/>
    <n v="0"/>
    <x v="0"/>
    <s v="CALL. MARIA DE MOLINA"/>
    <x v="18"/>
    <n v="5.39"/>
    <s v="Small"/>
    <x v="0"/>
    <x v="4"/>
    <x v="1"/>
    <s v="Driver"/>
    <x v="7"/>
    <x v="0"/>
    <s v="02"/>
    <n v="2"/>
  </r>
  <r>
    <s v="2019S009150"/>
    <x v="31"/>
    <d v="1899-12-30T16:40:00"/>
    <n v="16"/>
    <x v="1"/>
    <s v="CALL. GRAN VIA / CALL. ALCALA"/>
    <x v="2"/>
    <n v="5.23"/>
    <s v="Small"/>
    <x v="0"/>
    <x v="4"/>
    <x v="1"/>
    <s v="Driver"/>
    <x v="7"/>
    <x v="0"/>
    <s v="05"/>
    <n v="5"/>
  </r>
  <r>
    <s v="2019S009106"/>
    <x v="213"/>
    <d v="1899-12-30T18:50:00"/>
    <n v="18"/>
    <x v="1"/>
    <s v="CALL. PRINCIPE DE VERGARA / GTA. LOPEZ DE HOYOS"/>
    <x v="14"/>
    <n v="9.2100000000000009"/>
    <s v="Small"/>
    <x v="1"/>
    <x v="4"/>
    <x v="1"/>
    <s v="Driver"/>
    <x v="7"/>
    <x v="1"/>
    <s v="06"/>
    <n v="6"/>
  </r>
  <r>
    <s v="2019S009001"/>
    <x v="213"/>
    <d v="1899-12-30T09:15:00"/>
    <n v="9"/>
    <x v="0"/>
    <s v="CALL. PRADILLO"/>
    <x v="14"/>
    <n v="9.2100000000000009"/>
    <s v="Small"/>
    <x v="1"/>
    <x v="6"/>
    <x v="1"/>
    <s v="Driver"/>
    <x v="7"/>
    <x v="0"/>
    <s v="07"/>
    <n v="7"/>
  </r>
  <r>
    <s v="2019S009957"/>
    <x v="147"/>
    <d v="1899-12-30T16:13:00"/>
    <n v="16"/>
    <x v="1"/>
    <s v="CALL. SERRANO"/>
    <x v="14"/>
    <n v="9.2100000000000009"/>
    <s v="Small"/>
    <x v="1"/>
    <x v="1"/>
    <x v="1"/>
    <s v="Driver"/>
    <x v="7"/>
    <x v="0"/>
    <s v="07"/>
    <n v="7"/>
  </r>
  <r>
    <s v="2019S010716"/>
    <x v="89"/>
    <d v="1899-12-30T18:00:00"/>
    <n v="18"/>
    <x v="1"/>
    <s v="AVDA. MENENDEZ PELAYO"/>
    <x v="16"/>
    <n v="5.38"/>
    <s v="Small"/>
    <x v="0"/>
    <x v="4"/>
    <x v="1"/>
    <s v="Driver"/>
    <x v="7"/>
    <x v="1"/>
    <s v=""/>
    <s v=""/>
  </r>
  <r>
    <s v="2019S011335"/>
    <x v="242"/>
    <d v="1899-12-30T17:10:00"/>
    <n v="17"/>
    <x v="1"/>
    <s v="PASEO. CHOPERA"/>
    <x v="11"/>
    <n v="6.46"/>
    <s v="Small"/>
    <x v="0"/>
    <x v="4"/>
    <x v="1"/>
    <s v="Driver"/>
    <x v="7"/>
    <x v="1"/>
    <s v="02"/>
    <n v="2"/>
  </r>
  <r>
    <s v="2019S011089"/>
    <x v="242"/>
    <d v="1899-12-30T14:05:00"/>
    <n v="14"/>
    <x v="0"/>
    <s v="RONDA DE VALENCIA CON GLORIETA DE EMBAJADORES"/>
    <x v="2"/>
    <n v="5.23"/>
    <s v="Small"/>
    <x v="0"/>
    <x v="3"/>
    <x v="1"/>
    <s v="Driver"/>
    <x v="7"/>
    <x v="0"/>
    <s v=""/>
    <s v=""/>
  </r>
  <r>
    <s v="2019S011128"/>
    <x v="243"/>
    <d v="1899-12-30T09:00:00"/>
    <n v="9"/>
    <x v="0"/>
    <s v="AVDA. POBLADOS / CALL. ANTONIO ROMERO"/>
    <x v="1"/>
    <n v="14.91"/>
    <s v="Small"/>
    <x v="0"/>
    <x v="1"/>
    <x v="1"/>
    <s v="Driver"/>
    <x v="7"/>
    <x v="0"/>
    <s v="03"/>
    <n v="3"/>
  </r>
  <r>
    <s v="2019S014125"/>
    <x v="149"/>
    <d v="1899-12-30T14:50:00"/>
    <n v="14"/>
    <x v="0"/>
    <s v="CALL. RAIMUNDO FERNANDEZ VILLAVERDE / PASEO. CASTELLANA"/>
    <x v="5"/>
    <n v="5.38"/>
    <s v="Small"/>
    <x v="1"/>
    <x v="4"/>
    <x v="1"/>
    <s v="Driver"/>
    <x v="7"/>
    <x v="1"/>
    <s v="07"/>
    <n v="7"/>
  </r>
  <r>
    <s v="2019S014327"/>
    <x v="244"/>
    <d v="1899-12-30T16:15:00"/>
    <n v="16"/>
    <x v="1"/>
    <s v="CALL. TRESPADERNE / AVDA. SUR DEL AEROPUERTO DE BARAJAS"/>
    <x v="20"/>
    <n v="41.74"/>
    <s v="Big"/>
    <x v="2"/>
    <x v="2"/>
    <x v="1"/>
    <s v="Driver"/>
    <x v="7"/>
    <x v="0"/>
    <s v="07"/>
    <n v="7"/>
  </r>
  <r>
    <s v="2019S015623"/>
    <x v="245"/>
    <d v="1899-12-30T09:30:00"/>
    <n v="9"/>
    <x v="0"/>
    <s v="PLAZA. CARDENAL CISNEROS / AVDA. COMPLUTENSE"/>
    <x v="6"/>
    <n v="51.92"/>
    <s v="Big"/>
    <x v="0"/>
    <x v="4"/>
    <x v="5"/>
    <s v="Driver"/>
    <x v="7"/>
    <x v="0"/>
    <s v="07"/>
    <n v="7"/>
  </r>
  <r>
    <s v="2019S015475"/>
    <x v="150"/>
    <d v="1899-12-30T21:30:00"/>
    <n v="21"/>
    <x v="1"/>
    <s v="PLAZA. ESPAÑA / CALL. BAILEN"/>
    <x v="2"/>
    <n v="5.23"/>
    <s v="Small"/>
    <x v="0"/>
    <x v="1"/>
    <x v="4"/>
    <s v="Driver"/>
    <x v="7"/>
    <x v="1"/>
    <s v=""/>
    <s v=""/>
  </r>
  <r>
    <s v="2019S015481"/>
    <x v="150"/>
    <d v="1899-12-30T21:00:00"/>
    <n v="21"/>
    <x v="1"/>
    <s v="CALL. ALCALDE SAINZ DE BARANDA / AUTOV. M-30"/>
    <x v="18"/>
    <n v="5.39"/>
    <s v="Small"/>
    <x v="0"/>
    <x v="4"/>
    <x v="1"/>
    <s v="Driver"/>
    <x v="7"/>
    <x v="1"/>
    <s v="02"/>
    <n v="2"/>
  </r>
  <r>
    <s v="2019S015559"/>
    <x v="246"/>
    <d v="1899-12-30T09:10:00"/>
    <n v="9"/>
    <x v="0"/>
    <s v="CALLE JORGE MANRIQUE - CALLE SERRANO"/>
    <x v="14"/>
    <n v="9.2100000000000009"/>
    <s v="Small"/>
    <x v="1"/>
    <x v="1"/>
    <x v="1"/>
    <s v="Driver"/>
    <x v="7"/>
    <x v="0"/>
    <s v="01"/>
    <n v="1"/>
  </r>
  <r>
    <s v="2019S016549"/>
    <x v="152"/>
    <d v="1899-12-30T10:30:00"/>
    <n v="10"/>
    <x v="0"/>
    <s v="PASEO. ERMITA DEL SANTO / GTA. PUENTE DE SEGOVIA"/>
    <x v="14"/>
    <n v="9.2100000000000009"/>
    <s v="Small"/>
    <x v="1"/>
    <x v="0"/>
    <x v="1"/>
    <s v="Driver"/>
    <x v="7"/>
    <x v="0"/>
    <s v="14"/>
    <n v="14"/>
  </r>
  <r>
    <s v="2019S016752"/>
    <x v="153"/>
    <d v="1899-12-30T14:15:00"/>
    <n v="14"/>
    <x v="0"/>
    <s v="CALL. ATOCHA"/>
    <x v="2"/>
    <n v="5.23"/>
    <s v="Small"/>
    <x v="0"/>
    <x v="0"/>
    <x v="1"/>
    <s v="Driver"/>
    <x v="7"/>
    <x v="1"/>
    <s v="14"/>
    <n v="14"/>
  </r>
  <r>
    <s v="2019S017287"/>
    <x v="154"/>
    <d v="1899-12-30T12:30:00"/>
    <n v="12"/>
    <x v="0"/>
    <s v="CALL. RETAMA / CALL. ACANTO"/>
    <x v="11"/>
    <n v="6.46"/>
    <s v="Small"/>
    <x v="0"/>
    <x v="2"/>
    <x v="1"/>
    <s v="Driver"/>
    <x v="7"/>
    <x v="1"/>
    <s v="07"/>
    <n v="7"/>
  </r>
  <r>
    <s v="2019S017272"/>
    <x v="247"/>
    <d v="1899-12-30T13:20:00"/>
    <n v="13"/>
    <x v="0"/>
    <s v="PLAZA. CIBELES / CALL. ALCALA"/>
    <x v="2"/>
    <n v="5.23"/>
    <s v="Small"/>
    <x v="0"/>
    <x v="4"/>
    <x v="1"/>
    <s v="Driver"/>
    <x v="7"/>
    <x v="0"/>
    <s v="07"/>
    <n v="7"/>
  </r>
  <r>
    <s v="2019S017434"/>
    <x v="155"/>
    <d v="1899-12-30T13:10:00"/>
    <n v="13"/>
    <x v="0"/>
    <s v="CALL. ARROYO FONTARRON"/>
    <x v="12"/>
    <n v="6.34"/>
    <s v="Small"/>
    <x v="2"/>
    <x v="4"/>
    <x v="1"/>
    <s v="Driver"/>
    <x v="7"/>
    <x v="0"/>
    <s v="07"/>
    <n v="7"/>
  </r>
  <r>
    <s v="2019S017501"/>
    <x v="248"/>
    <d v="1899-12-30T17:15:00"/>
    <n v="17"/>
    <x v="1"/>
    <s v="CALL. ORENSE"/>
    <x v="5"/>
    <n v="5.38"/>
    <s v="Small"/>
    <x v="1"/>
    <x v="3"/>
    <x v="1"/>
    <s v="Driver"/>
    <x v="7"/>
    <x v="0"/>
    <s v="07"/>
    <n v="7"/>
  </r>
  <r>
    <s v="2019S018985"/>
    <x v="249"/>
    <d v="1899-12-30T09:20:00"/>
    <n v="9"/>
    <x v="0"/>
    <s v="AVDA. MIGUEL HERNANDEZ / CALL. LEON FELIPE"/>
    <x v="17"/>
    <n v="14.89"/>
    <s v="Small"/>
    <x v="0"/>
    <x v="2"/>
    <x v="1"/>
    <s v="Driver"/>
    <x v="7"/>
    <x v="0"/>
    <s v="06"/>
    <n v="6"/>
  </r>
  <r>
    <s v="2019S018298"/>
    <x v="250"/>
    <d v="1899-12-30T10:30:00"/>
    <n v="10"/>
    <x v="0"/>
    <s v="CALL. ARRIAGA / CALL. FERNANDO GABRIEL"/>
    <x v="8"/>
    <n v="11.38"/>
    <s v="Small"/>
    <x v="2"/>
    <x v="3"/>
    <x v="3"/>
    <s v="Driver"/>
    <x v="7"/>
    <x v="1"/>
    <s v="02"/>
    <n v="2"/>
  </r>
  <r>
    <s v="2019S018787"/>
    <x v="0"/>
    <d v="1899-12-30T08:55:00"/>
    <n v="8"/>
    <x v="0"/>
    <s v="CALL. EXPLANADA / CALL. PEDRO JUSTO DORADO DELLMANS"/>
    <x v="9"/>
    <n v="43.05"/>
    <s v="Big"/>
    <x v="0"/>
    <x v="1"/>
    <x v="3"/>
    <s v="Driver"/>
    <x v="7"/>
    <x v="0"/>
    <s v="07"/>
    <n v="7"/>
  </r>
  <r>
    <s v="2019S020599"/>
    <x v="251"/>
    <d v="1899-12-30T05:05:00"/>
    <n v="5"/>
    <x v="0"/>
    <s v="CALL. ALCALA / CALL. VELAZQUEZ"/>
    <x v="18"/>
    <n v="5.39"/>
    <s v="Small"/>
    <x v="0"/>
    <x v="1"/>
    <x v="1"/>
    <s v="Driver"/>
    <x v="7"/>
    <x v="0"/>
    <s v="07"/>
    <n v="7"/>
  </r>
  <r>
    <s v="2019S021283"/>
    <x v="1"/>
    <d v="1899-12-30T11:40:00"/>
    <n v="11"/>
    <x v="0"/>
    <s v="MADRID RIO"/>
    <x v="1"/>
    <n v="14.91"/>
    <s v="Small"/>
    <x v="0"/>
    <x v="1"/>
    <x v="1"/>
    <s v="Driver"/>
    <x v="7"/>
    <x v="1"/>
    <s v="07"/>
    <n v="7"/>
  </r>
  <r>
    <s v="2019S020975"/>
    <x v="163"/>
    <d v="1899-12-30T13:05:00"/>
    <n v="13"/>
    <x v="0"/>
    <s v="PASEO. CASTELLANA / CALL. MARIA DE MOLINA"/>
    <x v="18"/>
    <n v="5.39"/>
    <s v="Small"/>
    <x v="0"/>
    <x v="2"/>
    <x v="1"/>
    <s v="Driver"/>
    <x v="7"/>
    <x v="0"/>
    <s v="07"/>
    <n v="7"/>
  </r>
  <r>
    <s v="2019S021650"/>
    <x v="98"/>
    <d v="1899-12-30T23:10:00"/>
    <n v="23"/>
    <x v="1"/>
    <s v="AVDA. SAN DIEGO / CALL. MONTES UNIVERSALES"/>
    <x v="17"/>
    <n v="14.89"/>
    <s v="Small"/>
    <x v="0"/>
    <x v="3"/>
    <x v="1"/>
    <s v="Driver"/>
    <x v="7"/>
    <x v="0"/>
    <s v="01"/>
    <n v="1"/>
  </r>
  <r>
    <s v="2019S021280"/>
    <x v="98"/>
    <d v="1899-12-30T08:05:00"/>
    <n v="8"/>
    <x v="0"/>
    <s v="CTRA. ESTACION DE HORTALEZA / AUTOV. M-11"/>
    <x v="7"/>
    <n v="27.41"/>
    <s v="Big"/>
    <x v="0"/>
    <x v="2"/>
    <x v="1"/>
    <s v="Driver"/>
    <x v="7"/>
    <x v="0"/>
    <s v="02"/>
    <n v="2"/>
  </r>
  <r>
    <s v="2019S021200"/>
    <x v="98"/>
    <d v="1899-12-30T01:00:00"/>
    <n v="1"/>
    <x v="0"/>
    <s v="PASEO. ACACIAS"/>
    <x v="11"/>
    <n v="6.46"/>
    <s v="Small"/>
    <x v="0"/>
    <x v="1"/>
    <x v="1"/>
    <s v="Driver"/>
    <x v="7"/>
    <x v="1"/>
    <s v="05"/>
    <n v="5"/>
  </r>
  <r>
    <s v="2019S021429"/>
    <x v="15"/>
    <d v="1899-12-30T17:55:00"/>
    <n v="17"/>
    <x v="1"/>
    <s v="PQUE. JUAN CARLOS I"/>
    <x v="20"/>
    <n v="41.74"/>
    <s v="Big"/>
    <x v="2"/>
    <x v="4"/>
    <x v="1"/>
    <s v="Driver"/>
    <x v="7"/>
    <x v="1"/>
    <s v="02"/>
    <n v="2"/>
  </r>
  <r>
    <s v="2019S021607"/>
    <x v="252"/>
    <d v="1899-12-30T14:30:00"/>
    <n v="14"/>
    <x v="0"/>
    <s v="CALL. PALOMARES / CALL. JUAN PEÑALVER"/>
    <x v="4"/>
    <n v="20.25"/>
    <s v="Big"/>
    <x v="0"/>
    <x v="0"/>
    <x v="1"/>
    <s v="Driver"/>
    <x v="7"/>
    <x v="0"/>
    <s v="14"/>
    <n v="14"/>
  </r>
  <r>
    <s v="2019S021850"/>
    <x v="101"/>
    <d v="1899-12-30T08:55:00"/>
    <n v="8"/>
    <x v="0"/>
    <s v="CUESTA SANTO DOMINGO. 5"/>
    <x v="2"/>
    <n v="5.23"/>
    <s v="Small"/>
    <x v="0"/>
    <x v="4"/>
    <x v="1"/>
    <s v="Driver"/>
    <x v="7"/>
    <x v="0"/>
    <s v=""/>
    <s v=""/>
  </r>
  <r>
    <s v="2019S022023"/>
    <x v="41"/>
    <d v="1899-12-30T08:20:00"/>
    <n v="8"/>
    <x v="0"/>
    <s v="CALL. MESON DE PAREDES"/>
    <x v="2"/>
    <n v="5.23"/>
    <s v="Small"/>
    <x v="0"/>
    <x v="4"/>
    <x v="1"/>
    <s v="Driver"/>
    <x v="7"/>
    <x v="0"/>
    <s v="03"/>
    <n v="3"/>
  </r>
  <r>
    <s v="2019S022102"/>
    <x v="253"/>
    <d v="1899-12-30T02:25:00"/>
    <n v="2"/>
    <x v="0"/>
    <s v="PLAZA. MANOLETE"/>
    <x v="5"/>
    <n v="5.38"/>
    <s v="Small"/>
    <x v="1"/>
    <x v="3"/>
    <x v="1"/>
    <s v="Driver"/>
    <x v="7"/>
    <x v="0"/>
    <s v=""/>
    <s v=""/>
  </r>
  <r>
    <s v="2019S022599"/>
    <x v="254"/>
    <d v="1899-12-30T17:40:00"/>
    <n v="17"/>
    <x v="1"/>
    <s v="CALL. PRINCIPE DE VERGARA"/>
    <x v="14"/>
    <n v="9.2100000000000009"/>
    <s v="Small"/>
    <x v="1"/>
    <x v="1"/>
    <x v="1"/>
    <s v="Driver"/>
    <x v="7"/>
    <x v="0"/>
    <s v="07"/>
    <n v="7"/>
  </r>
  <r>
    <s v="2019S022753"/>
    <x v="17"/>
    <d v="1899-12-30T12:00:00"/>
    <n v="12"/>
    <x v="0"/>
    <s v="PLAZA SAN FRANCISCO S/N"/>
    <x v="2"/>
    <n v="5.23"/>
    <s v="Small"/>
    <x v="0"/>
    <x v="1"/>
    <x v="1"/>
    <s v="Driver"/>
    <x v="7"/>
    <x v="0"/>
    <s v="07"/>
    <n v="7"/>
  </r>
  <r>
    <s v="2019S023033"/>
    <x v="104"/>
    <d v="1899-12-30T19:25:00"/>
    <n v="19"/>
    <x v="1"/>
    <s v="CALL. SERRANO"/>
    <x v="14"/>
    <n v="9.2100000000000009"/>
    <s v="Small"/>
    <x v="1"/>
    <x v="4"/>
    <x v="1"/>
    <s v="Driver"/>
    <x v="7"/>
    <x v="0"/>
    <s v="02"/>
    <n v="2"/>
  </r>
  <r>
    <s v="2019S023655"/>
    <x v="2"/>
    <d v="1899-12-30T09:20:00"/>
    <n v="9"/>
    <x v="0"/>
    <s v="PASEO. PRADO / CALL. ALCALA"/>
    <x v="2"/>
    <n v="5.23"/>
    <s v="Small"/>
    <x v="0"/>
    <x v="2"/>
    <x v="1"/>
    <s v="Driver"/>
    <x v="7"/>
    <x v="0"/>
    <s v="07"/>
    <n v="7"/>
  </r>
  <r>
    <s v="2019S023917"/>
    <x v="220"/>
    <d v="1899-12-30T16:40:00"/>
    <n v="16"/>
    <x v="1"/>
    <s v="PASEO. GENERAL MARTINEZ CAMPOS"/>
    <x v="15"/>
    <n v="4.6900000000000004"/>
    <s v="Small"/>
    <x v="1"/>
    <x v="4"/>
    <x v="1"/>
    <s v="Driver"/>
    <x v="7"/>
    <x v="0"/>
    <s v="07"/>
    <n v="7"/>
  </r>
  <r>
    <s v="2019S024530"/>
    <x v="167"/>
    <d v="1899-12-30T19:50:00"/>
    <n v="19"/>
    <x v="1"/>
    <s v="CALL. SERRANO"/>
    <x v="14"/>
    <n v="9.2100000000000009"/>
    <s v="Small"/>
    <x v="1"/>
    <x v="4"/>
    <x v="1"/>
    <s v="Pedestrian"/>
    <x v="7"/>
    <x v="0"/>
    <s v="14"/>
    <n v="14"/>
  </r>
  <r>
    <s v="2019S024612"/>
    <x v="221"/>
    <d v="1899-12-30T18:00:00"/>
    <n v="18"/>
    <x v="1"/>
    <s v="CALL. BRAVO MURILLO"/>
    <x v="5"/>
    <n v="5.38"/>
    <s v="Small"/>
    <x v="1"/>
    <x v="3"/>
    <x v="1"/>
    <s v="Driver"/>
    <x v="7"/>
    <x v="0"/>
    <s v="05"/>
    <n v="5"/>
  </r>
  <r>
    <s v="2019S024691"/>
    <x v="255"/>
    <d v="1899-12-30T19:30:00"/>
    <n v="19"/>
    <x v="1"/>
    <s v="CALL. RAIMUNDO FERNANDEZ VILLAVERDE"/>
    <x v="15"/>
    <n v="4.6900000000000004"/>
    <s v="Small"/>
    <x v="1"/>
    <x v="4"/>
    <x v="1"/>
    <s v="Driver"/>
    <x v="7"/>
    <x v="0"/>
    <s v="03"/>
    <n v="3"/>
  </r>
  <r>
    <s v="2019S026512"/>
    <x v="65"/>
    <d v="1899-12-30T19:20:00"/>
    <n v="19"/>
    <x v="1"/>
    <s v="PQUE. MADRID RIO / GTA. PUENTE DE SEGOVIA"/>
    <x v="3"/>
    <n v="25.41"/>
    <s v="Big"/>
    <x v="0"/>
    <x v="4"/>
    <x v="1"/>
    <s v="Driver"/>
    <x v="7"/>
    <x v="0"/>
    <s v="02"/>
    <n v="2"/>
  </r>
  <r>
    <s v="2019S025170"/>
    <x v="65"/>
    <d v="1899-12-30T16:45:00"/>
    <n v="16"/>
    <x v="1"/>
    <s v="CALL. GENERAL RICARDOS"/>
    <x v="1"/>
    <n v="14.91"/>
    <s v="Small"/>
    <x v="0"/>
    <x v="0"/>
    <x v="1"/>
    <s v="Pedestrian"/>
    <x v="7"/>
    <x v="0"/>
    <s v="07"/>
    <n v="7"/>
  </r>
  <r>
    <s v="2019S025119"/>
    <x v="65"/>
    <d v="1899-12-30T08:30:00"/>
    <n v="8"/>
    <x v="0"/>
    <s v="GTA. SANTUARIO DE TISCAR / AVDA. MONASTERIO DE EL ESCORIAL"/>
    <x v="10"/>
    <n v="237.81"/>
    <s v="Big"/>
    <x v="1"/>
    <x v="2"/>
    <x v="1"/>
    <s v="Driver"/>
    <x v="7"/>
    <x v="0"/>
    <s v="06"/>
    <n v="6"/>
  </r>
  <r>
    <s v="2019S025119"/>
    <x v="65"/>
    <d v="1899-12-30T08:30:00"/>
    <n v="8"/>
    <x v="0"/>
    <s v="GTA. SANTUARIO DE TISCAR / AVDA. MONASTERIO DE EL ESCORIAL"/>
    <x v="10"/>
    <n v="237.81"/>
    <s v="Big"/>
    <x v="1"/>
    <x v="2"/>
    <x v="1"/>
    <s v="Driver"/>
    <x v="7"/>
    <x v="0"/>
    <s v="06"/>
    <n v="6"/>
  </r>
  <r>
    <s v="2019S025642"/>
    <x v="113"/>
    <d v="1899-12-30T16:10:00"/>
    <n v="16"/>
    <x v="1"/>
    <s v="CUSTA. SAN VICENTE"/>
    <x v="2"/>
    <n v="5.23"/>
    <s v="Small"/>
    <x v="0"/>
    <x v="0"/>
    <x v="1"/>
    <s v="Pedestrian"/>
    <x v="7"/>
    <x v="1"/>
    <s v="07"/>
    <n v="7"/>
  </r>
  <r>
    <s v="2019S026280"/>
    <x v="21"/>
    <d v="1899-12-30T22:25:00"/>
    <n v="22"/>
    <x v="1"/>
    <s v="AVDA. ENTREVIAS / CALL. MENDEZ ALVARO"/>
    <x v="17"/>
    <n v="14.89"/>
    <s v="Small"/>
    <x v="0"/>
    <x v="2"/>
    <x v="1"/>
    <s v="Driver"/>
    <x v="7"/>
    <x v="0"/>
    <s v="07"/>
    <n v="7"/>
  </r>
  <r>
    <s v="2019S026582"/>
    <x v="4"/>
    <d v="1899-12-30T18:45:00"/>
    <n v="18"/>
    <x v="1"/>
    <s v="PASEO. DELICIAS"/>
    <x v="11"/>
    <n v="6.46"/>
    <s v="Small"/>
    <x v="0"/>
    <x v="1"/>
    <x v="1"/>
    <s v="Driver"/>
    <x v="7"/>
    <x v="0"/>
    <s v="07"/>
    <n v="7"/>
  </r>
  <r>
    <s v="2019S026745"/>
    <x v="47"/>
    <d v="1899-12-30T14:35:00"/>
    <n v="14"/>
    <x v="0"/>
    <s v="FRENTE FAROLA Nº 6"/>
    <x v="2"/>
    <n v="5.23"/>
    <s v="Small"/>
    <x v="0"/>
    <x v="4"/>
    <x v="1"/>
    <s v="Driver"/>
    <x v="7"/>
    <x v="0"/>
    <s v="07"/>
    <n v="7"/>
  </r>
  <r>
    <s v="2019S026966"/>
    <x v="174"/>
    <d v="1899-12-30T20:32:00"/>
    <n v="20"/>
    <x v="1"/>
    <s v="PLAZA SANTA BARBARA CON CALLE SERRANO ANGUITA"/>
    <x v="2"/>
    <n v="5.23"/>
    <s v="Small"/>
    <x v="0"/>
    <x v="4"/>
    <x v="3"/>
    <s v="Driver"/>
    <x v="7"/>
    <x v="0"/>
    <s v="01"/>
    <n v="1"/>
  </r>
  <r>
    <s v="2019S027011"/>
    <x v="174"/>
    <d v="1899-12-30T19:50:00"/>
    <n v="19"/>
    <x v="1"/>
    <s v="PLAZA. MORERAS"/>
    <x v="9"/>
    <n v="43.05"/>
    <s v="Big"/>
    <x v="0"/>
    <x v="4"/>
    <x v="5"/>
    <s v="Driver"/>
    <x v="7"/>
    <x v="1"/>
    <s v="01"/>
    <n v="1"/>
  </r>
  <r>
    <s v="2019S027815"/>
    <x v="70"/>
    <d v="1899-12-30T12:35:00"/>
    <n v="12"/>
    <x v="0"/>
    <s v="CALL. CLAUDIO MOYANO"/>
    <x v="16"/>
    <n v="5.38"/>
    <s v="Small"/>
    <x v="0"/>
    <x v="0"/>
    <x v="1"/>
    <s v="Driver"/>
    <x v="7"/>
    <x v="1"/>
    <s v="06"/>
    <n v="6"/>
  </r>
  <r>
    <s v="2019S027813"/>
    <x v="256"/>
    <d v="1899-12-30T07:04:00"/>
    <n v="7"/>
    <x v="0"/>
    <s v="PASEO. PRADO / CALL. ALCALA"/>
    <x v="2"/>
    <n v="5.23"/>
    <s v="Small"/>
    <x v="0"/>
    <x v="2"/>
    <x v="1"/>
    <s v="Driver"/>
    <x v="7"/>
    <x v="0"/>
    <s v=""/>
    <s v=""/>
  </r>
  <r>
    <s v="2019S028487"/>
    <x v="257"/>
    <d v="1899-12-30T18:40:00"/>
    <n v="18"/>
    <x v="1"/>
    <s v="ANILLO VERDE CICLISTA, PKM 32"/>
    <x v="1"/>
    <n v="14.91"/>
    <s v="Small"/>
    <x v="0"/>
    <x v="4"/>
    <x v="1"/>
    <s v="Driver"/>
    <x v="7"/>
    <x v="1"/>
    <s v="01"/>
    <n v="1"/>
  </r>
  <r>
    <s v="2019S028981"/>
    <x v="183"/>
    <d v="1899-12-30T09:35:00"/>
    <n v="9"/>
    <x v="0"/>
    <s v="CALL. CONDE DE PEÑALVER"/>
    <x v="18"/>
    <n v="5.39"/>
    <s v="Small"/>
    <x v="0"/>
    <x v="1"/>
    <x v="1"/>
    <s v="Driver"/>
    <x v="7"/>
    <x v="0"/>
    <s v="07"/>
    <n v="7"/>
  </r>
  <r>
    <s v="2019S029033"/>
    <x v="5"/>
    <d v="1899-12-30T02:35:00"/>
    <n v="2"/>
    <x v="0"/>
    <s v="CALL. SEGOVIA / RONDA. SEGOVIA"/>
    <x v="11"/>
    <n v="6.46"/>
    <s v="Small"/>
    <x v="0"/>
    <x v="2"/>
    <x v="4"/>
    <s v="Driver"/>
    <x v="7"/>
    <x v="0"/>
    <s v=""/>
    <s v=""/>
  </r>
  <r>
    <s v="2019S029194"/>
    <x v="73"/>
    <d v="1899-12-30T13:35:00"/>
    <n v="13"/>
    <x v="0"/>
    <s v="AUTOV. A-42, +00500S"/>
    <x v="1"/>
    <n v="14.91"/>
    <s v="Small"/>
    <x v="0"/>
    <x v="2"/>
    <x v="1"/>
    <s v="Driver"/>
    <x v="7"/>
    <x v="0"/>
    <s v="06"/>
    <n v="6"/>
  </r>
  <r>
    <s v="2019S029277"/>
    <x v="258"/>
    <d v="1899-12-30T15:22:00"/>
    <n v="15"/>
    <x v="1"/>
    <s v="CALL. EMBAJADORES"/>
    <x v="11"/>
    <n v="6.46"/>
    <s v="Small"/>
    <x v="0"/>
    <x v="6"/>
    <x v="1"/>
    <s v="Driver"/>
    <x v="7"/>
    <x v="0"/>
    <s v="07"/>
    <n v="7"/>
  </r>
  <r>
    <s v="2019S029391"/>
    <x v="23"/>
    <d v="1899-12-30T16:00:00"/>
    <n v="16"/>
    <x v="1"/>
    <s v="CALL. SAN GERMAN / CALL. GENERAL CABRERA"/>
    <x v="5"/>
    <n v="5.38"/>
    <s v="Small"/>
    <x v="1"/>
    <x v="4"/>
    <x v="1"/>
    <s v="Driver"/>
    <x v="7"/>
    <x v="0"/>
    <s v="07"/>
    <n v="7"/>
  </r>
  <r>
    <s v="2019S029644"/>
    <x v="6"/>
    <d v="1899-12-30T21:15:00"/>
    <n v="21"/>
    <x v="1"/>
    <s v="CALL. ARROYO DE LA MEDIA LEGUA / CALL. ALCALDE GARRIDO JUARISTI"/>
    <x v="12"/>
    <n v="6.34"/>
    <s v="Small"/>
    <x v="2"/>
    <x v="0"/>
    <x v="1"/>
    <s v="Driver"/>
    <x v="7"/>
    <x v="0"/>
    <s v="14"/>
    <n v="14"/>
  </r>
  <r>
    <s v="2019S029556"/>
    <x v="6"/>
    <d v="1899-12-30T19:04:00"/>
    <n v="19"/>
    <x v="1"/>
    <s v="CALL. ALCALA / CALL. MARQUES DE CUBAS"/>
    <x v="2"/>
    <n v="5.23"/>
    <s v="Small"/>
    <x v="0"/>
    <x v="3"/>
    <x v="1"/>
    <s v="Driver"/>
    <x v="7"/>
    <x v="1"/>
    <s v="02"/>
    <n v="2"/>
  </r>
  <r>
    <s v="2019S030052"/>
    <x v="187"/>
    <d v="1899-12-30T14:30:00"/>
    <n v="14"/>
    <x v="0"/>
    <s v="PLAZA. SAGRADOS CORAZONES / AVDA. CONCHA ESPINA"/>
    <x v="14"/>
    <n v="9.2100000000000009"/>
    <s v="Small"/>
    <x v="1"/>
    <x v="4"/>
    <x v="1"/>
    <s v="Driver"/>
    <x v="7"/>
    <x v="0"/>
    <s v="06"/>
    <n v="6"/>
  </r>
  <r>
    <s v="2019S030034"/>
    <x v="259"/>
    <d v="1899-12-30T07:50:00"/>
    <n v="7"/>
    <x v="0"/>
    <s v="CALL. CORREO / PLAZA. PUERTA DEL SOL"/>
    <x v="2"/>
    <n v="5.23"/>
    <s v="Small"/>
    <x v="0"/>
    <x v="2"/>
    <x v="1"/>
    <s v="Driver"/>
    <x v="7"/>
    <x v="1"/>
    <s v="05"/>
    <n v="5"/>
  </r>
  <r>
    <s v="2019S030489"/>
    <x v="260"/>
    <d v="1899-12-30T17:00:00"/>
    <n v="17"/>
    <x v="1"/>
    <s v="CALL. ALCALA / CALL. VELAZQUEZ"/>
    <x v="18"/>
    <n v="5.39"/>
    <s v="Small"/>
    <x v="0"/>
    <x v="3"/>
    <x v="1"/>
    <s v="Driver"/>
    <x v="7"/>
    <x v="0"/>
    <s v="06"/>
    <n v="6"/>
  </r>
  <r>
    <s v="2019S030577"/>
    <x v="261"/>
    <d v="1899-12-30T23:00:00"/>
    <n v="23"/>
    <x v="1"/>
    <s v="CALL. JOSE ABASCAL"/>
    <x v="15"/>
    <n v="4.6900000000000004"/>
    <s v="Small"/>
    <x v="1"/>
    <x v="1"/>
    <x v="1"/>
    <s v="Driver"/>
    <x v="7"/>
    <x v="0"/>
    <s v="07"/>
    <n v="7"/>
  </r>
  <r>
    <s v="2019S030726"/>
    <x v="121"/>
    <d v="1899-12-30T17:50:00"/>
    <n v="17"/>
    <x v="1"/>
    <s v="AVENIDA GENERAL PERÓN CON C/ ORENSE"/>
    <x v="5"/>
    <n v="5.38"/>
    <s v="Small"/>
    <x v="1"/>
    <x v="2"/>
    <x v="1"/>
    <s v="Driver"/>
    <x v="7"/>
    <x v="0"/>
    <s v="05"/>
    <n v="5"/>
  </r>
  <r>
    <s v="2019S031198"/>
    <x v="123"/>
    <d v="1899-12-30T21:10:00"/>
    <n v="21"/>
    <x v="1"/>
    <s v="CMNO. ROBLEDAL / CTRA. TELEFERICO"/>
    <x v="9"/>
    <n v="43.05"/>
    <s v="Big"/>
    <x v="0"/>
    <x v="4"/>
    <x v="1"/>
    <s v="Driver"/>
    <x v="7"/>
    <x v="0"/>
    <s v="07"/>
    <n v="7"/>
  </r>
  <r>
    <s v="2019S031128"/>
    <x v="123"/>
    <d v="1899-12-30T14:30:00"/>
    <n v="14"/>
    <x v="0"/>
    <s v="PASEO. CASTELLANA"/>
    <x v="14"/>
    <n v="9.2100000000000009"/>
    <s v="Small"/>
    <x v="1"/>
    <x v="1"/>
    <x v="1"/>
    <s v="Driver"/>
    <x v="7"/>
    <x v="0"/>
    <s v="07"/>
    <n v="7"/>
  </r>
  <r>
    <s v="2019S031595"/>
    <x v="125"/>
    <d v="1899-12-30T20:45:00"/>
    <n v="20"/>
    <x v="1"/>
    <s v="CALL. CARTAGENA"/>
    <x v="14"/>
    <n v="9.2100000000000009"/>
    <s v="Small"/>
    <x v="1"/>
    <x v="4"/>
    <x v="1"/>
    <s v="Driver"/>
    <x v="7"/>
    <x v="1"/>
    <s v="06"/>
    <n v="6"/>
  </r>
  <r>
    <s v="2019S031523"/>
    <x v="125"/>
    <d v="1899-12-30T16:25:00"/>
    <n v="16"/>
    <x v="1"/>
    <s v="CALL. ALCALA / CALL. ALEJANDRO GONZALEZ"/>
    <x v="18"/>
    <n v="5.39"/>
    <s v="Small"/>
    <x v="0"/>
    <x v="3"/>
    <x v="1"/>
    <s v="Driver"/>
    <x v="7"/>
    <x v="0"/>
    <s v="01"/>
    <n v="1"/>
  </r>
  <r>
    <s v="2019S031556"/>
    <x v="125"/>
    <d v="1899-12-30T12:10:00"/>
    <n v="12"/>
    <x v="0"/>
    <s v="PASEO. FERNAN NUÑEZ / PASEO. REPUBLICA DE CUBA"/>
    <x v="16"/>
    <n v="5.38"/>
    <s v="Small"/>
    <x v="0"/>
    <x v="3"/>
    <x v="1"/>
    <s v="Driver"/>
    <x v="7"/>
    <x v="1"/>
    <s v="07"/>
    <n v="7"/>
  </r>
  <r>
    <s v="2019S031556"/>
    <x v="125"/>
    <d v="1899-12-30T12:10:00"/>
    <n v="12"/>
    <x v="0"/>
    <s v="PASEO. FERNAN NUÑEZ / PASEO. REPUBLICA DE CUBA"/>
    <x v="16"/>
    <n v="5.38"/>
    <s v="Small"/>
    <x v="0"/>
    <x v="3"/>
    <x v="1"/>
    <s v="Driver"/>
    <x v="7"/>
    <x v="0"/>
    <s v="14"/>
    <n v="14"/>
  </r>
  <r>
    <s v="2019S031783"/>
    <x v="190"/>
    <d v="1899-12-30T08:26:00"/>
    <n v="8"/>
    <x v="0"/>
    <s v="CALL. TERESA LOPEZ VALCARCEL"/>
    <x v="11"/>
    <n v="6.46"/>
    <s v="Small"/>
    <x v="0"/>
    <x v="4"/>
    <x v="1"/>
    <s v="Driver"/>
    <x v="7"/>
    <x v="1"/>
    <s v="07"/>
    <n v="7"/>
  </r>
  <r>
    <s v="2019S033013"/>
    <x v="76"/>
    <d v="1899-12-30T20:45:00"/>
    <n v="20"/>
    <x v="1"/>
    <s v="CALL. FLAUTAS / CALL. CLARINETES"/>
    <x v="3"/>
    <n v="25.41"/>
    <s v="Big"/>
    <x v="0"/>
    <x v="2"/>
    <x v="1"/>
    <s v="Driver"/>
    <x v="7"/>
    <x v="0"/>
    <s v="07"/>
    <n v="7"/>
  </r>
  <r>
    <s v="2019S031973"/>
    <x v="126"/>
    <d v="1899-12-30T09:10:00"/>
    <n v="9"/>
    <x v="0"/>
    <s v="CALL. PUERTO DE BALBARAN"/>
    <x v="17"/>
    <n v="14.89"/>
    <s v="Small"/>
    <x v="0"/>
    <x v="2"/>
    <x v="1"/>
    <s v="Driver"/>
    <x v="7"/>
    <x v="0"/>
    <s v="02"/>
    <n v="2"/>
  </r>
  <r>
    <s v="2019S033093"/>
    <x v="78"/>
    <d v="1899-12-30T17:33:00"/>
    <n v="17"/>
    <x v="1"/>
    <s v="PASEO. LA HABANA"/>
    <x v="14"/>
    <n v="9.2100000000000009"/>
    <s v="Small"/>
    <x v="1"/>
    <x v="3"/>
    <x v="1"/>
    <s v="Driver"/>
    <x v="7"/>
    <x v="0"/>
    <s v="07"/>
    <n v="7"/>
  </r>
  <r>
    <s v="2019S033141"/>
    <x v="192"/>
    <d v="1899-12-30T08:40:00"/>
    <n v="8"/>
    <x v="0"/>
    <s v="CALL. JUAN DE MARIANA"/>
    <x v="11"/>
    <n v="6.46"/>
    <s v="Small"/>
    <x v="0"/>
    <x v="4"/>
    <x v="1"/>
    <s v="Driver"/>
    <x v="7"/>
    <x v="1"/>
    <s v="07"/>
    <n v="7"/>
  </r>
  <r>
    <s v="2019S033901"/>
    <x v="262"/>
    <d v="1899-12-30T09:24:00"/>
    <n v="9"/>
    <x v="0"/>
    <s v="CALL. ALCALA / CALL. MARQUES DE CUBAS"/>
    <x v="2"/>
    <n v="5.23"/>
    <s v="Small"/>
    <x v="0"/>
    <x v="4"/>
    <x v="1"/>
    <s v="Driver"/>
    <x v="7"/>
    <x v="0"/>
    <s v="06"/>
    <n v="6"/>
  </r>
  <r>
    <s v="2019S034064"/>
    <x v="263"/>
    <d v="1899-12-30T00:38:00"/>
    <n v="0"/>
    <x v="0"/>
    <s v="PLAZA. ALONSO MARTINEZ / CALL. SAGASTA"/>
    <x v="15"/>
    <n v="4.6900000000000004"/>
    <s v="Small"/>
    <x v="1"/>
    <x v="0"/>
    <x v="1"/>
    <s v="Pedestrian"/>
    <x v="7"/>
    <x v="0"/>
    <s v="07"/>
    <n v="7"/>
  </r>
  <r>
    <s v="2019S034540"/>
    <x v="264"/>
    <d v="1899-12-30T11:00:00"/>
    <n v="11"/>
    <x v="0"/>
    <s v="PISTA. CRISTO DE EL PARDO"/>
    <x v="10"/>
    <n v="237.81"/>
    <s v="Big"/>
    <x v="1"/>
    <x v="4"/>
    <x v="1"/>
    <s v="Driver"/>
    <x v="7"/>
    <x v="0"/>
    <s v="03"/>
    <n v="3"/>
  </r>
  <r>
    <s v="2019S035493"/>
    <x v="196"/>
    <d v="1899-12-30T21:00:00"/>
    <n v="21"/>
    <x v="1"/>
    <s v="CALL. SERRANO / CALL. ARMADA ESPAÑOLA"/>
    <x v="18"/>
    <n v="5.39"/>
    <s v="Small"/>
    <x v="0"/>
    <x v="4"/>
    <x v="3"/>
    <s v="Driver"/>
    <x v="7"/>
    <x v="0"/>
    <s v="07"/>
    <n v="7"/>
  </r>
  <r>
    <s v="2019S035249"/>
    <x v="196"/>
    <d v="1899-12-30T20:00:00"/>
    <n v="20"/>
    <x v="1"/>
    <s v="CALL. PRINCIPE DE VERGARA"/>
    <x v="14"/>
    <n v="9.2100000000000009"/>
    <s v="Small"/>
    <x v="1"/>
    <x v="2"/>
    <x v="3"/>
    <s v="Driver"/>
    <x v="7"/>
    <x v="0"/>
    <s v="01"/>
    <n v="1"/>
  </r>
  <r>
    <s v="2019S035514"/>
    <x v="197"/>
    <d v="1899-12-30T19:30:00"/>
    <n v="19"/>
    <x v="1"/>
    <s v="CALL. ALCALA / CALL. MARTIRES CONCEPCIONISTAS"/>
    <x v="18"/>
    <n v="5.39"/>
    <s v="Small"/>
    <x v="0"/>
    <x v="3"/>
    <x v="1"/>
    <s v="Driver"/>
    <x v="7"/>
    <x v="0"/>
    <s v=""/>
    <s v=""/>
  </r>
  <r>
    <s v="2019S035513"/>
    <x v="197"/>
    <d v="1899-12-30T19:05:00"/>
    <n v="19"/>
    <x v="1"/>
    <s v="PLAZA. SANTO DOMINGO / CALL. SILVA"/>
    <x v="2"/>
    <n v="5.23"/>
    <s v="Small"/>
    <x v="0"/>
    <x v="4"/>
    <x v="1"/>
    <s v="Driver"/>
    <x v="7"/>
    <x v="0"/>
    <s v="07"/>
    <n v="7"/>
  </r>
  <r>
    <s v="2019S039726"/>
    <x v="198"/>
    <d v="1899-12-30T23:50:00"/>
    <n v="23"/>
    <x v="1"/>
    <s v="CALL. SAN MARCOS / CALL. BARBIERI"/>
    <x v="2"/>
    <n v="5.23"/>
    <s v="Small"/>
    <x v="0"/>
    <x v="2"/>
    <x v="1"/>
    <s v="Driver"/>
    <x v="7"/>
    <x v="0"/>
    <s v=""/>
    <s v=""/>
  </r>
  <r>
    <s v="2019S036119"/>
    <x v="8"/>
    <d v="1899-12-30T15:20:00"/>
    <n v="15"/>
    <x v="1"/>
    <s v="ATOCHA"/>
    <x v="2"/>
    <n v="5.23"/>
    <s v="Small"/>
    <x v="0"/>
    <x v="3"/>
    <x v="1"/>
    <s v="Driver"/>
    <x v="7"/>
    <x v="0"/>
    <s v="14"/>
    <n v="14"/>
  </r>
  <r>
    <s v="2019S036089"/>
    <x v="8"/>
    <d v="1899-12-30T09:10:00"/>
    <n v="9"/>
    <x v="0"/>
    <s v="CALL. MARTIN MUÑOZ DE LAS POSADAS"/>
    <x v="6"/>
    <n v="51.92"/>
    <s v="Big"/>
    <x v="0"/>
    <x v="3"/>
    <x v="1"/>
    <s v="Driver"/>
    <x v="7"/>
    <x v="0"/>
    <s v="06"/>
    <n v="6"/>
  </r>
  <r>
    <s v="2019S036846"/>
    <x v="203"/>
    <d v="1899-12-30T22:50:00"/>
    <n v="22"/>
    <x v="1"/>
    <s v="PLAZA. ALONSO MARTINEZ / CALL. SANTA ENGRACIA"/>
    <x v="15"/>
    <n v="4.6900000000000004"/>
    <s v="Small"/>
    <x v="1"/>
    <x v="4"/>
    <x v="3"/>
    <s v="Driver"/>
    <x v="7"/>
    <x v="0"/>
    <s v="07"/>
    <n v="7"/>
  </r>
  <r>
    <s v="2019S037108"/>
    <x v="53"/>
    <d v="1899-12-30T19:30:00"/>
    <n v="19"/>
    <x v="1"/>
    <s v="PASEO. CHOPERA"/>
    <x v="11"/>
    <n v="6.46"/>
    <s v="Small"/>
    <x v="0"/>
    <x v="2"/>
    <x v="4"/>
    <s v="Driver"/>
    <x v="7"/>
    <x v="0"/>
    <s v="14"/>
    <n v="14"/>
  </r>
  <r>
    <s v="2019S038240"/>
    <x v="265"/>
    <d v="1899-12-30T17:15:00"/>
    <n v="17"/>
    <x v="1"/>
    <s v="AVDA. LLANO CASTELLANO"/>
    <x v="10"/>
    <n v="237.81"/>
    <s v="Big"/>
    <x v="1"/>
    <x v="1"/>
    <x v="0"/>
    <s v="Driver"/>
    <x v="7"/>
    <x v="0"/>
    <s v=""/>
    <s v=""/>
  </r>
  <r>
    <s v="2019S004134"/>
    <x v="142"/>
    <d v="1899-12-30T20:20:00"/>
    <n v="20"/>
    <x v="1"/>
    <s v="PASEO. EL PARDO"/>
    <x v="10"/>
    <n v="237.81"/>
    <s v="Big"/>
    <x v="1"/>
    <x v="4"/>
    <x v="1"/>
    <s v="Driver"/>
    <x v="8"/>
    <x v="0"/>
    <s v="02"/>
    <n v="2"/>
  </r>
  <r>
    <s v="2019S002788"/>
    <x v="142"/>
    <d v="1899-12-30T11:10:00"/>
    <n v="11"/>
    <x v="0"/>
    <s v="CALL. FLORA"/>
    <x v="2"/>
    <n v="5.23"/>
    <s v="Small"/>
    <x v="0"/>
    <x v="4"/>
    <x v="1"/>
    <s v="Driver"/>
    <x v="8"/>
    <x v="0"/>
    <s v="07"/>
    <n v="7"/>
  </r>
  <r>
    <s v="2019S010276"/>
    <x v="241"/>
    <d v="1899-12-30T11:30:00"/>
    <n v="11"/>
    <x v="0"/>
    <s v="CALL. MARTINEZ DE LA RIVA"/>
    <x v="17"/>
    <n v="14.89"/>
    <s v="Small"/>
    <x v="0"/>
    <x v="3"/>
    <x v="1"/>
    <s v="Driver"/>
    <x v="8"/>
    <x v="0"/>
    <s v=""/>
    <s v=""/>
  </r>
  <r>
    <s v="2019S008627"/>
    <x v="31"/>
    <d v="1899-12-30T17:30:00"/>
    <n v="17"/>
    <x v="1"/>
    <s v="CALL. ALCALA"/>
    <x v="2"/>
    <n v="5.23"/>
    <s v="Small"/>
    <x v="0"/>
    <x v="1"/>
    <x v="1"/>
    <s v="Driver"/>
    <x v="8"/>
    <x v="0"/>
    <s v=""/>
    <s v=""/>
  </r>
  <r>
    <s v="2019S014246"/>
    <x v="266"/>
    <d v="1899-12-30T20:05:00"/>
    <n v="20"/>
    <x v="1"/>
    <s v="CALL. GENERAL RICARDOS"/>
    <x v="1"/>
    <n v="14.91"/>
    <s v="Small"/>
    <x v="0"/>
    <x v="1"/>
    <x v="1"/>
    <s v="Driver"/>
    <x v="8"/>
    <x v="0"/>
    <s v="02"/>
    <n v="2"/>
  </r>
  <r>
    <s v="2019S013198"/>
    <x v="90"/>
    <d v="1899-12-30T10:35:00"/>
    <n v="10"/>
    <x v="0"/>
    <s v="CALL. PARROCO EUSEBIO CUENCA"/>
    <x v="11"/>
    <n v="6.46"/>
    <s v="Small"/>
    <x v="0"/>
    <x v="4"/>
    <x v="1"/>
    <s v="Driver"/>
    <x v="8"/>
    <x v="0"/>
    <s v="05"/>
    <n v="5"/>
  </r>
  <r>
    <s v="2019S014153"/>
    <x v="33"/>
    <d v="1899-12-30T12:10:00"/>
    <n v="12"/>
    <x v="0"/>
    <s v="RONDA. ATOCHA"/>
    <x v="11"/>
    <n v="6.46"/>
    <s v="Small"/>
    <x v="0"/>
    <x v="4"/>
    <x v="1"/>
    <s v="Driver"/>
    <x v="8"/>
    <x v="0"/>
    <s v="14"/>
    <n v="14"/>
  </r>
  <r>
    <s v="2019S014289"/>
    <x v="57"/>
    <d v="1899-12-30T11:35:00"/>
    <n v="11"/>
    <x v="0"/>
    <s v="RETIRO"/>
    <x v="16"/>
    <n v="5.38"/>
    <s v="Small"/>
    <x v="0"/>
    <x v="4"/>
    <x v="1"/>
    <s v="Driver"/>
    <x v="8"/>
    <x v="0"/>
    <s v="05"/>
    <n v="5"/>
  </r>
  <r>
    <s v="2019S016418"/>
    <x v="267"/>
    <d v="1899-12-30T19:00:00"/>
    <n v="19"/>
    <x v="1"/>
    <s v="CALL. DOLORES BARRANCO / CALL. NICOLAS SANCHEZ"/>
    <x v="0"/>
    <n v="12.36"/>
    <s v="Small"/>
    <x v="0"/>
    <x v="5"/>
    <x v="1"/>
    <s v="Driver"/>
    <x v="8"/>
    <x v="0"/>
    <s v="07"/>
    <n v="7"/>
  </r>
  <r>
    <s v="2019S016220"/>
    <x v="215"/>
    <d v="1899-12-30T18:35:00"/>
    <n v="18"/>
    <x v="1"/>
    <s v="CALL. O'DONNELL"/>
    <x v="16"/>
    <n v="5.38"/>
    <s v="Small"/>
    <x v="0"/>
    <x v="2"/>
    <x v="1"/>
    <s v="Driver"/>
    <x v="8"/>
    <x v="0"/>
    <s v="14"/>
    <n v="14"/>
  </r>
  <r>
    <s v="2019S017168"/>
    <x v="268"/>
    <d v="1899-12-30T08:15:00"/>
    <n v="8"/>
    <x v="0"/>
    <s v="PLAZA. LEALTAD / PASEO. PRADO"/>
    <x v="10"/>
    <n v="237.81"/>
    <s v="Big"/>
    <x v="1"/>
    <x v="2"/>
    <x v="1"/>
    <s v="Driver"/>
    <x v="8"/>
    <x v="0"/>
    <s v="07"/>
    <n v="7"/>
  </r>
  <r>
    <s v="2019S017942"/>
    <x v="36"/>
    <d v="1899-12-30T22:45:00"/>
    <n v="22"/>
    <x v="1"/>
    <s v="CALL. HORTALEZA"/>
    <x v="2"/>
    <n v="5.23"/>
    <s v="Small"/>
    <x v="0"/>
    <x v="0"/>
    <x v="1"/>
    <s v="Pedestrian"/>
    <x v="8"/>
    <x v="1"/>
    <s v="02"/>
    <n v="2"/>
  </r>
  <r>
    <s v="2019S017393"/>
    <x v="269"/>
    <d v="1899-12-30T14:45:00"/>
    <n v="14"/>
    <x v="0"/>
    <s v="AVDA. GRAN VIA DE SAN FRANCISCO"/>
    <x v="2"/>
    <n v="5.23"/>
    <s v="Small"/>
    <x v="0"/>
    <x v="1"/>
    <x v="1"/>
    <s v="Driver"/>
    <x v="8"/>
    <x v="0"/>
    <s v="07"/>
    <n v="7"/>
  </r>
  <r>
    <s v="2019S017448"/>
    <x v="269"/>
    <d v="1899-12-30T10:55:00"/>
    <n v="10"/>
    <x v="0"/>
    <s v="CALL. FERNANDEZ DE LOS RIOS"/>
    <x v="15"/>
    <n v="4.6900000000000004"/>
    <s v="Small"/>
    <x v="1"/>
    <x v="4"/>
    <x v="1"/>
    <s v="Driver"/>
    <x v="8"/>
    <x v="0"/>
    <s v="07"/>
    <n v="7"/>
  </r>
  <r>
    <s v="2019S017836"/>
    <x v="93"/>
    <d v="1899-12-30T16:03:00"/>
    <n v="16"/>
    <x v="1"/>
    <s v="RONDA. TOLEDO"/>
    <x v="11"/>
    <n v="6.46"/>
    <s v="Small"/>
    <x v="0"/>
    <x v="4"/>
    <x v="1"/>
    <s v="Driver"/>
    <x v="8"/>
    <x v="0"/>
    <s v="01"/>
    <n v="1"/>
  </r>
  <r>
    <s v="2019S018185"/>
    <x v="270"/>
    <d v="1899-12-30T16:44:00"/>
    <n v="16"/>
    <x v="1"/>
    <s v="IDB. PARQUE LINEAL DEL MANZANARES"/>
    <x v="17"/>
    <n v="14.89"/>
    <s v="Small"/>
    <x v="0"/>
    <x v="4"/>
    <x v="1"/>
    <s v="Driver"/>
    <x v="8"/>
    <x v="0"/>
    <s v="02"/>
    <n v="2"/>
  </r>
  <r>
    <s v="2019S019391"/>
    <x v="271"/>
    <d v="1899-12-30T16:35:00"/>
    <n v="16"/>
    <x v="1"/>
    <s v="CUSTA. SANTO DOMINGO / CALL. FOMENTO"/>
    <x v="2"/>
    <n v="5.23"/>
    <s v="Small"/>
    <x v="0"/>
    <x v="4"/>
    <x v="1"/>
    <s v="Driver"/>
    <x v="8"/>
    <x v="0"/>
    <s v="07"/>
    <n v="7"/>
  </r>
  <r>
    <s v="2019S020466"/>
    <x v="251"/>
    <d v="1899-12-30T18:32:00"/>
    <n v="18"/>
    <x v="1"/>
    <s v="AVDA. MENENDEZ PELAYO"/>
    <x v="16"/>
    <n v="5.38"/>
    <s v="Small"/>
    <x v="0"/>
    <x v="3"/>
    <x v="1"/>
    <s v="Driver"/>
    <x v="8"/>
    <x v="0"/>
    <s v="07"/>
    <n v="7"/>
  </r>
  <r>
    <s v="2019S021497"/>
    <x v="15"/>
    <d v="1899-12-30T17:41:00"/>
    <n v="17"/>
    <x v="1"/>
    <s v="PASEO. PINTOR ROSALES / PASEO. MORET"/>
    <x v="9"/>
    <n v="43.05"/>
    <s v="Big"/>
    <x v="0"/>
    <x v="0"/>
    <x v="1"/>
    <s v="Pedestrian"/>
    <x v="8"/>
    <x v="1"/>
    <s v="06"/>
    <n v="6"/>
  </r>
  <r>
    <s v="2019S021542"/>
    <x v="252"/>
    <d v="1899-12-30T08:55:00"/>
    <n v="8"/>
    <x v="0"/>
    <s v="CALL. ORENSE"/>
    <x v="5"/>
    <n v="5.38"/>
    <s v="Small"/>
    <x v="1"/>
    <x v="4"/>
    <x v="1"/>
    <s v="Driver"/>
    <x v="8"/>
    <x v="1"/>
    <s v="06"/>
    <n v="6"/>
  </r>
  <r>
    <s v="2019S021808"/>
    <x v="16"/>
    <d v="1899-12-30T18:50:00"/>
    <n v="18"/>
    <x v="1"/>
    <s v="CALL. MALMOE"/>
    <x v="8"/>
    <n v="11.38"/>
    <s v="Small"/>
    <x v="2"/>
    <x v="2"/>
    <x v="1"/>
    <s v="Driver"/>
    <x v="8"/>
    <x v="0"/>
    <s v="07"/>
    <n v="7"/>
  </r>
  <r>
    <s v="2019S021882"/>
    <x v="62"/>
    <d v="1899-12-30T17:20:00"/>
    <n v="17"/>
    <x v="1"/>
    <s v="CALL. MESON DE PAREDES / CALL. TRIBULETE"/>
    <x v="2"/>
    <n v="5.23"/>
    <s v="Small"/>
    <x v="0"/>
    <x v="3"/>
    <x v="1"/>
    <s v="Driver"/>
    <x v="8"/>
    <x v="0"/>
    <s v="07"/>
    <n v="7"/>
  </r>
  <r>
    <s v="2019S022279"/>
    <x v="102"/>
    <d v="1899-12-30T12:30:00"/>
    <n v="12"/>
    <x v="0"/>
    <s v="CALL. BAILEN"/>
    <x v="2"/>
    <n v="5.23"/>
    <s v="Small"/>
    <x v="0"/>
    <x v="0"/>
    <x v="1"/>
    <s v="Driver"/>
    <x v="8"/>
    <x v="1"/>
    <s v="14"/>
    <n v="14"/>
  </r>
  <r>
    <s v="2019S022362"/>
    <x v="254"/>
    <d v="1899-12-30T09:45:00"/>
    <n v="9"/>
    <x v="0"/>
    <s v="PASEO. ACACIAS"/>
    <x v="11"/>
    <n v="6.46"/>
    <s v="Small"/>
    <x v="0"/>
    <x v="1"/>
    <x v="1"/>
    <s v="Driver"/>
    <x v="8"/>
    <x v="0"/>
    <s v="03"/>
    <n v="3"/>
  </r>
  <r>
    <s v="2019S022613"/>
    <x v="254"/>
    <d v="1899-12-30T00:22:00"/>
    <n v="0"/>
    <x v="0"/>
    <s v="CALL. AYALA / CALL. VELAZQUEZ"/>
    <x v="18"/>
    <n v="5.39"/>
    <s v="Small"/>
    <x v="0"/>
    <x v="4"/>
    <x v="1"/>
    <s v="Driver"/>
    <x v="8"/>
    <x v="0"/>
    <s v="07"/>
    <n v="7"/>
  </r>
  <r>
    <s v="2019S022968"/>
    <x v="104"/>
    <d v="1899-12-30T07:50:00"/>
    <n v="7"/>
    <x v="0"/>
    <s v="CALLE JOAQUIN TURINA-CALLE SITIO DE EL ESCORIAL"/>
    <x v="1"/>
    <n v="14.91"/>
    <s v="Small"/>
    <x v="0"/>
    <x v="0"/>
    <x v="1"/>
    <s v="Pedestrian"/>
    <x v="8"/>
    <x v="1"/>
    <s v="07"/>
    <n v="7"/>
  </r>
  <r>
    <s v="2019S023587"/>
    <x v="19"/>
    <d v="1899-12-30T15:07:00"/>
    <n v="15"/>
    <x v="1"/>
    <s v="CALL. MARQUESA DE TORRECILLA / CALL. MISTERIOS"/>
    <x v="8"/>
    <n v="11.38"/>
    <s v="Small"/>
    <x v="2"/>
    <x v="2"/>
    <x v="1"/>
    <s v="Driver"/>
    <x v="8"/>
    <x v="1"/>
    <s v="07"/>
    <n v="7"/>
  </r>
  <r>
    <s v="2019S024333"/>
    <x v="166"/>
    <d v="1899-12-30T14:25:00"/>
    <n v="14"/>
    <x v="0"/>
    <s v="AVDA. BETANZOS"/>
    <x v="10"/>
    <n v="237.81"/>
    <s v="Big"/>
    <x v="1"/>
    <x v="1"/>
    <x v="1"/>
    <s v="Driver"/>
    <x v="8"/>
    <x v="0"/>
    <s v="07"/>
    <n v="7"/>
  </r>
  <r>
    <s v="2019S024502"/>
    <x v="108"/>
    <d v="1899-12-30T13:05:00"/>
    <n v="13"/>
    <x v="0"/>
    <s v="PASEO. JUAN ANTONIO VALLEJO-NAJERA BOTAS"/>
    <x v="11"/>
    <n v="6.46"/>
    <s v="Small"/>
    <x v="0"/>
    <x v="4"/>
    <x v="1"/>
    <s v="Driver"/>
    <x v="8"/>
    <x v="0"/>
    <s v="01"/>
    <n v="1"/>
  </r>
  <r>
    <s v="2019S024530"/>
    <x v="167"/>
    <d v="1899-12-30T19:50:00"/>
    <n v="19"/>
    <x v="1"/>
    <s v="CALL. SERRANO"/>
    <x v="14"/>
    <n v="9.2100000000000009"/>
    <s v="Small"/>
    <x v="1"/>
    <x v="4"/>
    <x v="1"/>
    <s v="Driver"/>
    <x v="8"/>
    <x v="1"/>
    <s v="07"/>
    <n v="7"/>
  </r>
  <r>
    <s v="2019S025095"/>
    <x v="110"/>
    <d v="1899-12-30T21:00:00"/>
    <n v="21"/>
    <x v="1"/>
    <s v="CALL. BRAVO MURILLO"/>
    <x v="5"/>
    <n v="5.38"/>
    <s v="Small"/>
    <x v="1"/>
    <x v="1"/>
    <x v="1"/>
    <s v="Driver"/>
    <x v="8"/>
    <x v="0"/>
    <s v="02"/>
    <n v="2"/>
  </r>
  <r>
    <s v="2019S025226"/>
    <x v="20"/>
    <d v="1899-12-30T16:58:00"/>
    <n v="16"/>
    <x v="1"/>
    <s v="CALL. CONDE DE PEÑALVER / CALL. HERMOSILLA"/>
    <x v="18"/>
    <n v="5.39"/>
    <s v="Small"/>
    <x v="0"/>
    <x v="3"/>
    <x v="1"/>
    <s v="Driver"/>
    <x v="8"/>
    <x v="0"/>
    <s v="14"/>
    <n v="14"/>
  </r>
  <r>
    <s v="2019S025311"/>
    <x v="20"/>
    <d v="1899-12-30T15:10:00"/>
    <n v="15"/>
    <x v="1"/>
    <s v="AVDA. BURGOS, 89 (RECINTO &quot;ADEQUA&quot;)"/>
    <x v="10"/>
    <n v="237.81"/>
    <s v="Big"/>
    <x v="1"/>
    <x v="4"/>
    <x v="1"/>
    <s v="Driver"/>
    <x v="8"/>
    <x v="0"/>
    <s v="06"/>
    <n v="6"/>
  </r>
  <r>
    <s v="2019S025261"/>
    <x v="20"/>
    <d v="1899-12-30T13:45:00"/>
    <n v="13"/>
    <x v="0"/>
    <s v="CALL. PUERTO DE SOMPORT"/>
    <x v="10"/>
    <n v="237.81"/>
    <s v="Big"/>
    <x v="1"/>
    <x v="1"/>
    <x v="1"/>
    <s v="Driver"/>
    <x v="8"/>
    <x v="0"/>
    <s v="07"/>
    <n v="7"/>
  </r>
  <r>
    <s v="2019S025498"/>
    <x v="46"/>
    <d v="1899-12-30T19:40:00"/>
    <n v="19"/>
    <x v="1"/>
    <s v="CALL. BARCELO"/>
    <x v="2"/>
    <n v="5.23"/>
    <s v="Small"/>
    <x v="0"/>
    <x v="4"/>
    <x v="1"/>
    <s v="Driver"/>
    <x v="8"/>
    <x v="0"/>
    <s v="07"/>
    <n v="7"/>
  </r>
  <r>
    <s v="2019S025778"/>
    <x v="67"/>
    <d v="1899-12-30T19:45:00"/>
    <n v="19"/>
    <x v="1"/>
    <s v="CALL. BRETON DE LOS HERREROS / CALL. PONZANO"/>
    <x v="15"/>
    <n v="4.6900000000000004"/>
    <s v="Small"/>
    <x v="1"/>
    <x v="4"/>
    <x v="1"/>
    <s v="Driver"/>
    <x v="8"/>
    <x v="0"/>
    <s v="07"/>
    <n v="7"/>
  </r>
  <r>
    <s v="2019S025780"/>
    <x v="222"/>
    <d v="1899-12-30T16:30:00"/>
    <n v="16"/>
    <x v="1"/>
    <s v="PASEO. FERNAN NUÑEZ"/>
    <x v="16"/>
    <n v="5.38"/>
    <s v="Small"/>
    <x v="0"/>
    <x v="4"/>
    <x v="1"/>
    <s v="Driver"/>
    <x v="8"/>
    <x v="1"/>
    <s v="02"/>
    <n v="2"/>
  </r>
  <r>
    <s v="2019S025815"/>
    <x v="222"/>
    <d v="1899-12-30T14:02:00"/>
    <n v="14"/>
    <x v="0"/>
    <s v="CALL. SEGOVIA"/>
    <x v="11"/>
    <n v="6.46"/>
    <s v="Small"/>
    <x v="0"/>
    <x v="2"/>
    <x v="1"/>
    <s v="Driver"/>
    <x v="8"/>
    <x v="0"/>
    <s v=""/>
    <s v=""/>
  </r>
  <r>
    <s v="2019S026865"/>
    <x v="114"/>
    <d v="1899-12-30T20:53:00"/>
    <n v="20"/>
    <x v="1"/>
    <s v="CALL. FUENCARRAL"/>
    <x v="2"/>
    <n v="5.23"/>
    <s v="Small"/>
    <x v="0"/>
    <x v="0"/>
    <x v="5"/>
    <s v="Driver"/>
    <x v="8"/>
    <x v="0"/>
    <s v="14"/>
    <n v="14"/>
  </r>
  <r>
    <s v="2019S026808"/>
    <x v="114"/>
    <d v="1899-12-30T12:10:00"/>
    <n v="12"/>
    <x v="0"/>
    <s v="CALL. PUERTO DE PORZUNA / CALL. CABEZA MESADA"/>
    <x v="6"/>
    <n v="51.92"/>
    <s v="Big"/>
    <x v="0"/>
    <x v="4"/>
    <x v="1"/>
    <s v="Driver"/>
    <x v="8"/>
    <x v="1"/>
    <s v="07"/>
    <n v="7"/>
  </r>
  <r>
    <s v="2019S027278"/>
    <x v="272"/>
    <d v="1899-12-30T17:31:00"/>
    <n v="17"/>
    <x v="1"/>
    <s v="CALL. ALFONSO XII / CALL. CLAUDIO MOYANO"/>
    <x v="16"/>
    <n v="5.38"/>
    <s v="Small"/>
    <x v="0"/>
    <x v="4"/>
    <x v="1"/>
    <s v="Driver"/>
    <x v="8"/>
    <x v="0"/>
    <s v="01"/>
    <n v="1"/>
  </r>
  <r>
    <s v="2019S027992"/>
    <x v="273"/>
    <d v="1899-12-30T22:25:00"/>
    <n v="22"/>
    <x v="1"/>
    <s v="CALL. ARROYO DE LA MEDIA LEGUA"/>
    <x v="12"/>
    <n v="6.34"/>
    <s v="Small"/>
    <x v="2"/>
    <x v="2"/>
    <x v="1"/>
    <s v="Driver"/>
    <x v="8"/>
    <x v="0"/>
    <s v="03"/>
    <n v="3"/>
  </r>
  <r>
    <s v="2019S028869"/>
    <x v="179"/>
    <d v="1899-12-30T13:20:00"/>
    <n v="13"/>
    <x v="0"/>
    <s v="CALL. MARCELO USERA / CALL. SAN ANTONIO DE PADUA"/>
    <x v="0"/>
    <n v="12.36"/>
    <s v="Small"/>
    <x v="0"/>
    <x v="2"/>
    <x v="1"/>
    <s v="Driver"/>
    <x v="8"/>
    <x v="0"/>
    <s v=""/>
    <s v=""/>
  </r>
  <r>
    <s v="2019S029341"/>
    <x v="258"/>
    <d v="1899-12-30T21:40:00"/>
    <n v="21"/>
    <x v="1"/>
    <s v="AVDA. PABLO NERUDA"/>
    <x v="17"/>
    <n v="14.89"/>
    <s v="Small"/>
    <x v="0"/>
    <x v="3"/>
    <x v="1"/>
    <s v="Driver"/>
    <x v="8"/>
    <x v="0"/>
    <s v="01"/>
    <n v="1"/>
  </r>
  <r>
    <s v="2019S029817"/>
    <x v="185"/>
    <d v="1899-12-30T12:00:00"/>
    <n v="12"/>
    <x v="0"/>
    <s v="CALL. EMBAJADORES"/>
    <x v="11"/>
    <n v="6.46"/>
    <s v="Small"/>
    <x v="0"/>
    <x v="2"/>
    <x v="1"/>
    <s v="Driver"/>
    <x v="8"/>
    <x v="0"/>
    <s v="05"/>
    <n v="5"/>
  </r>
  <r>
    <s v="2019S029862"/>
    <x v="186"/>
    <d v="1899-12-30T11:55:00"/>
    <n v="11"/>
    <x v="0"/>
    <s v="PARQUE LINEAL DEL MANZANARES"/>
    <x v="1"/>
    <n v="14.91"/>
    <s v="Small"/>
    <x v="0"/>
    <x v="0"/>
    <x v="1"/>
    <s v="Driver"/>
    <x v="8"/>
    <x v="0"/>
    <s v="06"/>
    <n v="6"/>
  </r>
  <r>
    <s v="2019S030058"/>
    <x v="187"/>
    <d v="1899-12-30T15:40:00"/>
    <n v="15"/>
    <x v="1"/>
    <s v="CALL. PRINCIPE DE VERGARA"/>
    <x v="14"/>
    <n v="9.2100000000000009"/>
    <s v="Small"/>
    <x v="1"/>
    <x v="1"/>
    <x v="1"/>
    <s v="Driver"/>
    <x v="8"/>
    <x v="0"/>
    <s v="07"/>
    <n v="7"/>
  </r>
  <r>
    <s v="2019S030584"/>
    <x v="261"/>
    <d v="1899-12-30T10:10:00"/>
    <n v="10"/>
    <x v="0"/>
    <s v="PASEO. VIRGEN DEL PUERTO / PASEO. VIRGEN DEL PUERTO"/>
    <x v="11"/>
    <n v="6.46"/>
    <s v="Small"/>
    <x v="0"/>
    <x v="1"/>
    <x v="1"/>
    <s v="Driver"/>
    <x v="8"/>
    <x v="0"/>
    <s v=""/>
    <s v=""/>
  </r>
  <r>
    <s v="2019S030725"/>
    <x v="120"/>
    <d v="1899-12-30T19:40:00"/>
    <n v="19"/>
    <x v="1"/>
    <s v="CALL. DULCE CHACON / AVDA. INGENIERO EMILIO HERRERA"/>
    <x v="7"/>
    <n v="27.41"/>
    <s v="Big"/>
    <x v="0"/>
    <x v="2"/>
    <x v="1"/>
    <s v="Driver"/>
    <x v="8"/>
    <x v="0"/>
    <s v=""/>
    <s v=""/>
  </r>
  <r>
    <s v="2019S030636"/>
    <x v="120"/>
    <d v="1899-12-30T17:55:00"/>
    <n v="17"/>
    <x v="1"/>
    <s v="CALL. DOCTOR ESQUERDO"/>
    <x v="16"/>
    <n v="5.38"/>
    <s v="Small"/>
    <x v="0"/>
    <x v="3"/>
    <x v="1"/>
    <s v="Driver"/>
    <x v="8"/>
    <x v="1"/>
    <s v="02"/>
    <n v="2"/>
  </r>
  <r>
    <s v="2019S031351"/>
    <x v="124"/>
    <d v="1899-12-30T21:55:00"/>
    <n v="21"/>
    <x v="1"/>
    <s v="PASEO. DELICIAS"/>
    <x v="11"/>
    <n v="6.46"/>
    <s v="Small"/>
    <x v="0"/>
    <x v="1"/>
    <x v="1"/>
    <s v="Driver"/>
    <x v="8"/>
    <x v="0"/>
    <s v="07"/>
    <n v="7"/>
  </r>
  <r>
    <s v="2019S031771"/>
    <x v="76"/>
    <d v="1899-12-30T12:20:00"/>
    <n v="12"/>
    <x v="0"/>
    <s v="CALL. DOCTOR CORTEZO"/>
    <x v="2"/>
    <n v="5.23"/>
    <s v="Small"/>
    <x v="0"/>
    <x v="4"/>
    <x v="1"/>
    <s v="Driver"/>
    <x v="8"/>
    <x v="1"/>
    <s v="02"/>
    <n v="2"/>
  </r>
  <r>
    <s v="2019S032930"/>
    <x v="233"/>
    <d v="1899-12-30T20:45:00"/>
    <n v="20"/>
    <x v="1"/>
    <s v="AVDA. ANDALUCIA"/>
    <x v="0"/>
    <n v="12.36"/>
    <s v="Small"/>
    <x v="0"/>
    <x v="4"/>
    <x v="1"/>
    <s v="Driver"/>
    <x v="8"/>
    <x v="1"/>
    <s v="02"/>
    <n v="2"/>
  </r>
  <r>
    <s v="2019S032223"/>
    <x v="233"/>
    <d v="1899-12-30T18:36:00"/>
    <n v="18"/>
    <x v="1"/>
    <s v="CALL. ALBERTO AGUILERA"/>
    <x v="15"/>
    <n v="4.6900000000000004"/>
    <s v="Small"/>
    <x v="1"/>
    <x v="4"/>
    <x v="1"/>
    <s v="Driver"/>
    <x v="8"/>
    <x v="0"/>
    <s v="07"/>
    <n v="7"/>
  </r>
  <r>
    <s v="2019S032364"/>
    <x v="51"/>
    <d v="1899-12-30T17:25:00"/>
    <n v="17"/>
    <x v="1"/>
    <s v="CALL. MARTINEZ IZQUIERDO"/>
    <x v="18"/>
    <n v="5.39"/>
    <s v="Small"/>
    <x v="0"/>
    <x v="4"/>
    <x v="1"/>
    <s v="Driver"/>
    <x v="8"/>
    <x v="0"/>
    <s v="07"/>
    <n v="7"/>
  </r>
  <r>
    <s v="2019S033105"/>
    <x v="78"/>
    <d v="1899-12-30T21:20:00"/>
    <n v="21"/>
    <x v="1"/>
    <s v="CALL. ENRIQUE LARRETA"/>
    <x v="14"/>
    <n v="9.2100000000000009"/>
    <s v="Small"/>
    <x v="1"/>
    <x v="3"/>
    <x v="1"/>
    <s v="Driver"/>
    <x v="8"/>
    <x v="0"/>
    <s v="07"/>
    <n v="7"/>
  </r>
  <r>
    <s v="2019S033112"/>
    <x v="192"/>
    <d v="1899-12-30T22:10:00"/>
    <n v="22"/>
    <x v="1"/>
    <s v="GTA. RUIZ JIMENEZ / CALL. ALBERTO AGUILERA"/>
    <x v="2"/>
    <n v="5.23"/>
    <s v="Small"/>
    <x v="0"/>
    <x v="2"/>
    <x v="1"/>
    <s v="Driver"/>
    <x v="8"/>
    <x v="0"/>
    <s v="03"/>
    <n v="3"/>
  </r>
  <r>
    <s v="2019S033161"/>
    <x v="79"/>
    <d v="1899-12-30T15:15:00"/>
    <n v="15"/>
    <x v="1"/>
    <s v="CALL. SAN BERNARDO"/>
    <x v="2"/>
    <n v="5.23"/>
    <s v="Small"/>
    <x v="0"/>
    <x v="3"/>
    <x v="0"/>
    <s v="Driver"/>
    <x v="8"/>
    <x v="0"/>
    <s v="07"/>
    <n v="7"/>
  </r>
  <r>
    <s v="2019S034457"/>
    <x v="194"/>
    <d v="1899-12-30T20:10:00"/>
    <n v="20"/>
    <x v="1"/>
    <s v="CALL. ARTURO SORIA"/>
    <x v="8"/>
    <n v="11.38"/>
    <s v="Small"/>
    <x v="2"/>
    <x v="4"/>
    <x v="1"/>
    <s v="Driver"/>
    <x v="8"/>
    <x v="0"/>
    <s v="07"/>
    <n v="7"/>
  </r>
  <r>
    <s v="2019S034960"/>
    <x v="195"/>
    <d v="1899-12-30T23:56:00"/>
    <n v="23"/>
    <x v="1"/>
    <s v="INS. AVENIDA DE LOS TOREROS / CALL. FRANCISCO SANTOS"/>
    <x v="18"/>
    <n v="5.39"/>
    <s v="Small"/>
    <x v="0"/>
    <x v="2"/>
    <x v="0"/>
    <s v="Driver"/>
    <x v="8"/>
    <x v="1"/>
    <s v=""/>
    <s v=""/>
  </r>
  <r>
    <s v="2019S035207"/>
    <x v="274"/>
    <d v="1899-12-30T23:40:00"/>
    <n v="23"/>
    <x v="1"/>
    <s v="CALL. ATOCHA"/>
    <x v="2"/>
    <n v="5.23"/>
    <s v="Small"/>
    <x v="0"/>
    <x v="3"/>
    <x v="1"/>
    <s v="Driver"/>
    <x v="8"/>
    <x v="0"/>
    <s v="07"/>
    <n v="7"/>
  </r>
  <r>
    <s v="2019S035125"/>
    <x v="274"/>
    <d v="1899-12-30T15:20:00"/>
    <n v="15"/>
    <x v="1"/>
    <s v="CALL. BATALLA DEL SALADO / CALL. CACERES"/>
    <x v="11"/>
    <n v="6.46"/>
    <s v="Small"/>
    <x v="0"/>
    <x v="2"/>
    <x v="1"/>
    <s v="Driver"/>
    <x v="8"/>
    <x v="0"/>
    <s v="02"/>
    <n v="2"/>
  </r>
  <r>
    <s v="2019S035344"/>
    <x v="196"/>
    <d v="1899-12-30T13:55:00"/>
    <n v="13"/>
    <x v="0"/>
    <s v="AVDA. LLANO CASTELLANO / AVDA. CARDENAL HERRERA ORIA"/>
    <x v="10"/>
    <n v="237.81"/>
    <s v="Big"/>
    <x v="1"/>
    <x v="0"/>
    <x v="1"/>
    <s v="Driver"/>
    <x v="8"/>
    <x v="0"/>
    <s v="06"/>
    <n v="6"/>
  </r>
  <r>
    <s v="2019S035430"/>
    <x v="275"/>
    <d v="1899-12-30T20:48:00"/>
    <n v="20"/>
    <x v="1"/>
    <s v="AVDA. MENENDEZ PELAYO"/>
    <x v="16"/>
    <n v="5.38"/>
    <s v="Small"/>
    <x v="0"/>
    <x v="1"/>
    <x v="1"/>
    <s v="Driver"/>
    <x v="8"/>
    <x v="0"/>
    <s v="07"/>
    <n v="7"/>
  </r>
  <r>
    <s v="2019S035417"/>
    <x v="275"/>
    <d v="1899-12-30T18:10:00"/>
    <n v="18"/>
    <x v="1"/>
    <s v="CALL. GOYA"/>
    <x v="18"/>
    <n v="5.39"/>
    <s v="Small"/>
    <x v="0"/>
    <x v="5"/>
    <x v="1"/>
    <s v="Driver"/>
    <x v="8"/>
    <x v="1"/>
    <s v=""/>
    <s v=""/>
  </r>
  <r>
    <s v="2019S035440"/>
    <x v="197"/>
    <d v="1899-12-30T07:40:00"/>
    <n v="7"/>
    <x v="0"/>
    <s v="CALL. TENIENTE CORONEL NOREÑA / CALL. TERESA LOPEZ VALCARCEL"/>
    <x v="11"/>
    <n v="6.46"/>
    <s v="Small"/>
    <x v="0"/>
    <x v="3"/>
    <x v="1"/>
    <s v="Driver"/>
    <x v="8"/>
    <x v="1"/>
    <s v="03"/>
    <n v="3"/>
  </r>
  <r>
    <s v="2019S035679"/>
    <x v="132"/>
    <d v="1899-12-30T20:20:00"/>
    <n v="20"/>
    <x v="1"/>
    <s v="PASEO. ESPERANZA / CALL. GARGANTILLA"/>
    <x v="11"/>
    <n v="6.46"/>
    <s v="Small"/>
    <x v="0"/>
    <x v="1"/>
    <x v="1"/>
    <s v="Driver"/>
    <x v="8"/>
    <x v="1"/>
    <s v="01"/>
    <n v="1"/>
  </r>
  <r>
    <s v="2019S036406"/>
    <x v="200"/>
    <d v="1899-12-30T16:20:00"/>
    <n v="16"/>
    <x v="1"/>
    <s v="CALL. TOLEDO / PASEO. JUAN ANTONIO VALLEJO-NAJERA BOTAS"/>
    <x v="11"/>
    <n v="6.46"/>
    <s v="Small"/>
    <x v="0"/>
    <x v="4"/>
    <x v="3"/>
    <s v="Driver"/>
    <x v="8"/>
    <x v="0"/>
    <s v="01"/>
    <n v="1"/>
  </r>
  <r>
    <s v="2019S036642"/>
    <x v="133"/>
    <d v="1899-12-30T22:45:00"/>
    <n v="22"/>
    <x v="1"/>
    <s v="CALL. RIVAS / CALL. BOYER"/>
    <x v="21"/>
    <n v="40.380000000000003"/>
    <s v="Big"/>
    <x v="2"/>
    <x v="4"/>
    <x v="1"/>
    <s v="Driver"/>
    <x v="8"/>
    <x v="0"/>
    <s v="02"/>
    <n v="2"/>
  </r>
  <r>
    <s v="2019S037770"/>
    <x v="83"/>
    <d v="1899-12-30T20:25:00"/>
    <n v="20"/>
    <x v="1"/>
    <s v="AVDA DE LAS FUERZAS ARMADAS/ AVDA DE BUENOS AIRES"/>
    <x v="20"/>
    <n v="41.74"/>
    <s v="Big"/>
    <x v="2"/>
    <x v="6"/>
    <x v="1"/>
    <s v="Driver"/>
    <x v="8"/>
    <x v="0"/>
    <s v="02"/>
    <n v="2"/>
  </r>
  <r>
    <s v="2019S038170"/>
    <x v="265"/>
    <d v="1899-12-30T19:45:00"/>
    <n v="19"/>
    <x v="1"/>
    <s v="CALL. PITAGORAS / PLAZA. GRECIA"/>
    <x v="13"/>
    <n v="22.36"/>
    <s v="Big"/>
    <x v="2"/>
    <x v="1"/>
    <x v="1"/>
    <s v="Driver"/>
    <x v="8"/>
    <x v="0"/>
    <s v="07"/>
    <n v="7"/>
  </r>
  <r>
    <s v="2019S038265"/>
    <x v="265"/>
    <d v="1899-12-30T14:50:00"/>
    <n v="14"/>
    <x v="0"/>
    <s v="CALL. MENDEZ ALVARO / AVDA. PLANETARIO"/>
    <x v="11"/>
    <n v="6.46"/>
    <s v="Small"/>
    <x v="0"/>
    <x v="4"/>
    <x v="1"/>
    <s v="Driver"/>
    <x v="8"/>
    <x v="0"/>
    <s v="01"/>
    <n v="1"/>
  </r>
  <r>
    <s v="2019S038444"/>
    <x v="137"/>
    <d v="1899-12-30T12:50:00"/>
    <n v="12"/>
    <x v="0"/>
    <s v="CALL. EDISON / GTA. LOPEZ DE HOYOS"/>
    <x v="14"/>
    <n v="9.2100000000000009"/>
    <s v="Small"/>
    <x v="1"/>
    <x v="2"/>
    <x v="0"/>
    <s v="Driver"/>
    <x v="8"/>
    <x v="1"/>
    <s v="03"/>
    <n v="3"/>
  </r>
  <r>
    <s v="2019S038876"/>
    <x v="276"/>
    <d v="1899-12-30T14:15:00"/>
    <n v="14"/>
    <x v="0"/>
    <s v="CALL. PONZANO"/>
    <x v="15"/>
    <n v="4.6900000000000004"/>
    <s v="Small"/>
    <x v="1"/>
    <x v="4"/>
    <x v="1"/>
    <s v="Driver"/>
    <x v="8"/>
    <x v="0"/>
    <s v="07"/>
    <n v="7"/>
  </r>
  <r>
    <s v="2019S039799"/>
    <x v="277"/>
    <d v="1899-12-30T09:45:00"/>
    <n v="9"/>
    <x v="0"/>
    <s v="CALL. WALIA / CALL. ANGEL GANIVET"/>
    <x v="16"/>
    <n v="5.38"/>
    <s v="Small"/>
    <x v="0"/>
    <x v="4"/>
    <x v="1"/>
    <s v="Driver"/>
    <x v="8"/>
    <x v="0"/>
    <s v="06"/>
    <n v="6"/>
  </r>
  <r>
    <s v="2019S002373"/>
    <x v="140"/>
    <d v="1899-12-30T20:55:00"/>
    <n v="20"/>
    <x v="1"/>
    <s v="CALL. PUERTO DE LA CRUZ VERDE"/>
    <x v="11"/>
    <n v="6.46"/>
    <s v="Small"/>
    <x v="0"/>
    <x v="0"/>
    <x v="1"/>
    <s v="Driver"/>
    <x v="9"/>
    <x v="0"/>
    <s v="14"/>
    <n v="14"/>
  </r>
  <r>
    <s v="2019S002704"/>
    <x v="30"/>
    <d v="1899-12-30T13:00:00"/>
    <n v="13"/>
    <x v="0"/>
    <s v="CALL. SANCHIDRIAN"/>
    <x v="3"/>
    <n v="25.41"/>
    <s v="Big"/>
    <x v="0"/>
    <x v="1"/>
    <x v="1"/>
    <s v="Driver"/>
    <x v="9"/>
    <x v="0"/>
    <s v="14"/>
    <n v="14"/>
  </r>
  <r>
    <s v="2019S004151"/>
    <x v="54"/>
    <d v="1899-12-30T16:15:00"/>
    <n v="16"/>
    <x v="1"/>
    <s v="CALL. SERRANO"/>
    <x v="14"/>
    <n v="9.2100000000000009"/>
    <s v="Small"/>
    <x v="1"/>
    <x v="1"/>
    <x v="1"/>
    <s v="Driver"/>
    <x v="9"/>
    <x v="1"/>
    <s v="14"/>
    <n v="14"/>
  </r>
  <r>
    <s v="2019S004271"/>
    <x v="278"/>
    <d v="1899-12-30T18:05:00"/>
    <n v="18"/>
    <x v="1"/>
    <s v="AVDA. FERMINA SEVILLANO"/>
    <x v="13"/>
    <n v="22.36"/>
    <s v="Big"/>
    <x v="2"/>
    <x v="2"/>
    <x v="4"/>
    <s v="Driver"/>
    <x v="9"/>
    <x v="0"/>
    <s v=""/>
    <s v=""/>
  </r>
  <r>
    <s v="2019S013729"/>
    <x v="279"/>
    <d v="1899-12-30T16:26:00"/>
    <n v="16"/>
    <x v="1"/>
    <s v="PASEO. RECOLETOS"/>
    <x v="2"/>
    <n v="5.23"/>
    <s v="Small"/>
    <x v="0"/>
    <x v="4"/>
    <x v="3"/>
    <s v="Driver"/>
    <x v="9"/>
    <x v="0"/>
    <s v="02"/>
    <n v="2"/>
  </r>
  <r>
    <s v="2019S007891"/>
    <x v="86"/>
    <d v="1899-12-30T00:15:00"/>
    <n v="0"/>
    <x v="0"/>
    <s v="CALL. FRANCISCO SANTOS / CALL. MARTINEZ IZQUIERDO"/>
    <x v="18"/>
    <n v="5.39"/>
    <s v="Small"/>
    <x v="0"/>
    <x v="2"/>
    <x v="3"/>
    <s v="Driver"/>
    <x v="9"/>
    <x v="0"/>
    <s v="07"/>
    <n v="7"/>
  </r>
  <r>
    <s v="2019S008637"/>
    <x v="280"/>
    <d v="1899-12-30T17:00:00"/>
    <n v="17"/>
    <x v="1"/>
    <s v="CALL. ALTAMIRANO / PASEO. PINTOR ROSALES"/>
    <x v="9"/>
    <n v="43.05"/>
    <s v="Big"/>
    <x v="0"/>
    <x v="4"/>
    <x v="1"/>
    <s v="Driver"/>
    <x v="9"/>
    <x v="1"/>
    <s v="06"/>
    <n v="6"/>
  </r>
  <r>
    <s v="2019S008448"/>
    <x v="31"/>
    <d v="1899-12-30T08:05:00"/>
    <n v="8"/>
    <x v="0"/>
    <s v="AVDA. LLANO CASTELLANO / AVDA. CARDENAL HERRERA ORIA"/>
    <x v="10"/>
    <n v="237.81"/>
    <s v="Big"/>
    <x v="1"/>
    <x v="0"/>
    <x v="1"/>
    <s v="Driver"/>
    <x v="9"/>
    <x v="0"/>
    <s v="02"/>
    <n v="2"/>
  </r>
  <r>
    <s v="2019S010852"/>
    <x v="88"/>
    <d v="1899-12-30T17:30:00"/>
    <n v="17"/>
    <x v="1"/>
    <s v="CALL. SILVANO / CALL. FRANCISCO MOSQUEDA"/>
    <x v="7"/>
    <n v="27.41"/>
    <s v="Big"/>
    <x v="0"/>
    <x v="0"/>
    <x v="1"/>
    <s v="Driver"/>
    <x v="9"/>
    <x v="0"/>
    <s v="02"/>
    <n v="2"/>
  </r>
  <r>
    <s v="2019S010951"/>
    <x v="281"/>
    <d v="1899-12-30T14:10:00"/>
    <n v="14"/>
    <x v="0"/>
    <s v="GTA. ANGEL CAIDO"/>
    <x v="16"/>
    <n v="5.38"/>
    <s v="Small"/>
    <x v="0"/>
    <x v="4"/>
    <x v="1"/>
    <s v="Driver"/>
    <x v="9"/>
    <x v="1"/>
    <s v="06"/>
    <n v="6"/>
  </r>
  <r>
    <s v="2019S011338"/>
    <x v="242"/>
    <d v="1899-12-30T19:55:00"/>
    <n v="19"/>
    <x v="1"/>
    <s v="CALL. JOAQUIN TURINA"/>
    <x v="1"/>
    <n v="14.91"/>
    <s v="Small"/>
    <x v="0"/>
    <x v="4"/>
    <x v="1"/>
    <s v="Driver"/>
    <x v="9"/>
    <x v="1"/>
    <s v="06"/>
    <n v="6"/>
  </r>
  <r>
    <s v="2019S013863"/>
    <x v="56"/>
    <d v="1899-12-30T08:45:00"/>
    <n v="8"/>
    <x v="0"/>
    <s v="GTA. SINTRA / CALL. VIA DE DUBLIN"/>
    <x v="20"/>
    <n v="41.74"/>
    <s v="Big"/>
    <x v="2"/>
    <x v="2"/>
    <x v="1"/>
    <s v="Driver"/>
    <x v="9"/>
    <x v="0"/>
    <s v="07"/>
    <n v="7"/>
  </r>
  <r>
    <s v="2019S014416"/>
    <x v="245"/>
    <d v="1899-12-30T17:00:00"/>
    <n v="17"/>
    <x v="1"/>
    <s v="CALL. ALBAIDA"/>
    <x v="13"/>
    <n v="22.36"/>
    <s v="Big"/>
    <x v="2"/>
    <x v="2"/>
    <x v="1"/>
    <s v="Driver"/>
    <x v="9"/>
    <x v="1"/>
    <s v="06"/>
    <n v="6"/>
  </r>
  <r>
    <s v="2019S016649"/>
    <x v="282"/>
    <d v="1899-12-30T11:55:00"/>
    <n v="11"/>
    <x v="0"/>
    <s v="AVDA. VICTORIA"/>
    <x v="9"/>
    <n v="43.05"/>
    <s v="Big"/>
    <x v="0"/>
    <x v="2"/>
    <x v="4"/>
    <s v="Driver"/>
    <x v="9"/>
    <x v="0"/>
    <s v=""/>
    <s v=""/>
  </r>
  <r>
    <s v="2019S016679"/>
    <x v="152"/>
    <d v="1899-12-30T15:32:00"/>
    <n v="15"/>
    <x v="1"/>
    <s v="AVDA. ENSANCHE DE VALLECAS / AVDA. LA GAVIA"/>
    <x v="6"/>
    <n v="51.92"/>
    <s v="Big"/>
    <x v="0"/>
    <x v="5"/>
    <x v="1"/>
    <s v="Driver"/>
    <x v="9"/>
    <x v="0"/>
    <s v="07"/>
    <n v="7"/>
  </r>
  <r>
    <s v="2019S016943"/>
    <x v="283"/>
    <d v="1899-12-30T12:00:00"/>
    <n v="12"/>
    <x v="0"/>
    <s v="GTA. MARQUES DE VADILLO / PNTE. TOLEDO"/>
    <x v="1"/>
    <n v="14.91"/>
    <s v="Small"/>
    <x v="0"/>
    <x v="4"/>
    <x v="1"/>
    <s v="Driver"/>
    <x v="9"/>
    <x v="0"/>
    <s v="06"/>
    <n v="6"/>
  </r>
  <r>
    <s v="2019S017304"/>
    <x v="247"/>
    <d v="1899-12-30T19:10:00"/>
    <n v="19"/>
    <x v="1"/>
    <s v="CALL. JOAQUIN COSTA, FRENTE Nº 6"/>
    <x v="14"/>
    <n v="9.2100000000000009"/>
    <s v="Small"/>
    <x v="1"/>
    <x v="5"/>
    <x v="1"/>
    <s v="Driver"/>
    <x v="9"/>
    <x v="0"/>
    <s v="07"/>
    <n v="7"/>
  </r>
  <r>
    <s v="2019S017391"/>
    <x v="247"/>
    <d v="1899-12-30T18:55:00"/>
    <n v="18"/>
    <x v="1"/>
    <s v="CALL. MANCHA"/>
    <x v="17"/>
    <n v="14.89"/>
    <s v="Small"/>
    <x v="0"/>
    <x v="3"/>
    <x v="1"/>
    <s v="Driver"/>
    <x v="9"/>
    <x v="0"/>
    <s v="07"/>
    <n v="7"/>
  </r>
  <r>
    <s v="2019S017566"/>
    <x v="249"/>
    <d v="1899-12-30T10:15:00"/>
    <n v="10"/>
    <x v="0"/>
    <s v="GTA. ERMITA DE LA VIRGEN DE LA SOLEDAD"/>
    <x v="20"/>
    <n v="41.74"/>
    <s v="Big"/>
    <x v="2"/>
    <x v="1"/>
    <x v="1"/>
    <s v="Driver"/>
    <x v="9"/>
    <x v="0"/>
    <s v="02"/>
    <n v="2"/>
  </r>
  <r>
    <s v="2019S017873"/>
    <x v="94"/>
    <d v="1899-12-30T13:50:00"/>
    <n v="13"/>
    <x v="0"/>
    <s v="AUTOV. M-607, +01500S"/>
    <x v="10"/>
    <n v="237.81"/>
    <s v="Big"/>
    <x v="1"/>
    <x v="2"/>
    <x v="0"/>
    <s v="Driver"/>
    <x v="9"/>
    <x v="0"/>
    <s v="06"/>
    <n v="6"/>
  </r>
  <r>
    <s v="2019S018517"/>
    <x v="284"/>
    <d v="1899-12-30T17:20:00"/>
    <n v="17"/>
    <x v="1"/>
    <s v="CALL. ALCALA"/>
    <x v="2"/>
    <n v="5.23"/>
    <s v="Small"/>
    <x v="0"/>
    <x v="4"/>
    <x v="1"/>
    <s v="Driver"/>
    <x v="9"/>
    <x v="1"/>
    <s v="02"/>
    <n v="2"/>
  </r>
  <r>
    <s v="2019S018483"/>
    <x v="284"/>
    <d v="1899-12-30T08:00:00"/>
    <n v="8"/>
    <x v="0"/>
    <s v="AVENIDA CANILLEJAS A VICÁLVARO CON GLORIETA M-40"/>
    <x v="13"/>
    <n v="22.36"/>
    <s v="Big"/>
    <x v="2"/>
    <x v="2"/>
    <x v="1"/>
    <s v="Driver"/>
    <x v="9"/>
    <x v="0"/>
    <s v="06"/>
    <n v="6"/>
  </r>
  <r>
    <s v="2019S019899"/>
    <x v="161"/>
    <d v="1899-12-30T07:10:00"/>
    <n v="7"/>
    <x v="0"/>
    <s v="CALL. ALCALA / CALL. LOS URQUIZA"/>
    <x v="8"/>
    <n v="11.38"/>
    <s v="Small"/>
    <x v="2"/>
    <x v="0"/>
    <x v="1"/>
    <s v="Driver"/>
    <x v="9"/>
    <x v="0"/>
    <s v="14"/>
    <n v="14"/>
  </r>
  <r>
    <s v="2019S020574"/>
    <x v="61"/>
    <d v="1899-12-30T14:49:00"/>
    <n v="14"/>
    <x v="0"/>
    <s v="CALL. SESEÑA"/>
    <x v="3"/>
    <n v="25.41"/>
    <s v="Big"/>
    <x v="0"/>
    <x v="0"/>
    <x v="1"/>
    <s v="Driver"/>
    <x v="9"/>
    <x v="0"/>
    <s v="07"/>
    <n v="7"/>
  </r>
  <r>
    <s v="2019S020821"/>
    <x v="1"/>
    <d v="1899-12-30T15:56:00"/>
    <n v="15"/>
    <x v="1"/>
    <s v="AVDA. POBLADOS"/>
    <x v="1"/>
    <n v="14.91"/>
    <s v="Small"/>
    <x v="0"/>
    <x v="2"/>
    <x v="1"/>
    <s v="Driver"/>
    <x v="9"/>
    <x v="0"/>
    <s v="07"/>
    <n v="7"/>
  </r>
  <r>
    <s v="2019S021189"/>
    <x v="285"/>
    <d v="1899-12-30T11:03:00"/>
    <n v="11"/>
    <x v="0"/>
    <s v="AVDA. CERRO MILANO"/>
    <x v="6"/>
    <n v="51.92"/>
    <s v="Big"/>
    <x v="0"/>
    <x v="3"/>
    <x v="2"/>
    <s v="Driver"/>
    <x v="9"/>
    <x v="0"/>
    <s v="14"/>
    <n v="14"/>
  </r>
  <r>
    <s v="2019S021302"/>
    <x v="98"/>
    <d v="1899-12-30T22:20:00"/>
    <n v="22"/>
    <x v="1"/>
    <s v="CALL. SEBASTIAN HERRERA"/>
    <x v="11"/>
    <n v="6.46"/>
    <s v="Small"/>
    <x v="0"/>
    <x v="4"/>
    <x v="1"/>
    <s v="Driver"/>
    <x v="9"/>
    <x v="0"/>
    <s v="07"/>
    <n v="7"/>
  </r>
  <r>
    <s v="2019S021889"/>
    <x v="62"/>
    <d v="1899-12-30T20:40:00"/>
    <n v="20"/>
    <x v="1"/>
    <s v="PQUE. ENRIQUE TIERNO GALVAN"/>
    <x v="11"/>
    <n v="6.46"/>
    <s v="Small"/>
    <x v="0"/>
    <x v="4"/>
    <x v="1"/>
    <s v="Driver"/>
    <x v="9"/>
    <x v="0"/>
    <s v="01"/>
    <n v="1"/>
  </r>
  <r>
    <s v="2019S021957"/>
    <x v="101"/>
    <d v="1899-12-30T19:20:00"/>
    <n v="19"/>
    <x v="1"/>
    <s v="CTRA. M-616, +00500S"/>
    <x v="10"/>
    <n v="237.81"/>
    <s v="Big"/>
    <x v="1"/>
    <x v="2"/>
    <x v="1"/>
    <s v="Driver"/>
    <x v="9"/>
    <x v="1"/>
    <s v="02"/>
    <n v="2"/>
  </r>
  <r>
    <s v="2019S022010"/>
    <x v="286"/>
    <d v="1899-12-30T14:10:00"/>
    <n v="14"/>
    <x v="0"/>
    <s v="PLAZA. CASTILLA / PASEO. CASTELLANA"/>
    <x v="5"/>
    <n v="5.38"/>
    <s v="Small"/>
    <x v="1"/>
    <x v="2"/>
    <x v="1"/>
    <s v="Driver"/>
    <x v="9"/>
    <x v="0"/>
    <s v="14"/>
    <n v="14"/>
  </r>
  <r>
    <s v="2019S022178"/>
    <x v="253"/>
    <d v="1899-12-30T08:55:00"/>
    <n v="8"/>
    <x v="0"/>
    <s v="CALL. TOLEDO / CALL. CONCEPCION JERONIMA"/>
    <x v="2"/>
    <n v="5.23"/>
    <s v="Small"/>
    <x v="0"/>
    <x v="2"/>
    <x v="1"/>
    <s v="Driver"/>
    <x v="9"/>
    <x v="0"/>
    <s v="02"/>
    <n v="2"/>
  </r>
  <r>
    <s v="2019S022327"/>
    <x v="102"/>
    <d v="1899-12-30T17:10:00"/>
    <n v="17"/>
    <x v="1"/>
    <s v="CALL. CONDE DE PEÑALVER"/>
    <x v="18"/>
    <n v="5.39"/>
    <s v="Small"/>
    <x v="0"/>
    <x v="1"/>
    <x v="1"/>
    <s v="Driver"/>
    <x v="9"/>
    <x v="0"/>
    <s v="07"/>
    <n v="7"/>
  </r>
  <r>
    <s v="2019S023041"/>
    <x v="17"/>
    <d v="1899-12-30T23:05:00"/>
    <n v="23"/>
    <x v="1"/>
    <s v="CALL. PICO DE LA MALICIOSA"/>
    <x v="17"/>
    <n v="14.89"/>
    <s v="Small"/>
    <x v="0"/>
    <x v="5"/>
    <x v="1"/>
    <s v="Pedestrian"/>
    <x v="9"/>
    <x v="1"/>
    <s v=""/>
    <s v=""/>
  </r>
  <r>
    <s v="2019S023869"/>
    <x v="220"/>
    <d v="1899-12-30T11:47:00"/>
    <n v="11"/>
    <x v="0"/>
    <s v="CALL. VILLAVICIOSA"/>
    <x v="3"/>
    <n v="25.41"/>
    <s v="Big"/>
    <x v="0"/>
    <x v="4"/>
    <x v="1"/>
    <s v="Driver"/>
    <x v="9"/>
    <x v="1"/>
    <s v="01"/>
    <n v="1"/>
  </r>
  <r>
    <s v="2019S023995"/>
    <x v="107"/>
    <d v="1899-12-30T08:50:00"/>
    <n v="8"/>
    <x v="0"/>
    <s v="PLAZA. SAN JUAN DE LA CRUZ / PASEO. CASTELLANA"/>
    <x v="15"/>
    <n v="4.6900000000000004"/>
    <s v="Small"/>
    <x v="1"/>
    <x v="4"/>
    <x v="1"/>
    <s v="Driver"/>
    <x v="9"/>
    <x v="0"/>
    <s v="06"/>
    <n v="6"/>
  </r>
  <r>
    <s v="2019S024373"/>
    <x v="108"/>
    <d v="1899-12-30T00:40:00"/>
    <n v="0"/>
    <x v="0"/>
    <s v="PLAZA. EMPERADOR CARLOS V"/>
    <x v="2"/>
    <n v="5.23"/>
    <s v="Small"/>
    <x v="0"/>
    <x v="2"/>
    <x v="1"/>
    <s v="Driver"/>
    <x v="9"/>
    <x v="0"/>
    <s v="14"/>
    <n v="14"/>
  </r>
  <r>
    <s v="2019S024979"/>
    <x v="110"/>
    <d v="1899-12-30T11:00:00"/>
    <n v="11"/>
    <x v="0"/>
    <s v="CALL. SAN BERNARDO"/>
    <x v="2"/>
    <n v="5.23"/>
    <s v="Small"/>
    <x v="0"/>
    <x v="4"/>
    <x v="1"/>
    <s v="Driver"/>
    <x v="9"/>
    <x v="1"/>
    <s v="01"/>
    <n v="1"/>
  </r>
  <r>
    <s v="2019S025364"/>
    <x v="287"/>
    <d v="1899-12-30T11:15:00"/>
    <n v="11"/>
    <x v="0"/>
    <s v="CALL. TORRECILLA DEL LEAL / CALL. OLMO"/>
    <x v="2"/>
    <n v="5.23"/>
    <s v="Small"/>
    <x v="0"/>
    <x v="2"/>
    <x v="1"/>
    <s v="Driver"/>
    <x v="9"/>
    <x v="0"/>
    <s v="07"/>
    <n v="7"/>
  </r>
  <r>
    <s v="2019S025968"/>
    <x v="223"/>
    <d v="1899-12-30T18:19:00"/>
    <n v="18"/>
    <x v="1"/>
    <s v="AVDA. CARTAGENA DE INDIAS"/>
    <x v="6"/>
    <n v="51.92"/>
    <s v="Big"/>
    <x v="0"/>
    <x v="2"/>
    <x v="1"/>
    <s v="Driver"/>
    <x v="9"/>
    <x v="1"/>
    <s v="04"/>
    <n v="4"/>
  </r>
  <r>
    <s v="2019S026332"/>
    <x v="3"/>
    <d v="1899-12-30T22:00:00"/>
    <n v="22"/>
    <x v="1"/>
    <s v="AVDA. MANZANARES / PQUE. MADRID RIO"/>
    <x v="1"/>
    <n v="14.91"/>
    <s v="Small"/>
    <x v="0"/>
    <x v="0"/>
    <x v="1"/>
    <s v="Driver"/>
    <x v="9"/>
    <x v="0"/>
    <s v="14"/>
    <n v="14"/>
  </r>
  <r>
    <s v="2019S027141"/>
    <x v="69"/>
    <d v="1899-12-30T11:50:00"/>
    <n v="11"/>
    <x v="0"/>
    <s v="PASEO. CASTELLANA"/>
    <x v="14"/>
    <n v="9.2100000000000009"/>
    <s v="Small"/>
    <x v="1"/>
    <x v="3"/>
    <x v="1"/>
    <s v="Driver"/>
    <x v="9"/>
    <x v="0"/>
    <s v="06"/>
    <n v="6"/>
  </r>
  <r>
    <s v="2019S027521"/>
    <x v="177"/>
    <d v="1899-12-30T10:15:00"/>
    <n v="10"/>
    <x v="0"/>
    <s v="PASEO. SANTA MARIA DE LA CABEZA / CALL. FRAY LUIS DE LEON"/>
    <x v="11"/>
    <n v="6.46"/>
    <s v="Small"/>
    <x v="0"/>
    <x v="4"/>
    <x v="1"/>
    <s v="Driver"/>
    <x v="9"/>
    <x v="1"/>
    <s v="07"/>
    <n v="7"/>
  </r>
  <r>
    <s v="2019S027887"/>
    <x v="71"/>
    <d v="1899-12-30T08:02:00"/>
    <n v="8"/>
    <x v="0"/>
    <s v="CALL. FRANCISCO UMBRAL / CALL. VIA DE DUBLIN"/>
    <x v="20"/>
    <n v="41.74"/>
    <s v="Big"/>
    <x v="2"/>
    <x v="2"/>
    <x v="1"/>
    <s v="Driver"/>
    <x v="9"/>
    <x v="0"/>
    <s v="07"/>
    <n v="7"/>
  </r>
  <r>
    <s v="2019S027988"/>
    <x v="273"/>
    <d v="1899-12-30T19:10:00"/>
    <n v="19"/>
    <x v="1"/>
    <s v="CALL. LADERA DE LOS ALMENDROS / CALL. RAYA"/>
    <x v="21"/>
    <n v="40.380000000000003"/>
    <s v="Big"/>
    <x v="2"/>
    <x v="2"/>
    <x v="1"/>
    <s v="Driver"/>
    <x v="9"/>
    <x v="0"/>
    <s v="07"/>
    <n v="7"/>
  </r>
  <r>
    <s v="2019S028354"/>
    <x v="228"/>
    <d v="1899-12-30T17:05:00"/>
    <n v="17"/>
    <x v="1"/>
    <s v="GLORIETA SOBRE M-40"/>
    <x v="13"/>
    <n v="22.36"/>
    <s v="Big"/>
    <x v="2"/>
    <x v="2"/>
    <x v="1"/>
    <s v="Driver"/>
    <x v="9"/>
    <x v="0"/>
    <s v="02"/>
    <n v="2"/>
  </r>
  <r>
    <s v="2019S028640"/>
    <x v="230"/>
    <d v="1899-12-30T21:40:00"/>
    <n v="21"/>
    <x v="1"/>
    <s v="CMNO. ROBLEDAL"/>
    <x v="9"/>
    <n v="43.05"/>
    <s v="Big"/>
    <x v="0"/>
    <x v="2"/>
    <x v="1"/>
    <s v="Driver"/>
    <x v="9"/>
    <x v="0"/>
    <s v="05"/>
    <n v="5"/>
  </r>
  <r>
    <s v="2019S028835"/>
    <x v="288"/>
    <d v="1899-12-30T20:10:00"/>
    <n v="20"/>
    <x v="1"/>
    <s v="CTRA. ZARZON"/>
    <x v="9"/>
    <n v="43.05"/>
    <s v="Big"/>
    <x v="0"/>
    <x v="0"/>
    <x v="1"/>
    <s v="Driver"/>
    <x v="9"/>
    <x v="1"/>
    <s v="06"/>
    <n v="6"/>
  </r>
  <r>
    <s v="2019S029005"/>
    <x v="182"/>
    <d v="1899-12-30T20:05:00"/>
    <n v="20"/>
    <x v="1"/>
    <s v="PASEO. PONTONES / PASEO. MELANCOLICOS"/>
    <x v="11"/>
    <n v="6.46"/>
    <s v="Small"/>
    <x v="0"/>
    <x v="4"/>
    <x v="1"/>
    <s v="Driver"/>
    <x v="9"/>
    <x v="1"/>
    <s v="01"/>
    <n v="1"/>
  </r>
  <r>
    <s v="2019S029210"/>
    <x v="73"/>
    <d v="1899-12-30T19:10:00"/>
    <n v="19"/>
    <x v="1"/>
    <s v="CAMINO EN ZONA DENOMIDADA COMO &quot;ESPACIO MÉXICO&quot;"/>
    <x v="20"/>
    <n v="41.74"/>
    <s v="Big"/>
    <x v="2"/>
    <x v="6"/>
    <x v="1"/>
    <s v="Driver"/>
    <x v="9"/>
    <x v="0"/>
    <s v="07"/>
    <n v="7"/>
  </r>
  <r>
    <s v="2019S029257"/>
    <x v="258"/>
    <d v="1899-12-30T08:25:00"/>
    <n v="8"/>
    <x v="0"/>
    <s v="AVDA. NUESTRA SEÑORA DE VALVANERA"/>
    <x v="3"/>
    <n v="25.41"/>
    <s v="Big"/>
    <x v="0"/>
    <x v="1"/>
    <x v="1"/>
    <s v="Driver"/>
    <x v="9"/>
    <x v="0"/>
    <s v="03"/>
    <n v="3"/>
  </r>
  <r>
    <s v="2019S029358"/>
    <x v="49"/>
    <d v="1899-12-30T13:35:00"/>
    <n v="13"/>
    <x v="0"/>
    <s v="PASEO. DELICIAS"/>
    <x v="11"/>
    <n v="6.46"/>
    <s v="Small"/>
    <x v="0"/>
    <x v="2"/>
    <x v="1"/>
    <s v="Driver"/>
    <x v="9"/>
    <x v="1"/>
    <s v="05"/>
    <n v="5"/>
  </r>
  <r>
    <s v="2019S029814"/>
    <x v="185"/>
    <d v="1899-12-30T13:00:00"/>
    <n v="13"/>
    <x v="0"/>
    <s v="PASEO. INFANTA ISABEL / ESTFE. ATOCHA"/>
    <x v="16"/>
    <n v="5.38"/>
    <s v="Small"/>
    <x v="0"/>
    <x v="1"/>
    <x v="1"/>
    <s v="Driver"/>
    <x v="9"/>
    <x v="0"/>
    <s v="14"/>
    <n v="14"/>
  </r>
  <r>
    <s v="2019S030050"/>
    <x v="187"/>
    <d v="1899-12-30T22:15:00"/>
    <n v="22"/>
    <x v="1"/>
    <s v="PASEO. CASTELLANA"/>
    <x v="14"/>
    <n v="9.2100000000000009"/>
    <s v="Small"/>
    <x v="1"/>
    <x v="3"/>
    <x v="1"/>
    <s v="Driver"/>
    <x v="9"/>
    <x v="1"/>
    <s v="02"/>
    <n v="2"/>
  </r>
  <r>
    <s v="2019S030194"/>
    <x v="187"/>
    <d v="1899-12-30T07:20:00"/>
    <n v="7"/>
    <x v="0"/>
    <s v="AVDA. NICETO ALCALA ZAMORA"/>
    <x v="7"/>
    <n v="27.41"/>
    <s v="Big"/>
    <x v="0"/>
    <x v="3"/>
    <x v="1"/>
    <s v="Driver"/>
    <x v="9"/>
    <x v="1"/>
    <s v="02"/>
    <n v="2"/>
  </r>
  <r>
    <s v="2019S030537"/>
    <x v="289"/>
    <d v="1899-12-30T15:15:00"/>
    <n v="15"/>
    <x v="1"/>
    <s v="CALL. LOPE DE VEGA / PASEO. PRADO"/>
    <x v="2"/>
    <n v="5.23"/>
    <s v="Small"/>
    <x v="0"/>
    <x v="4"/>
    <x v="3"/>
    <s v="Driver"/>
    <x v="9"/>
    <x v="1"/>
    <s v="01"/>
    <n v="1"/>
  </r>
  <r>
    <s v="2019S030598"/>
    <x v="120"/>
    <d v="1899-12-30T10:00:00"/>
    <n v="10"/>
    <x v="0"/>
    <s v="PLAZA DEL CINE CALLE VIRIDIANA"/>
    <x v="17"/>
    <n v="14.89"/>
    <s v="Small"/>
    <x v="0"/>
    <x v="2"/>
    <x v="1"/>
    <s v="Driver"/>
    <x v="9"/>
    <x v="0"/>
    <s v="07"/>
    <n v="7"/>
  </r>
  <r>
    <s v="2019S030871"/>
    <x v="290"/>
    <d v="1899-12-30T13:40:00"/>
    <n v="13"/>
    <x v="0"/>
    <s v="CALL. BRAVO MURILLO / CALL. LOPE DE HARO"/>
    <x v="5"/>
    <n v="5.38"/>
    <s v="Small"/>
    <x v="1"/>
    <x v="1"/>
    <x v="1"/>
    <s v="Driver"/>
    <x v="9"/>
    <x v="0"/>
    <s v="02"/>
    <n v="2"/>
  </r>
  <r>
    <s v="2019S031772"/>
    <x v="189"/>
    <d v="1899-12-30T13:35:00"/>
    <n v="13"/>
    <x v="0"/>
    <s v="CTRA. ZARZON"/>
    <x v="9"/>
    <n v="43.05"/>
    <s v="Big"/>
    <x v="0"/>
    <x v="4"/>
    <x v="1"/>
    <s v="Driver"/>
    <x v="9"/>
    <x v="0"/>
    <s v="07"/>
    <n v="7"/>
  </r>
  <r>
    <s v="2019S031531"/>
    <x v="125"/>
    <d v="1899-12-30T20:31:00"/>
    <n v="20"/>
    <x v="1"/>
    <s v="RONDA. ATOCHA"/>
    <x v="11"/>
    <n v="6.46"/>
    <s v="Small"/>
    <x v="0"/>
    <x v="4"/>
    <x v="1"/>
    <s v="Driver"/>
    <x v="9"/>
    <x v="0"/>
    <s v="07"/>
    <n v="7"/>
  </r>
  <r>
    <s v="2019S032042"/>
    <x v="76"/>
    <d v="1899-12-30T20:05:00"/>
    <n v="20"/>
    <x v="1"/>
    <s v="CALL. CALDERILLA"/>
    <x v="1"/>
    <n v="14.91"/>
    <s v="Small"/>
    <x v="0"/>
    <x v="4"/>
    <x v="1"/>
    <s v="Driver"/>
    <x v="9"/>
    <x v="1"/>
    <s v="06"/>
    <n v="6"/>
  </r>
  <r>
    <s v="2019S031989"/>
    <x v="77"/>
    <d v="1899-12-30T14:10:00"/>
    <n v="14"/>
    <x v="0"/>
    <s v="CALL. SANTA ENGRACIA"/>
    <x v="15"/>
    <n v="4.6900000000000004"/>
    <s v="Small"/>
    <x v="1"/>
    <x v="2"/>
    <x v="1"/>
    <s v="Driver"/>
    <x v="9"/>
    <x v="0"/>
    <s v="14"/>
    <n v="14"/>
  </r>
  <r>
    <s v="2019S033087"/>
    <x v="126"/>
    <d v="1899-12-30T17:13:00"/>
    <n v="17"/>
    <x v="1"/>
    <s v="CALL. CARABIAS"/>
    <x v="3"/>
    <n v="25.41"/>
    <s v="Big"/>
    <x v="0"/>
    <x v="0"/>
    <x v="2"/>
    <s v="Driver"/>
    <x v="9"/>
    <x v="0"/>
    <s v="14"/>
    <n v="14"/>
  </r>
  <r>
    <s v="2019S032272"/>
    <x v="233"/>
    <d v="1899-12-30T11:00:00"/>
    <n v="11"/>
    <x v="0"/>
    <s v="CALL. SANTA SUSANA"/>
    <x v="7"/>
    <n v="27.41"/>
    <s v="Big"/>
    <x v="0"/>
    <x v="4"/>
    <x v="1"/>
    <s v="Driver"/>
    <x v="9"/>
    <x v="0"/>
    <s v="02"/>
    <n v="2"/>
  </r>
  <r>
    <s v="2019S032125"/>
    <x v="233"/>
    <d v="1899-12-30T01:45:00"/>
    <n v="1"/>
    <x v="0"/>
    <s v="GTA. SANTA MARIA DE LA CABEZA / GTA. SANTA MARIA DE LA CABEZA"/>
    <x v="11"/>
    <n v="6.46"/>
    <s v="Small"/>
    <x v="0"/>
    <x v="0"/>
    <x v="1"/>
    <s v="Pedestrian"/>
    <x v="9"/>
    <x v="1"/>
    <s v="07"/>
    <n v="7"/>
  </r>
  <r>
    <s v="2019S032353"/>
    <x v="51"/>
    <d v="1899-12-30T10:15:00"/>
    <n v="10"/>
    <x v="0"/>
    <s v="CALL. AREQUIPA"/>
    <x v="7"/>
    <n v="27.41"/>
    <s v="Big"/>
    <x v="0"/>
    <x v="2"/>
    <x v="1"/>
    <s v="Driver"/>
    <x v="9"/>
    <x v="1"/>
    <s v="07"/>
    <n v="7"/>
  </r>
  <r>
    <s v="2019S032645"/>
    <x v="127"/>
    <d v="1899-12-30T18:00:00"/>
    <n v="18"/>
    <x v="1"/>
    <s v="CALL. ALCALA"/>
    <x v="2"/>
    <n v="5.23"/>
    <s v="Small"/>
    <x v="0"/>
    <x v="3"/>
    <x v="1"/>
    <s v="Driver"/>
    <x v="9"/>
    <x v="0"/>
    <s v="06"/>
    <n v="6"/>
  </r>
  <r>
    <s v="2019S032970"/>
    <x v="128"/>
    <d v="1899-12-30T10:05:00"/>
    <n v="10"/>
    <x v="0"/>
    <s v="CALL. SAMARIA / AVDA. NAZARET"/>
    <x v="16"/>
    <n v="5.38"/>
    <s v="Small"/>
    <x v="0"/>
    <x v="4"/>
    <x v="1"/>
    <s v="Driver"/>
    <x v="9"/>
    <x v="0"/>
    <s v="02"/>
    <n v="2"/>
  </r>
  <r>
    <s v="2019S033173"/>
    <x v="79"/>
    <d v="1899-12-30T16:00:00"/>
    <n v="16"/>
    <x v="1"/>
    <s v="PASEO. RECOLETOS"/>
    <x v="2"/>
    <n v="5.23"/>
    <s v="Small"/>
    <x v="0"/>
    <x v="1"/>
    <x v="1"/>
    <s v="Driver"/>
    <x v="9"/>
    <x v="0"/>
    <s v="07"/>
    <n v="7"/>
  </r>
  <r>
    <s v="2019S033221"/>
    <x v="79"/>
    <d v="1899-12-30T07:05:00"/>
    <n v="7"/>
    <x v="0"/>
    <s v="AVDA. MORATALAZ / PLAZA. CORREGIDOR ALONSO DE AGUILAR"/>
    <x v="12"/>
    <n v="6.34"/>
    <s v="Small"/>
    <x v="2"/>
    <x v="2"/>
    <x v="3"/>
    <s v="Driver"/>
    <x v="9"/>
    <x v="1"/>
    <s v="07"/>
    <n v="7"/>
  </r>
  <r>
    <s v="2019S033325"/>
    <x v="234"/>
    <d v="1899-12-30T15:25:00"/>
    <n v="15"/>
    <x v="1"/>
    <s v="CALL. SERRANO"/>
    <x v="14"/>
    <n v="9.2100000000000009"/>
    <s v="Small"/>
    <x v="1"/>
    <x v="1"/>
    <x v="1"/>
    <s v="Driver"/>
    <x v="9"/>
    <x v="0"/>
    <s v="14"/>
    <n v="14"/>
  </r>
  <r>
    <s v="2019S033273"/>
    <x v="234"/>
    <d v="1899-12-30T08:15:00"/>
    <n v="8"/>
    <x v="0"/>
    <s v="CALL. BRAVO MURILLO"/>
    <x v="5"/>
    <n v="5.38"/>
    <s v="Small"/>
    <x v="1"/>
    <x v="4"/>
    <x v="3"/>
    <s v="Driver"/>
    <x v="9"/>
    <x v="0"/>
    <s v="06"/>
    <n v="6"/>
  </r>
  <r>
    <s v="2019S033517"/>
    <x v="52"/>
    <d v="1899-12-30T11:00:00"/>
    <n v="11"/>
    <x v="0"/>
    <s v="CALL. ANTONIA CALVO / CALL. ALHAMBRA"/>
    <x v="3"/>
    <n v="25.41"/>
    <s v="Big"/>
    <x v="0"/>
    <x v="3"/>
    <x v="1"/>
    <s v="Driver"/>
    <x v="9"/>
    <x v="1"/>
    <s v="07"/>
    <n v="7"/>
  </r>
  <r>
    <s v="2019S033563"/>
    <x v="80"/>
    <d v="1899-12-30T15:25:00"/>
    <n v="15"/>
    <x v="1"/>
    <s v="CALL. O'DONNELL / AVDA. MENENDEZ PELAYO"/>
    <x v="16"/>
    <n v="5.38"/>
    <s v="Small"/>
    <x v="0"/>
    <x v="0"/>
    <x v="1"/>
    <s v="Pedestrian"/>
    <x v="9"/>
    <x v="0"/>
    <s v="07"/>
    <n v="7"/>
  </r>
  <r>
    <s v="2019S036636"/>
    <x v="291"/>
    <d v="1899-12-30T09:35:00"/>
    <n v="9"/>
    <x v="0"/>
    <s v="CALL. CANTALEJO"/>
    <x v="10"/>
    <n v="237.81"/>
    <s v="Big"/>
    <x v="1"/>
    <x v="4"/>
    <x v="1"/>
    <s v="Driver"/>
    <x v="9"/>
    <x v="0"/>
    <s v="06"/>
    <n v="6"/>
  </r>
  <r>
    <s v="2019S038470"/>
    <x v="238"/>
    <d v="1899-12-30T20:00:00"/>
    <n v="20"/>
    <x v="1"/>
    <s v="GTA. PINTOR SOROLLA / CALL. ELOY GONZALO"/>
    <x v="15"/>
    <n v="4.6900000000000004"/>
    <s v="Small"/>
    <x v="1"/>
    <x v="4"/>
    <x v="1"/>
    <s v="Driver"/>
    <x v="9"/>
    <x v="0"/>
    <s v="02"/>
    <n v="2"/>
  </r>
  <r>
    <s v="2019S038773"/>
    <x v="292"/>
    <d v="1899-12-30T11:25:00"/>
    <n v="11"/>
    <x v="0"/>
    <s v="CTRA. ZARZON / CTRA. RODAJOS"/>
    <x v="9"/>
    <n v="43.05"/>
    <s v="Big"/>
    <x v="0"/>
    <x v="0"/>
    <x v="1"/>
    <s v="Driver"/>
    <x v="9"/>
    <x v="0"/>
    <s v="14"/>
    <n v="14"/>
  </r>
  <r>
    <s v="2019S038869"/>
    <x v="277"/>
    <d v="1899-12-30T07:45:00"/>
    <n v="7"/>
    <x v="0"/>
    <s v="CALL. RICARDO ORTIZ"/>
    <x v="8"/>
    <n v="11.38"/>
    <s v="Small"/>
    <x v="2"/>
    <x v="2"/>
    <x v="3"/>
    <s v="Driver"/>
    <x v="9"/>
    <x v="0"/>
    <s v="01"/>
    <n v="1"/>
  </r>
  <r>
    <s v="2019S002882"/>
    <x v="293"/>
    <d v="1899-12-30T20:30:00"/>
    <n v="20"/>
    <x v="1"/>
    <s v="PASEO. JUAN ANTONIO VALLEJO-NAJERA BOTAS / CALL. GASOMETRO"/>
    <x v="11"/>
    <n v="6.46"/>
    <s v="Small"/>
    <x v="0"/>
    <x v="4"/>
    <x v="1"/>
    <s v="Driver"/>
    <x v="10"/>
    <x v="0"/>
    <s v="02"/>
    <n v="2"/>
  </r>
  <r>
    <s v="2019S003277"/>
    <x v="142"/>
    <d v="1899-12-30T16:30:00"/>
    <n v="16"/>
    <x v="1"/>
    <s v="CALL. SANTA GENOVEVA / PLAZA. AGUSTIN GONZALEZ"/>
    <x v="8"/>
    <n v="11.38"/>
    <s v="Small"/>
    <x v="2"/>
    <x v="3"/>
    <x v="1"/>
    <s v="Driver"/>
    <x v="10"/>
    <x v="1"/>
    <s v="14"/>
    <n v="14"/>
  </r>
  <r>
    <s v="2019S004769"/>
    <x v="278"/>
    <d v="1899-12-30T07:55:00"/>
    <n v="7"/>
    <x v="0"/>
    <s v="CALL. GENOVA"/>
    <x v="2"/>
    <n v="5.23"/>
    <s v="Small"/>
    <x v="0"/>
    <x v="4"/>
    <x v="1"/>
    <s v="Driver"/>
    <x v="10"/>
    <x v="0"/>
    <s v="02"/>
    <n v="2"/>
  </r>
  <r>
    <s v="2019S007920"/>
    <x v="241"/>
    <d v="1899-12-30T11:07:00"/>
    <n v="11"/>
    <x v="0"/>
    <s v="CALL. MARCELO USERA / CALL. MANUEL NOYA"/>
    <x v="0"/>
    <n v="12.36"/>
    <s v="Small"/>
    <x v="0"/>
    <x v="0"/>
    <x v="1"/>
    <s v="Driver"/>
    <x v="10"/>
    <x v="1"/>
    <s v="14"/>
    <n v="14"/>
  </r>
  <r>
    <s v="2019S008489"/>
    <x v="31"/>
    <d v="1899-12-30T10:25:00"/>
    <n v="10"/>
    <x v="0"/>
    <s v="CALL. JUAN BRAVO"/>
    <x v="18"/>
    <n v="5.39"/>
    <s v="Small"/>
    <x v="0"/>
    <x v="2"/>
    <x v="1"/>
    <s v="Driver"/>
    <x v="10"/>
    <x v="0"/>
    <s v="02"/>
    <n v="2"/>
  </r>
  <r>
    <s v="2019S009731"/>
    <x v="146"/>
    <d v="1899-12-30T22:30:00"/>
    <n v="22"/>
    <x v="1"/>
    <s v="CALL. ALCALA"/>
    <x v="2"/>
    <n v="5.23"/>
    <s v="Small"/>
    <x v="0"/>
    <x v="4"/>
    <x v="2"/>
    <s v="Driver"/>
    <x v="10"/>
    <x v="1"/>
    <s v="07"/>
    <n v="7"/>
  </r>
  <r>
    <s v="2019S010855"/>
    <x v="89"/>
    <d v="1899-12-30T18:00:00"/>
    <n v="18"/>
    <x v="1"/>
    <s v="AUTOV. M-40 CON AVDA. DOCTOR GARCIA TAPIA"/>
    <x v="12"/>
    <n v="6.34"/>
    <s v="Small"/>
    <x v="2"/>
    <x v="1"/>
    <x v="1"/>
    <s v="Driver"/>
    <x v="10"/>
    <x v="0"/>
    <s v="07"/>
    <n v="7"/>
  </r>
  <r>
    <s v="2019S012186"/>
    <x v="294"/>
    <d v="1899-12-30T11:57:00"/>
    <n v="11"/>
    <x v="0"/>
    <s v="CALL. IGLESIAS EXTRAMUROS / AVDA. PESETA"/>
    <x v="3"/>
    <n v="25.41"/>
    <s v="Big"/>
    <x v="0"/>
    <x v="2"/>
    <x v="1"/>
    <s v="Driver"/>
    <x v="10"/>
    <x v="0"/>
    <s v="07"/>
    <n v="7"/>
  </r>
  <r>
    <s v="2019S013751"/>
    <x v="55"/>
    <d v="1899-12-30T10:25:00"/>
    <n v="10"/>
    <x v="0"/>
    <s v="PASEO. FERNAN NUÑEZ / PASEO. VENEZUELA"/>
    <x v="16"/>
    <n v="5.38"/>
    <s v="Small"/>
    <x v="0"/>
    <x v="4"/>
    <x v="1"/>
    <s v="Driver"/>
    <x v="10"/>
    <x v="0"/>
    <s v="06"/>
    <n v="6"/>
  </r>
  <r>
    <s v="2019S013999"/>
    <x v="33"/>
    <d v="1899-12-30T13:00:00"/>
    <n v="13"/>
    <x v="0"/>
    <s v="CALL. MODESTO LAFUENTE"/>
    <x v="15"/>
    <n v="4.6900000000000004"/>
    <s v="Small"/>
    <x v="1"/>
    <x v="4"/>
    <x v="1"/>
    <s v="Driver"/>
    <x v="10"/>
    <x v="0"/>
    <s v="07"/>
    <n v="7"/>
  </r>
  <r>
    <s v="2019S013972"/>
    <x v="149"/>
    <d v="1899-12-30T04:00:00"/>
    <n v="4"/>
    <x v="0"/>
    <s v="PASEO. PRADO"/>
    <x v="2"/>
    <n v="5.23"/>
    <s v="Small"/>
    <x v="0"/>
    <x v="4"/>
    <x v="1"/>
    <s v="Driver"/>
    <x v="10"/>
    <x v="0"/>
    <s v="07"/>
    <n v="7"/>
  </r>
  <r>
    <s v="2019S016975"/>
    <x v="153"/>
    <d v="1899-12-30T14:10:00"/>
    <n v="14"/>
    <x v="0"/>
    <s v="PASEO. LA HABANA / CALL. SANTIAGO BERNABEU"/>
    <x v="14"/>
    <n v="9.2100000000000009"/>
    <s v="Small"/>
    <x v="1"/>
    <x v="2"/>
    <x v="1"/>
    <s v="Driver"/>
    <x v="10"/>
    <x v="0"/>
    <s v="07"/>
    <n v="7"/>
  </r>
  <r>
    <s v="2019S017589"/>
    <x v="248"/>
    <d v="1899-12-30T20:50:00"/>
    <n v="20"/>
    <x v="1"/>
    <s v="AVDA. RAFAELA YBARRA"/>
    <x v="0"/>
    <n v="12.36"/>
    <s v="Small"/>
    <x v="0"/>
    <x v="3"/>
    <x v="4"/>
    <s v="Driver"/>
    <x v="10"/>
    <x v="0"/>
    <s v=""/>
    <s v=""/>
  </r>
  <r>
    <s v="2019S017586"/>
    <x v="248"/>
    <d v="1899-12-30T17:50:00"/>
    <n v="17"/>
    <x v="1"/>
    <s v="AVDA. MIRAFLORES"/>
    <x v="9"/>
    <n v="43.05"/>
    <s v="Big"/>
    <x v="0"/>
    <x v="1"/>
    <x v="1"/>
    <s v="Driver"/>
    <x v="10"/>
    <x v="0"/>
    <s v="02"/>
    <n v="2"/>
  </r>
  <r>
    <s v="2019S017848"/>
    <x v="93"/>
    <d v="1899-12-30T18:00:00"/>
    <n v="18"/>
    <x v="1"/>
    <s v="JUNTO A HUERTA DE LA PARTIDA"/>
    <x v="9"/>
    <n v="43.05"/>
    <s v="Big"/>
    <x v="0"/>
    <x v="2"/>
    <x v="1"/>
    <s v="Driver"/>
    <x v="10"/>
    <x v="0"/>
    <s v="14"/>
    <n v="14"/>
  </r>
  <r>
    <s v="2019S019332"/>
    <x v="158"/>
    <d v="1899-12-30T18:30:00"/>
    <n v="18"/>
    <x v="1"/>
    <s v="PASEO. EXTREMADURA"/>
    <x v="3"/>
    <n v="25.41"/>
    <s v="Big"/>
    <x v="0"/>
    <x v="4"/>
    <x v="1"/>
    <s v="Driver"/>
    <x v="10"/>
    <x v="0"/>
    <s v="07"/>
    <n v="7"/>
  </r>
  <r>
    <s v="2019S020144"/>
    <x v="95"/>
    <d v="1899-12-30T12:55:00"/>
    <n v="12"/>
    <x v="0"/>
    <s v="AVDA. COMUNIDADES / AVDA. DEMOCRACIA"/>
    <x v="21"/>
    <n v="40.380000000000003"/>
    <s v="Big"/>
    <x v="2"/>
    <x v="2"/>
    <x v="1"/>
    <s v="Driver"/>
    <x v="10"/>
    <x v="0"/>
    <s v="07"/>
    <n v="7"/>
  </r>
  <r>
    <s v="2019S020459"/>
    <x v="251"/>
    <d v="1899-12-30T07:40:00"/>
    <n v="7"/>
    <x v="0"/>
    <s v="CALL. ALCALA"/>
    <x v="2"/>
    <n v="5.23"/>
    <s v="Small"/>
    <x v="0"/>
    <x v="1"/>
    <x v="1"/>
    <s v="Driver"/>
    <x v="10"/>
    <x v="0"/>
    <s v="02"/>
    <n v="2"/>
  </r>
  <r>
    <s v="2019S020547"/>
    <x v="39"/>
    <d v="1899-12-30T11:35:00"/>
    <n v="11"/>
    <x v="0"/>
    <s v="CALL. ALCALA / PALAC. CIBELES"/>
    <x v="16"/>
    <n v="5.38"/>
    <s v="Small"/>
    <x v="0"/>
    <x v="2"/>
    <x v="1"/>
    <s v="Driver"/>
    <x v="10"/>
    <x v="0"/>
    <s v="07"/>
    <n v="7"/>
  </r>
  <r>
    <s v="2019S020721"/>
    <x v="1"/>
    <d v="1899-12-30T15:30:00"/>
    <n v="15"/>
    <x v="1"/>
    <s v="AVDA. ASTURIAS"/>
    <x v="5"/>
    <n v="5.38"/>
    <s v="Small"/>
    <x v="1"/>
    <x v="4"/>
    <x v="1"/>
    <s v="Driver"/>
    <x v="10"/>
    <x v="0"/>
    <s v="02"/>
    <n v="2"/>
  </r>
  <r>
    <s v="2019S020683"/>
    <x v="1"/>
    <d v="1899-12-30T01:20:00"/>
    <n v="1"/>
    <x v="0"/>
    <s v="CALL. ALCALA"/>
    <x v="2"/>
    <n v="5.23"/>
    <s v="Small"/>
    <x v="0"/>
    <x v="6"/>
    <x v="1"/>
    <s v="Driver"/>
    <x v="10"/>
    <x v="0"/>
    <s v="07"/>
    <n v="7"/>
  </r>
  <r>
    <s v="2019S021095"/>
    <x v="285"/>
    <d v="1899-12-30T20:00:00"/>
    <n v="20"/>
    <x v="1"/>
    <s v="CALL. GABRIELA MISTRAL"/>
    <x v="10"/>
    <n v="237.81"/>
    <s v="Big"/>
    <x v="1"/>
    <x v="4"/>
    <x v="1"/>
    <s v="Driver"/>
    <x v="10"/>
    <x v="0"/>
    <s v="02"/>
    <n v="2"/>
  </r>
  <r>
    <s v="2019S021189"/>
    <x v="285"/>
    <d v="1899-12-30T11:03:00"/>
    <n v="11"/>
    <x v="0"/>
    <s v="AVDA. CERRO MILANO"/>
    <x v="6"/>
    <n v="51.92"/>
    <s v="Big"/>
    <x v="0"/>
    <x v="3"/>
    <x v="2"/>
    <s v="Driver"/>
    <x v="10"/>
    <x v="0"/>
    <s v="01"/>
    <n v="1"/>
  </r>
  <r>
    <s v="2019S021343"/>
    <x v="98"/>
    <d v="1899-12-30T16:25:00"/>
    <n v="16"/>
    <x v="1"/>
    <s v="PASEO. PRADO"/>
    <x v="2"/>
    <n v="5.23"/>
    <s v="Small"/>
    <x v="0"/>
    <x v="4"/>
    <x v="1"/>
    <s v="Driver"/>
    <x v="10"/>
    <x v="0"/>
    <s v="07"/>
    <n v="7"/>
  </r>
  <r>
    <s v="2019S021486"/>
    <x v="100"/>
    <d v="1899-12-30T10:45:00"/>
    <n v="10"/>
    <x v="0"/>
    <s v="AVDA. LOGROÑO / AUTOV. M-40"/>
    <x v="20"/>
    <n v="41.74"/>
    <s v="Big"/>
    <x v="2"/>
    <x v="2"/>
    <x v="1"/>
    <s v="Driver"/>
    <x v="10"/>
    <x v="0"/>
    <s v="14"/>
    <n v="14"/>
  </r>
  <r>
    <s v="2019S022320"/>
    <x v="102"/>
    <d v="1899-12-30T19:13:00"/>
    <n v="19"/>
    <x v="1"/>
    <s v="AVDA. LOS ROSALES / CTRA. M-301"/>
    <x v="4"/>
    <n v="20.25"/>
    <s v="Big"/>
    <x v="0"/>
    <x v="5"/>
    <x v="1"/>
    <s v="Driver"/>
    <x v="10"/>
    <x v="0"/>
    <s v="07"/>
    <n v="7"/>
  </r>
  <r>
    <s v="2019S023844"/>
    <x v="2"/>
    <d v="1899-12-30T22:16:00"/>
    <n v="22"/>
    <x v="1"/>
    <s v="CALL. JORGE JUAN / CALL. FERNAN GONZALEZ"/>
    <x v="18"/>
    <n v="5.39"/>
    <s v="Small"/>
    <x v="0"/>
    <x v="2"/>
    <x v="1"/>
    <s v="Driver"/>
    <x v="10"/>
    <x v="0"/>
    <s v="07"/>
    <n v="7"/>
  </r>
  <r>
    <s v="2019S025143"/>
    <x v="111"/>
    <d v="1899-12-30T07:57:00"/>
    <n v="7"/>
    <x v="0"/>
    <s v="IDB. PARQUE LINEAL DEL MANZANARES"/>
    <x v="17"/>
    <n v="14.89"/>
    <s v="Small"/>
    <x v="0"/>
    <x v="2"/>
    <x v="1"/>
    <s v="Driver"/>
    <x v="10"/>
    <x v="0"/>
    <s v="07"/>
    <n v="7"/>
  </r>
  <r>
    <s v="2019S025402"/>
    <x v="66"/>
    <d v="1899-12-30T20:30:00"/>
    <n v="20"/>
    <x v="1"/>
    <s v="CALL. MONASTERIO DE OSEIRA, 17B (ANILLO VERDE, 58)"/>
    <x v="10"/>
    <n v="237.81"/>
    <s v="Big"/>
    <x v="1"/>
    <x v="4"/>
    <x v="1"/>
    <s v="Driver"/>
    <x v="10"/>
    <x v="0"/>
    <s v="02"/>
    <n v="2"/>
  </r>
  <r>
    <s v="2019S025582"/>
    <x v="287"/>
    <d v="1899-12-30T21:55:00"/>
    <n v="21"/>
    <x v="1"/>
    <s v="AVDA. MARQUES DE CORBERA / CALL. POETA BLAS DE OTERO"/>
    <x v="8"/>
    <n v="11.38"/>
    <s v="Small"/>
    <x v="2"/>
    <x v="4"/>
    <x v="1"/>
    <s v="Driver"/>
    <x v="10"/>
    <x v="1"/>
    <s v="07"/>
    <n v="7"/>
  </r>
  <r>
    <s v="2019S025619"/>
    <x v="113"/>
    <d v="1899-12-30T09:10:00"/>
    <n v="9"/>
    <x v="0"/>
    <s v="HORTALEZA"/>
    <x v="2"/>
    <n v="5.23"/>
    <s v="Small"/>
    <x v="0"/>
    <x v="4"/>
    <x v="1"/>
    <s v="Driver"/>
    <x v="10"/>
    <x v="0"/>
    <s v="01"/>
    <n v="1"/>
  </r>
  <r>
    <s v="2019S026337"/>
    <x v="224"/>
    <d v="1899-12-30T16:35:00"/>
    <n v="16"/>
    <x v="1"/>
    <s v="CALL. HERMANOS CARPI / AVDA. PEÑA PRIETA"/>
    <x v="17"/>
    <n v="14.89"/>
    <s v="Small"/>
    <x v="0"/>
    <x v="2"/>
    <x v="1"/>
    <s v="Driver"/>
    <x v="10"/>
    <x v="0"/>
    <s v="02"/>
    <n v="2"/>
  </r>
  <r>
    <s v="2019S026666"/>
    <x v="173"/>
    <d v="1899-12-30T18:10:00"/>
    <n v="18"/>
    <x v="1"/>
    <s v="CALLE GOYA CON CALLE GENERAL PARDIÑAS"/>
    <x v="18"/>
    <n v="5.39"/>
    <s v="Small"/>
    <x v="0"/>
    <x v="4"/>
    <x v="1"/>
    <s v="Driver"/>
    <x v="10"/>
    <x v="0"/>
    <s v="07"/>
    <n v="7"/>
  </r>
  <r>
    <s v="2019S026865"/>
    <x v="114"/>
    <d v="1899-12-30T20:53:00"/>
    <n v="20"/>
    <x v="1"/>
    <s v="CALL. FUENCARRAL"/>
    <x v="2"/>
    <n v="5.23"/>
    <s v="Small"/>
    <x v="0"/>
    <x v="0"/>
    <x v="5"/>
    <s v="Pedestrian"/>
    <x v="10"/>
    <x v="1"/>
    <s v=""/>
    <s v=""/>
  </r>
  <r>
    <s v="2019S026842"/>
    <x v="115"/>
    <d v="1899-12-30T08:15:00"/>
    <n v="8"/>
    <x v="0"/>
    <s v="CALL. MANCHA"/>
    <x v="17"/>
    <n v="14.89"/>
    <s v="Small"/>
    <x v="0"/>
    <x v="1"/>
    <x v="1"/>
    <s v="Driver"/>
    <x v="10"/>
    <x v="0"/>
    <s v=""/>
    <s v=""/>
  </r>
  <r>
    <s v="2019S027325"/>
    <x v="69"/>
    <d v="1899-12-30T12:35:00"/>
    <n v="12"/>
    <x v="0"/>
    <s v="AVDA. DEMOCRACIA / AUTOV. A-3"/>
    <x v="21"/>
    <n v="40.380000000000003"/>
    <s v="Big"/>
    <x v="2"/>
    <x v="2"/>
    <x v="1"/>
    <s v="Driver"/>
    <x v="10"/>
    <x v="0"/>
    <s v="14"/>
    <n v="14"/>
  </r>
  <r>
    <s v="2019S027303"/>
    <x v="295"/>
    <d v="1899-12-30T12:40:00"/>
    <n v="12"/>
    <x v="0"/>
    <s v="CALL. ALFONSO XII / CALL. CASADO DEL ALISAL"/>
    <x v="16"/>
    <n v="5.38"/>
    <s v="Small"/>
    <x v="0"/>
    <x v="2"/>
    <x v="1"/>
    <s v="Driver"/>
    <x v="10"/>
    <x v="0"/>
    <s v=""/>
    <s v=""/>
  </r>
  <r>
    <s v="2019S027599"/>
    <x v="226"/>
    <d v="1899-12-30T11:35:00"/>
    <n v="11"/>
    <x v="0"/>
    <s v="CALL. MEJIA LEQUERICA / CALL. SAGASTA"/>
    <x v="2"/>
    <n v="5.23"/>
    <s v="Small"/>
    <x v="0"/>
    <x v="2"/>
    <x v="1"/>
    <s v="Driver"/>
    <x v="10"/>
    <x v="1"/>
    <s v="01"/>
    <n v="1"/>
  </r>
  <r>
    <s v="2019S028515"/>
    <x v="229"/>
    <d v="1899-12-30T13:15:00"/>
    <n v="13"/>
    <x v="0"/>
    <s v="CALL. ARROYO BELINCOSO"/>
    <x v="12"/>
    <n v="6.34"/>
    <s v="Small"/>
    <x v="2"/>
    <x v="3"/>
    <x v="1"/>
    <s v="Driver"/>
    <x v="10"/>
    <x v="0"/>
    <s v="07"/>
    <n v="7"/>
  </r>
  <r>
    <s v="2019S028666"/>
    <x v="180"/>
    <d v="1899-12-30T06:10:00"/>
    <n v="6"/>
    <x v="0"/>
    <s v="CALL. BRAVO MURILLO / CALL. VIRIATO"/>
    <x v="15"/>
    <n v="4.6900000000000004"/>
    <s v="Small"/>
    <x v="1"/>
    <x v="5"/>
    <x v="1"/>
    <s v="Driver"/>
    <x v="10"/>
    <x v="0"/>
    <s v="06"/>
    <n v="6"/>
  </r>
  <r>
    <s v="2019S028878"/>
    <x v="181"/>
    <d v="1899-12-30T20:40:00"/>
    <n v="20"/>
    <x v="1"/>
    <s v="PASEO. ERMITA DEL SANTO"/>
    <x v="1"/>
    <n v="14.91"/>
    <s v="Small"/>
    <x v="0"/>
    <x v="0"/>
    <x v="1"/>
    <s v="Pedestrian"/>
    <x v="10"/>
    <x v="1"/>
    <s v="06"/>
    <n v="6"/>
  </r>
  <r>
    <s v="2019S028983"/>
    <x v="183"/>
    <d v="1899-12-30T10:50:00"/>
    <n v="10"/>
    <x v="0"/>
    <s v="CALL. FUENTE CARRANTONA"/>
    <x v="12"/>
    <n v="6.34"/>
    <s v="Small"/>
    <x v="2"/>
    <x v="2"/>
    <x v="1"/>
    <s v="Driver"/>
    <x v="10"/>
    <x v="0"/>
    <s v="07"/>
    <n v="7"/>
  </r>
  <r>
    <s v="2019S029650"/>
    <x v="184"/>
    <d v="1899-12-30T15:50:00"/>
    <n v="15"/>
    <x v="1"/>
    <s v="CALL. CAMINO VIEJO DE VILLAVERDE / CALL. UNIDAD"/>
    <x v="0"/>
    <n v="12.36"/>
    <s v="Small"/>
    <x v="0"/>
    <x v="3"/>
    <x v="4"/>
    <s v="Driver"/>
    <x v="10"/>
    <x v="0"/>
    <s v=""/>
    <s v=""/>
  </r>
  <r>
    <s v="2019S029626"/>
    <x v="6"/>
    <d v="1899-12-30T18:05:00"/>
    <n v="18"/>
    <x v="1"/>
    <s v="CALL. ARTURO SORIA / CALL. ASUNCION PEREZ VIZCAINO"/>
    <x v="8"/>
    <n v="11.38"/>
    <s v="Small"/>
    <x v="2"/>
    <x v="3"/>
    <x v="1"/>
    <s v="Driver"/>
    <x v="10"/>
    <x v="0"/>
    <s v="02"/>
    <n v="2"/>
  </r>
  <r>
    <s v="2019S029873"/>
    <x v="74"/>
    <d v="1899-12-30T12:50:00"/>
    <n v="12"/>
    <x v="0"/>
    <s v="CALL. DON RAMON DE LA CRUZ"/>
    <x v="18"/>
    <n v="5.39"/>
    <s v="Small"/>
    <x v="0"/>
    <x v="0"/>
    <x v="1"/>
    <s v="Driver"/>
    <x v="10"/>
    <x v="0"/>
    <s v="14"/>
    <n v="14"/>
  </r>
  <r>
    <s v="2019S030159"/>
    <x v="259"/>
    <d v="1899-12-30T17:25:00"/>
    <n v="17"/>
    <x v="1"/>
    <s v="CALL. MESENA"/>
    <x v="7"/>
    <n v="27.41"/>
    <s v="Big"/>
    <x v="0"/>
    <x v="4"/>
    <x v="1"/>
    <s v="Driver"/>
    <x v="10"/>
    <x v="1"/>
    <s v="07"/>
    <n v="7"/>
  </r>
  <r>
    <s v="2019S030261"/>
    <x v="231"/>
    <d v="1899-12-30T21:35:00"/>
    <n v="21"/>
    <x v="1"/>
    <s v="PASEO DE MIGUELA DEL BURGO (FRENTE CASANARE 6)"/>
    <x v="7"/>
    <n v="27.41"/>
    <s v="Big"/>
    <x v="0"/>
    <x v="4"/>
    <x v="1"/>
    <s v="Driver"/>
    <x v="10"/>
    <x v="0"/>
    <s v="07"/>
    <n v="7"/>
  </r>
  <r>
    <s v="2019S030804"/>
    <x v="120"/>
    <d v="1899-12-30T17:23:00"/>
    <n v="17"/>
    <x v="1"/>
    <s v="CALL. MATILDE GAYO"/>
    <x v="0"/>
    <n v="12.36"/>
    <s v="Small"/>
    <x v="0"/>
    <x v="4"/>
    <x v="1"/>
    <s v="Driver"/>
    <x v="10"/>
    <x v="1"/>
    <s v="06"/>
    <n v="6"/>
  </r>
  <r>
    <s v="2019S030697"/>
    <x v="121"/>
    <d v="1899-12-30T13:15:00"/>
    <n v="13"/>
    <x v="0"/>
    <s v="AVDA. ENTREVIAS / CALL. PADRE LLANOS"/>
    <x v="17"/>
    <n v="14.89"/>
    <s v="Small"/>
    <x v="0"/>
    <x v="2"/>
    <x v="1"/>
    <s v="Driver"/>
    <x v="10"/>
    <x v="0"/>
    <s v="02"/>
    <n v="2"/>
  </r>
  <r>
    <s v="2019S030947"/>
    <x v="290"/>
    <d v="1899-12-30T12:00:00"/>
    <n v="12"/>
    <x v="0"/>
    <s v="CARRETERA DE FUENCARRAL A ALCOBENDAS KM-0"/>
    <x v="10"/>
    <n v="237.81"/>
    <s v="Big"/>
    <x v="1"/>
    <x v="4"/>
    <x v="1"/>
    <s v="Driver"/>
    <x v="10"/>
    <x v="0"/>
    <s v="06"/>
    <n v="6"/>
  </r>
  <r>
    <s v="2019S031193"/>
    <x v="123"/>
    <d v="1899-12-30T19:40:00"/>
    <n v="19"/>
    <x v="1"/>
    <s v="CALL. FUENTE CARRANTONA"/>
    <x v="12"/>
    <n v="6.34"/>
    <s v="Small"/>
    <x v="2"/>
    <x v="2"/>
    <x v="1"/>
    <s v="Driver"/>
    <x v="10"/>
    <x v="0"/>
    <s v="07"/>
    <n v="7"/>
  </r>
  <r>
    <s v="2019S031356"/>
    <x v="25"/>
    <d v="1899-12-30T20:05:00"/>
    <n v="20"/>
    <x v="1"/>
    <s v="CALL. O'DONNELL"/>
    <x v="16"/>
    <n v="5.38"/>
    <s v="Small"/>
    <x v="0"/>
    <x v="0"/>
    <x v="1"/>
    <s v="Driver"/>
    <x v="10"/>
    <x v="0"/>
    <s v="14"/>
    <n v="14"/>
  </r>
  <r>
    <s v="2019S031324"/>
    <x v="25"/>
    <d v="1899-12-30T11:22:00"/>
    <n v="11"/>
    <x v="0"/>
    <s v="CALL. LAS NAVAS DE BUITRAGO / CALL. BERZOSA DE LOZOYA"/>
    <x v="4"/>
    <n v="20.25"/>
    <s v="Big"/>
    <x v="0"/>
    <x v="2"/>
    <x v="1"/>
    <s v="Driver"/>
    <x v="10"/>
    <x v="0"/>
    <s v="03"/>
    <n v="3"/>
  </r>
  <r>
    <s v="2019S031721"/>
    <x v="190"/>
    <d v="1899-12-30T20:00:00"/>
    <n v="20"/>
    <x v="1"/>
    <s v="CALL. AMOS DE ESCALANTE"/>
    <x v="8"/>
    <n v="11.38"/>
    <s v="Small"/>
    <x v="2"/>
    <x v="0"/>
    <x v="1"/>
    <s v="Pedestrian"/>
    <x v="10"/>
    <x v="1"/>
    <s v="03"/>
    <n v="3"/>
  </r>
  <r>
    <s v="2019S033087"/>
    <x v="126"/>
    <d v="1899-12-30T17:13:00"/>
    <n v="17"/>
    <x v="1"/>
    <s v="CALL. CARABIAS"/>
    <x v="3"/>
    <n v="25.41"/>
    <s v="Big"/>
    <x v="0"/>
    <x v="0"/>
    <x v="2"/>
    <s v="Pedestrian"/>
    <x v="10"/>
    <x v="0"/>
    <s v="01"/>
    <n v="1"/>
  </r>
  <r>
    <s v="2019S032233"/>
    <x v="296"/>
    <d v="1899-12-30T17:00:00"/>
    <n v="17"/>
    <x v="1"/>
    <s v="CALL. GOYA / CALL. SERRANO"/>
    <x v="18"/>
    <n v="5.39"/>
    <s v="Small"/>
    <x v="0"/>
    <x v="0"/>
    <x v="1"/>
    <s v="Driver"/>
    <x v="10"/>
    <x v="0"/>
    <s v="07"/>
    <n v="7"/>
  </r>
  <r>
    <s v="2019S032233"/>
    <x v="296"/>
    <d v="1899-12-30T17:00:00"/>
    <n v="17"/>
    <x v="1"/>
    <s v="CALL. GOYA / CALL. SERRANO"/>
    <x v="18"/>
    <n v="5.39"/>
    <s v="Small"/>
    <x v="0"/>
    <x v="0"/>
    <x v="1"/>
    <s v="Pedestrian"/>
    <x v="10"/>
    <x v="1"/>
    <s v="07"/>
    <n v="7"/>
  </r>
  <r>
    <s v="2019S033074"/>
    <x v="78"/>
    <d v="1899-12-30T19:05:00"/>
    <n v="19"/>
    <x v="1"/>
    <s v="CALL. SAGASTA / CALL. FRANCISCO DE ROJAS"/>
    <x v="15"/>
    <n v="4.6900000000000004"/>
    <s v="Small"/>
    <x v="1"/>
    <x v="2"/>
    <x v="1"/>
    <s v="Driver"/>
    <x v="10"/>
    <x v="0"/>
    <s v="14"/>
    <n v="14"/>
  </r>
  <r>
    <s v="2019S034202"/>
    <x v="193"/>
    <d v="1899-12-30T17:25:00"/>
    <n v="17"/>
    <x v="1"/>
    <s v="AVDA. CANILLEJAS A VICALVARO / CALL. SANTA TECLA"/>
    <x v="13"/>
    <n v="22.36"/>
    <s v="Big"/>
    <x v="2"/>
    <x v="4"/>
    <x v="1"/>
    <s v="Driver"/>
    <x v="10"/>
    <x v="0"/>
    <s v="06"/>
    <n v="6"/>
  </r>
  <r>
    <s v="2019S034331"/>
    <x v="297"/>
    <d v="1899-12-30T10:00:00"/>
    <n v="10"/>
    <x v="0"/>
    <s v="RONDA. SEGOVIA / CALL. SEGOVIA"/>
    <x v="2"/>
    <n v="5.23"/>
    <s v="Small"/>
    <x v="0"/>
    <x v="1"/>
    <x v="1"/>
    <s v="Driver"/>
    <x v="10"/>
    <x v="1"/>
    <s v="07"/>
    <n v="7"/>
  </r>
  <r>
    <s v="2019S037705"/>
    <x v="83"/>
    <d v="1899-12-30T05:55:00"/>
    <n v="5"/>
    <x v="0"/>
    <s v="AVDA. BETANZOS"/>
    <x v="10"/>
    <n v="237.81"/>
    <s v="Big"/>
    <x v="1"/>
    <x v="2"/>
    <x v="3"/>
    <s v="Driver"/>
    <x v="10"/>
    <x v="0"/>
    <s v="01"/>
    <n v="1"/>
  </r>
  <r>
    <s v="2019S038464"/>
    <x v="137"/>
    <d v="1899-12-30T18:40:00"/>
    <n v="18"/>
    <x v="1"/>
    <s v="CALL. EMBAJADORES / CALL. RICARDO GOIZUETA"/>
    <x v="11"/>
    <n v="6.46"/>
    <s v="Small"/>
    <x v="0"/>
    <x v="0"/>
    <x v="1"/>
    <s v="Driver"/>
    <x v="10"/>
    <x v="0"/>
    <s v="14"/>
    <n v="14"/>
  </r>
  <r>
    <s v="2019S039179"/>
    <x v="138"/>
    <d v="1899-12-30T22:00:00"/>
    <n v="22"/>
    <x v="1"/>
    <s v="CALL. MARQUES DE VALDEIGLESIAS"/>
    <x v="2"/>
    <n v="5.23"/>
    <s v="Small"/>
    <x v="0"/>
    <x v="0"/>
    <x v="1"/>
    <s v="Pedestrian"/>
    <x v="10"/>
    <x v="0"/>
    <s v="07"/>
    <n v="7"/>
  </r>
  <r>
    <s v="2019S039179"/>
    <x v="138"/>
    <d v="1899-12-30T22:00:00"/>
    <n v="22"/>
    <x v="1"/>
    <s v="CALL. MARQUES DE VALDEIGLESIAS"/>
    <x v="2"/>
    <n v="5.23"/>
    <s v="Small"/>
    <x v="0"/>
    <x v="0"/>
    <x v="1"/>
    <s v="Pedestrian"/>
    <x v="10"/>
    <x v="1"/>
    <s v="14"/>
    <n v="14"/>
  </r>
  <r>
    <s v="2019S039475"/>
    <x v="298"/>
    <d v="1899-12-30T13:35:00"/>
    <n v="13"/>
    <x v="0"/>
    <s v="CALL. CANTALEJO / CALL. ARROYOFRESNO"/>
    <x v="10"/>
    <n v="237.81"/>
    <s v="Big"/>
    <x v="1"/>
    <x v="4"/>
    <x v="1"/>
    <s v="Driver"/>
    <x v="10"/>
    <x v="0"/>
    <s v="06"/>
    <n v="6"/>
  </r>
  <r>
    <s v="2019S003749"/>
    <x v="240"/>
    <d v="1899-12-30T15:20:00"/>
    <n v="15"/>
    <x v="1"/>
    <s v="PLAZA. CONDE DEL VALLE DE SUCHIL"/>
    <x v="15"/>
    <n v="4.6900000000000004"/>
    <s v="Small"/>
    <x v="1"/>
    <x v="4"/>
    <x v="1"/>
    <s v="Driver"/>
    <x v="11"/>
    <x v="1"/>
    <s v="07"/>
    <n v="7"/>
  </r>
  <r>
    <s v="2019S005036"/>
    <x v="212"/>
    <d v="1899-12-30T11:15:00"/>
    <n v="11"/>
    <x v="0"/>
    <s v="CALL. BRAVO MURILLO / CALL. PENSAMIENTO"/>
    <x v="5"/>
    <n v="5.38"/>
    <s v="Small"/>
    <x v="1"/>
    <x v="0"/>
    <x v="1"/>
    <s v="Driver"/>
    <x v="11"/>
    <x v="0"/>
    <s v="14"/>
    <n v="14"/>
  </r>
  <r>
    <s v="2019S005036"/>
    <x v="212"/>
    <d v="1899-12-30T11:15:00"/>
    <n v="11"/>
    <x v="0"/>
    <s v="CALL. BRAVO MURILLO / CALL. PENSAMIENTO"/>
    <x v="5"/>
    <n v="5.38"/>
    <s v="Small"/>
    <x v="1"/>
    <x v="0"/>
    <x v="1"/>
    <s v="Pedestrian"/>
    <x v="11"/>
    <x v="1"/>
    <s v="07"/>
    <n v="7"/>
  </r>
  <r>
    <s v="2019S006478"/>
    <x v="299"/>
    <d v="1899-12-30T18:00:00"/>
    <n v="18"/>
    <x v="1"/>
    <s v="CALL. MENDEZ ALVARO / CALL. TITAN"/>
    <x v="11"/>
    <n v="6.46"/>
    <s v="Small"/>
    <x v="0"/>
    <x v="4"/>
    <x v="1"/>
    <s v="Driver"/>
    <x v="11"/>
    <x v="0"/>
    <s v="14"/>
    <n v="14"/>
  </r>
  <r>
    <s v="2019S010360"/>
    <x v="88"/>
    <d v="1899-12-30T14:25:00"/>
    <n v="14"/>
    <x v="0"/>
    <s v="CALL. CONDE DE PEÑALVER"/>
    <x v="18"/>
    <n v="5.39"/>
    <s v="Small"/>
    <x v="0"/>
    <x v="1"/>
    <x v="1"/>
    <s v="Driver"/>
    <x v="11"/>
    <x v="1"/>
    <s v="02"/>
    <n v="2"/>
  </r>
  <r>
    <s v="2019S013812"/>
    <x v="55"/>
    <d v="1899-12-30T18:40:00"/>
    <n v="18"/>
    <x v="1"/>
    <s v="PASEO. GENERAL MARTINEZ CAMPOS / CALL. MODESTO LAFUENTE"/>
    <x v="15"/>
    <n v="4.6900000000000004"/>
    <s v="Small"/>
    <x v="1"/>
    <x v="1"/>
    <x v="1"/>
    <s v="Driver"/>
    <x v="11"/>
    <x v="0"/>
    <s v="07"/>
    <n v="7"/>
  </r>
  <r>
    <s v="2019S014196"/>
    <x v="91"/>
    <d v="1899-12-30T23:25:00"/>
    <n v="23"/>
    <x v="1"/>
    <s v="PLAZA. EMPERADOR CARLOS V"/>
    <x v="2"/>
    <n v="5.23"/>
    <s v="Small"/>
    <x v="0"/>
    <x v="3"/>
    <x v="1"/>
    <s v="Driver"/>
    <x v="11"/>
    <x v="0"/>
    <s v="07"/>
    <n v="7"/>
  </r>
  <r>
    <s v="2019S015228"/>
    <x v="34"/>
    <d v="1899-12-30T14:58:00"/>
    <n v="14"/>
    <x v="0"/>
    <s v="CALL. SANTA ADELA"/>
    <x v="7"/>
    <n v="27.41"/>
    <s v="Big"/>
    <x v="0"/>
    <x v="2"/>
    <x v="1"/>
    <s v="Driver"/>
    <x v="11"/>
    <x v="0"/>
    <s v="03"/>
    <n v="3"/>
  </r>
  <r>
    <s v="2019S015228"/>
    <x v="34"/>
    <d v="1899-12-30T14:58:00"/>
    <n v="14"/>
    <x v="0"/>
    <s v="CALL. SANTA ADELA"/>
    <x v="7"/>
    <n v="27.41"/>
    <s v="Big"/>
    <x v="0"/>
    <x v="2"/>
    <x v="1"/>
    <s v="Driver"/>
    <x v="11"/>
    <x v="0"/>
    <s v="14"/>
    <n v="14"/>
  </r>
  <r>
    <s v="2019S016463"/>
    <x v="215"/>
    <d v="1899-12-30T12:30:00"/>
    <n v="12"/>
    <x v="0"/>
    <s v="AVDA. NICETO ALCALA ZAMORA / CALL. JULIO CASARES"/>
    <x v="7"/>
    <n v="27.41"/>
    <s v="Big"/>
    <x v="0"/>
    <x v="1"/>
    <x v="1"/>
    <s v="Driver"/>
    <x v="11"/>
    <x v="0"/>
    <s v="06"/>
    <n v="6"/>
  </r>
  <r>
    <s v="2019S017986"/>
    <x v="215"/>
    <d v="1899-12-30T01:20:00"/>
    <n v="1"/>
    <x v="0"/>
    <s v="CALL. LUIS DE GONGORA / CALL. GRAVINA"/>
    <x v="2"/>
    <n v="5.23"/>
    <s v="Small"/>
    <x v="0"/>
    <x v="4"/>
    <x v="1"/>
    <s v="Driver"/>
    <x v="11"/>
    <x v="0"/>
    <s v="07"/>
    <n v="7"/>
  </r>
  <r>
    <s v="2019S018901"/>
    <x v="35"/>
    <d v="1899-12-30T12:00:00"/>
    <n v="12"/>
    <x v="0"/>
    <s v="AVDA. MANZANARES"/>
    <x v="0"/>
    <n v="12.36"/>
    <s v="Small"/>
    <x v="0"/>
    <x v="0"/>
    <x v="1"/>
    <s v="Driver"/>
    <x v="11"/>
    <x v="0"/>
    <s v="07"/>
    <n v="7"/>
  </r>
  <r>
    <s v="2019S017808"/>
    <x v="35"/>
    <d v="1899-12-30T11:50:00"/>
    <n v="11"/>
    <x v="0"/>
    <s v="PQUE. MADRID RIO, +00700E"/>
    <x v="0"/>
    <n v="12.36"/>
    <s v="Small"/>
    <x v="0"/>
    <x v="0"/>
    <x v="1"/>
    <s v="Driver"/>
    <x v="11"/>
    <x v="0"/>
    <s v="07"/>
    <n v="7"/>
  </r>
  <r>
    <s v="2019S017608"/>
    <x v="249"/>
    <d v="1899-12-30T19:50:00"/>
    <n v="19"/>
    <x v="1"/>
    <s v="AVDA. SECUNDINO ZUAZO / CALL. CESAR CORT BOTI"/>
    <x v="7"/>
    <n v="27.41"/>
    <s v="Big"/>
    <x v="0"/>
    <x v="2"/>
    <x v="1"/>
    <s v="Driver"/>
    <x v="11"/>
    <x v="0"/>
    <s v="03"/>
    <n v="3"/>
  </r>
  <r>
    <s v="2019S019536"/>
    <x v="160"/>
    <d v="1899-12-30T09:30:00"/>
    <n v="9"/>
    <x v="0"/>
    <s v="CALL. GOBELAS / CALL. GUECHO"/>
    <x v="9"/>
    <n v="43.05"/>
    <s v="Big"/>
    <x v="0"/>
    <x v="2"/>
    <x v="3"/>
    <s v="Driver"/>
    <x v="11"/>
    <x v="0"/>
    <s v="02"/>
    <n v="2"/>
  </r>
  <r>
    <s v="2019S019885"/>
    <x v="95"/>
    <d v="1899-12-30T13:40:00"/>
    <n v="13"/>
    <x v="0"/>
    <s v="AVDA. RAFAELA YBARRA"/>
    <x v="0"/>
    <n v="12.36"/>
    <s v="Small"/>
    <x v="0"/>
    <x v="1"/>
    <x v="4"/>
    <s v="Driver"/>
    <x v="11"/>
    <x v="0"/>
    <s v="14"/>
    <n v="14"/>
  </r>
  <r>
    <s v="2019S019899"/>
    <x v="161"/>
    <d v="1899-12-30T07:10:00"/>
    <n v="7"/>
    <x v="0"/>
    <s v="CALL. ALCALA / CALL. LOS URQUIZA"/>
    <x v="8"/>
    <n v="11.38"/>
    <s v="Small"/>
    <x v="2"/>
    <x v="0"/>
    <x v="1"/>
    <s v="Pedestrian"/>
    <x v="11"/>
    <x v="1"/>
    <s v="02"/>
    <n v="2"/>
  </r>
  <r>
    <s v="2019S020247"/>
    <x v="300"/>
    <d v="1899-12-30T09:39:00"/>
    <n v="9"/>
    <x v="0"/>
    <s v="BULEV. JOSE PRAT / CALL. HACIENDA DE PAVONES"/>
    <x v="21"/>
    <n v="40.380000000000003"/>
    <s v="Big"/>
    <x v="2"/>
    <x v="0"/>
    <x v="1"/>
    <s v="Driver"/>
    <x v="11"/>
    <x v="0"/>
    <s v="14"/>
    <n v="14"/>
  </r>
  <r>
    <s v="2019S020247"/>
    <x v="300"/>
    <d v="1899-12-30T09:39:00"/>
    <n v="9"/>
    <x v="0"/>
    <s v="BULEV. JOSE PRAT / CALL. HACIENDA DE PAVONES"/>
    <x v="21"/>
    <n v="40.380000000000003"/>
    <s v="Big"/>
    <x v="2"/>
    <x v="0"/>
    <x v="1"/>
    <s v="Pedestrian"/>
    <x v="11"/>
    <x v="1"/>
    <s v="02"/>
    <n v="2"/>
  </r>
  <r>
    <s v="2019S020803"/>
    <x v="1"/>
    <d v="1899-12-30T09:50:00"/>
    <n v="9"/>
    <x v="0"/>
    <s v="CALL. ARROYO FONTARRON"/>
    <x v="12"/>
    <n v="6.34"/>
    <s v="Small"/>
    <x v="2"/>
    <x v="2"/>
    <x v="4"/>
    <s v="Driver"/>
    <x v="11"/>
    <x v="0"/>
    <s v=""/>
    <s v=""/>
  </r>
  <r>
    <s v="2019S022484"/>
    <x v="254"/>
    <d v="1899-12-30T18:40:00"/>
    <n v="18"/>
    <x v="1"/>
    <s v="CALL. ATOCHA / CALL. SANTO TOMAS"/>
    <x v="2"/>
    <n v="5.23"/>
    <s v="Small"/>
    <x v="0"/>
    <x v="4"/>
    <x v="1"/>
    <s v="Driver"/>
    <x v="11"/>
    <x v="1"/>
    <s v="02"/>
    <n v="2"/>
  </r>
  <r>
    <s v="2019S022810"/>
    <x v="63"/>
    <d v="1899-12-30T12:55:00"/>
    <n v="12"/>
    <x v="0"/>
    <s v="SENDA CICLABLE-AV.ROSALES-CARRET.VILLAV. A VALLECA"/>
    <x v="4"/>
    <n v="20.25"/>
    <s v="Big"/>
    <x v="0"/>
    <x v="0"/>
    <x v="1"/>
    <s v="Driver"/>
    <x v="11"/>
    <x v="0"/>
    <s v="07"/>
    <n v="7"/>
  </r>
  <r>
    <s v="2019S023273"/>
    <x v="64"/>
    <d v="1899-12-30T15:45:00"/>
    <n v="15"/>
    <x v="1"/>
    <s v="CALL. OCA / CALL. GENERAL RICARDOS"/>
    <x v="1"/>
    <n v="14.91"/>
    <s v="Small"/>
    <x v="0"/>
    <x v="1"/>
    <x v="1"/>
    <s v="Driver"/>
    <x v="11"/>
    <x v="0"/>
    <s v="07"/>
    <n v="7"/>
  </r>
  <r>
    <s v="2019S023173"/>
    <x v="64"/>
    <d v="1899-12-30T12:45:00"/>
    <n v="12"/>
    <x v="0"/>
    <s v="AVDA. RAFAEL ALBERTI / CALL. EXTREMEÑOS"/>
    <x v="17"/>
    <n v="14.89"/>
    <s v="Small"/>
    <x v="0"/>
    <x v="4"/>
    <x v="1"/>
    <s v="Driver"/>
    <x v="11"/>
    <x v="0"/>
    <s v="01"/>
    <n v="1"/>
  </r>
  <r>
    <s v="2019S024197"/>
    <x v="301"/>
    <d v="1899-12-30T12:30:00"/>
    <n v="12"/>
    <x v="0"/>
    <s v="PQUE. VALDEBERNARDO"/>
    <x v="21"/>
    <n v="40.380000000000003"/>
    <s v="Big"/>
    <x v="2"/>
    <x v="4"/>
    <x v="1"/>
    <s v="Driver"/>
    <x v="11"/>
    <x v="0"/>
    <s v="02"/>
    <n v="2"/>
  </r>
  <r>
    <s v="2019S024639"/>
    <x v="221"/>
    <d v="1899-12-30T09:15:00"/>
    <n v="9"/>
    <x v="0"/>
    <s v="PASEO. PONTONES / CALL. COBOS DE SEGOVIA"/>
    <x v="11"/>
    <n v="6.46"/>
    <s v="Small"/>
    <x v="0"/>
    <x v="2"/>
    <x v="1"/>
    <s v="Driver"/>
    <x v="11"/>
    <x v="0"/>
    <s v="05"/>
    <n v="5"/>
  </r>
  <r>
    <s v="2019S025266"/>
    <x v="20"/>
    <d v="1899-12-30T14:00:00"/>
    <n v="14"/>
    <x v="0"/>
    <s v="CALL. DIEGO DE LEON / CALL. GENERAL PARDIÑAS"/>
    <x v="18"/>
    <n v="5.39"/>
    <s v="Small"/>
    <x v="0"/>
    <x v="4"/>
    <x v="1"/>
    <s v="Driver"/>
    <x v="11"/>
    <x v="0"/>
    <s v="02"/>
    <n v="2"/>
  </r>
  <r>
    <s v="2019S025758"/>
    <x v="222"/>
    <d v="1899-12-30T07:55:00"/>
    <n v="7"/>
    <x v="0"/>
    <s v="AVDA. LOS ROSALES"/>
    <x v="4"/>
    <n v="20.25"/>
    <s v="Big"/>
    <x v="0"/>
    <x v="2"/>
    <x v="1"/>
    <s v="Driver"/>
    <x v="11"/>
    <x v="0"/>
    <s v="02"/>
    <n v="2"/>
  </r>
  <r>
    <s v="2019S026663"/>
    <x v="173"/>
    <d v="1899-12-30T18:45:00"/>
    <n v="18"/>
    <x v="1"/>
    <s v="CUSTA. VEGA"/>
    <x v="2"/>
    <n v="5.23"/>
    <s v="Small"/>
    <x v="0"/>
    <x v="4"/>
    <x v="1"/>
    <s v="Driver"/>
    <x v="11"/>
    <x v="0"/>
    <s v="06"/>
    <n v="6"/>
  </r>
  <r>
    <s v="2019S026885"/>
    <x v="115"/>
    <d v="1899-12-30T19:00:00"/>
    <n v="19"/>
    <x v="1"/>
    <s v="CUSTA. VEGA"/>
    <x v="2"/>
    <n v="5.23"/>
    <s v="Small"/>
    <x v="0"/>
    <x v="4"/>
    <x v="1"/>
    <s v="Driver"/>
    <x v="11"/>
    <x v="0"/>
    <s v="02"/>
    <n v="2"/>
  </r>
  <r>
    <s v="2019S027418"/>
    <x v="116"/>
    <d v="1899-12-30T19:05:00"/>
    <n v="19"/>
    <x v="1"/>
    <s v="CALL. SANTA MARIA LA REAL DE NIEVA"/>
    <x v="11"/>
    <n v="6.46"/>
    <s v="Small"/>
    <x v="0"/>
    <x v="2"/>
    <x v="1"/>
    <s v="Driver"/>
    <x v="11"/>
    <x v="0"/>
    <s v="01"/>
    <n v="1"/>
  </r>
  <r>
    <s v="2019S028005"/>
    <x v="273"/>
    <d v="1899-12-30T11:10:00"/>
    <n v="11"/>
    <x v="0"/>
    <s v="CTRA. COLMENAR VIEJO"/>
    <x v="14"/>
    <n v="9.2100000000000009"/>
    <s v="Small"/>
    <x v="1"/>
    <x v="4"/>
    <x v="1"/>
    <s v="Driver"/>
    <x v="11"/>
    <x v="0"/>
    <s v="06"/>
    <n v="6"/>
  </r>
  <r>
    <s v="2019S028597"/>
    <x v="230"/>
    <d v="1899-12-30T18:32:00"/>
    <n v="18"/>
    <x v="1"/>
    <s v="PASEO. REPUBLICA DE CUBA"/>
    <x v="16"/>
    <n v="5.38"/>
    <s v="Small"/>
    <x v="0"/>
    <x v="2"/>
    <x v="1"/>
    <s v="Driver"/>
    <x v="11"/>
    <x v="0"/>
    <s v="05"/>
    <n v="5"/>
  </r>
  <r>
    <s v="2019S030259"/>
    <x v="231"/>
    <d v="1899-12-30T20:00:00"/>
    <n v="20"/>
    <x v="1"/>
    <s v="AVDA. NICETO ALCALA ZAMORA / AUTOV. M-11"/>
    <x v="7"/>
    <n v="27.41"/>
    <s v="Big"/>
    <x v="0"/>
    <x v="2"/>
    <x v="1"/>
    <s v="Driver"/>
    <x v="11"/>
    <x v="0"/>
    <s v="07"/>
    <n v="7"/>
  </r>
  <r>
    <s v="2019S030131"/>
    <x v="231"/>
    <d v="1899-12-30T13:15:00"/>
    <n v="13"/>
    <x v="0"/>
    <s v="CALL. ALCALA"/>
    <x v="2"/>
    <n v="5.23"/>
    <s v="Small"/>
    <x v="0"/>
    <x v="4"/>
    <x v="1"/>
    <s v="Driver"/>
    <x v="11"/>
    <x v="1"/>
    <s v="06"/>
    <n v="6"/>
  </r>
  <r>
    <s v="2019S030124"/>
    <x v="231"/>
    <d v="1899-12-30T12:04:00"/>
    <n v="12"/>
    <x v="0"/>
    <s v="SAN MAXIMILIANO 49"/>
    <x v="8"/>
    <n v="11.38"/>
    <s v="Small"/>
    <x v="2"/>
    <x v="0"/>
    <x v="1"/>
    <s v="Driver"/>
    <x v="11"/>
    <x v="0"/>
    <s v="07"/>
    <n v="7"/>
  </r>
  <r>
    <s v="2019S031101"/>
    <x v="75"/>
    <d v="1899-12-30T21:39:00"/>
    <n v="21"/>
    <x v="1"/>
    <s v="CALL. PRINCESA / CALL. MARQUES DE URQUIJO"/>
    <x v="9"/>
    <n v="43.05"/>
    <s v="Big"/>
    <x v="0"/>
    <x v="4"/>
    <x v="1"/>
    <s v="Driver"/>
    <x v="11"/>
    <x v="0"/>
    <s v="06"/>
    <n v="6"/>
  </r>
  <r>
    <s v="2019S031955"/>
    <x v="76"/>
    <d v="1899-12-30T23:05:00"/>
    <n v="23"/>
    <x v="1"/>
    <s v="CALL. ARQUITECTO SANCHEZ ARCAS"/>
    <x v="9"/>
    <n v="43.05"/>
    <s v="Big"/>
    <x v="0"/>
    <x v="2"/>
    <x v="1"/>
    <s v="Driver"/>
    <x v="11"/>
    <x v="0"/>
    <s v="07"/>
    <n v="7"/>
  </r>
  <r>
    <s v="2019S032928"/>
    <x v="76"/>
    <d v="1899-12-30T20:45:00"/>
    <n v="20"/>
    <x v="1"/>
    <s v="CALL. GUAREÑA / PLAZA. DISTRITO LATINA"/>
    <x v="3"/>
    <n v="25.41"/>
    <s v="Big"/>
    <x v="0"/>
    <x v="4"/>
    <x v="1"/>
    <s v="Driver"/>
    <x v="11"/>
    <x v="0"/>
    <s v="01"/>
    <n v="1"/>
  </r>
  <r>
    <s v="2019S032300"/>
    <x v="233"/>
    <d v="1899-12-30T16:10:00"/>
    <n v="16"/>
    <x v="1"/>
    <s v="GTA. SANTUARIO DE TISCAR"/>
    <x v="10"/>
    <n v="237.81"/>
    <s v="Big"/>
    <x v="1"/>
    <x v="4"/>
    <x v="1"/>
    <s v="Driver"/>
    <x v="11"/>
    <x v="0"/>
    <s v="02"/>
    <n v="2"/>
  </r>
  <r>
    <s v="2019S032184"/>
    <x v="233"/>
    <d v="1899-12-30T07:15:00"/>
    <n v="7"/>
    <x v="0"/>
    <s v="CALL. ARZOBISPO MORCILLO"/>
    <x v="10"/>
    <n v="237.81"/>
    <s v="Big"/>
    <x v="1"/>
    <x v="2"/>
    <x v="1"/>
    <s v="Driver"/>
    <x v="11"/>
    <x v="0"/>
    <s v="07"/>
    <n v="7"/>
  </r>
  <r>
    <s v="2019S032737"/>
    <x v="302"/>
    <d v="1899-12-30T08:10:00"/>
    <n v="8"/>
    <x v="0"/>
    <s v="CALL. LOPEZ DE HOYOS / CALL. CARTAGENA"/>
    <x v="14"/>
    <n v="9.2100000000000009"/>
    <s v="Small"/>
    <x v="1"/>
    <x v="1"/>
    <x v="1"/>
    <s v="Driver"/>
    <x v="11"/>
    <x v="0"/>
    <s v="05"/>
    <n v="5"/>
  </r>
  <r>
    <s v="2019S033141"/>
    <x v="192"/>
    <d v="1899-12-30T08:40:00"/>
    <n v="8"/>
    <x v="0"/>
    <s v="CALL. JUAN DE MARIANA"/>
    <x v="11"/>
    <n v="6.46"/>
    <s v="Small"/>
    <x v="0"/>
    <x v="4"/>
    <x v="1"/>
    <s v="Pedestrian"/>
    <x v="11"/>
    <x v="0"/>
    <s v="14"/>
    <n v="14"/>
  </r>
  <r>
    <s v="2019S033678"/>
    <x v="235"/>
    <d v="1899-12-30T09:00:00"/>
    <n v="9"/>
    <x v="0"/>
    <s v="CALL. JUANITA CRUZ / CALL. GLORIA FUERTES"/>
    <x v="10"/>
    <n v="237.81"/>
    <s v="Big"/>
    <x v="1"/>
    <x v="4"/>
    <x v="1"/>
    <s v="Driver"/>
    <x v="11"/>
    <x v="0"/>
    <s v="06"/>
    <n v="6"/>
  </r>
  <r>
    <s v="2019S034269"/>
    <x v="263"/>
    <d v="1899-12-30T17:20:00"/>
    <n v="17"/>
    <x v="1"/>
    <s v="CALL. ALCALA"/>
    <x v="2"/>
    <n v="5.23"/>
    <s v="Small"/>
    <x v="0"/>
    <x v="4"/>
    <x v="0"/>
    <s v="Driver"/>
    <x v="11"/>
    <x v="0"/>
    <s v="06"/>
    <n v="6"/>
  </r>
  <r>
    <s v="2019S035065"/>
    <x v="303"/>
    <d v="1899-12-30T20:40:00"/>
    <n v="20"/>
    <x v="1"/>
    <s v="CALL. TOSCANA / AVDA. GUADALAJARA"/>
    <x v="13"/>
    <n v="22.36"/>
    <s v="Big"/>
    <x v="2"/>
    <x v="2"/>
    <x v="3"/>
    <s v="Driver"/>
    <x v="11"/>
    <x v="1"/>
    <s v="07"/>
    <n v="7"/>
  </r>
  <r>
    <s v="2019S036005"/>
    <x v="82"/>
    <d v="1899-12-30T12:00:00"/>
    <n v="12"/>
    <x v="0"/>
    <s v="AVDA. PORTUGAL / PQUE. MADRID RIO"/>
    <x v="3"/>
    <n v="25.41"/>
    <s v="Big"/>
    <x v="0"/>
    <x v="0"/>
    <x v="1"/>
    <s v="Pedestrian"/>
    <x v="11"/>
    <x v="0"/>
    <s v="01"/>
    <n v="1"/>
  </r>
  <r>
    <s v="2019S036789"/>
    <x v="202"/>
    <d v="1899-12-30T13:50:00"/>
    <n v="13"/>
    <x v="0"/>
    <s v="CALL. ZAOREJAS"/>
    <x v="20"/>
    <n v="41.74"/>
    <s v="Big"/>
    <x v="2"/>
    <x v="4"/>
    <x v="1"/>
    <s v="Driver"/>
    <x v="11"/>
    <x v="0"/>
    <s v=""/>
    <s v=""/>
  </r>
  <r>
    <s v="2019S036862"/>
    <x v="203"/>
    <d v="1899-12-30T12:25:00"/>
    <n v="12"/>
    <x v="0"/>
    <s v="GTA. OLGA RAMOS"/>
    <x v="10"/>
    <n v="237.81"/>
    <s v="Big"/>
    <x v="1"/>
    <x v="2"/>
    <x v="3"/>
    <s v="Driver"/>
    <x v="11"/>
    <x v="0"/>
    <s v="06"/>
    <n v="6"/>
  </r>
  <r>
    <s v="2019S038816"/>
    <x v="276"/>
    <d v="1899-12-30T17:10:00"/>
    <n v="17"/>
    <x v="1"/>
    <s v="CALL. TOLEDO"/>
    <x v="2"/>
    <n v="5.23"/>
    <s v="Small"/>
    <x v="0"/>
    <x v="4"/>
    <x v="0"/>
    <s v="Driver"/>
    <x v="11"/>
    <x v="0"/>
    <s v="07"/>
    <n v="7"/>
  </r>
  <r>
    <s v="2019S039796"/>
    <x v="277"/>
    <d v="1899-12-30T11:40:00"/>
    <n v="11"/>
    <x v="0"/>
    <s v="CALL. ANGEL GANIVET"/>
    <x v="16"/>
    <n v="5.38"/>
    <s v="Small"/>
    <x v="0"/>
    <x v="4"/>
    <x v="3"/>
    <s v="Driver"/>
    <x v="11"/>
    <x v="1"/>
    <s v="07"/>
    <n v="7"/>
  </r>
  <r>
    <s v="2019S018901"/>
    <x v="35"/>
    <d v="1899-12-30T12:00:00"/>
    <n v="12"/>
    <x v="0"/>
    <s v="AVDA. MANZANARES"/>
    <x v="0"/>
    <n v="12.36"/>
    <s v="Small"/>
    <x v="0"/>
    <x v="0"/>
    <x v="1"/>
    <s v="Pedestrian"/>
    <x v="12"/>
    <x v="0"/>
    <s v="07"/>
    <n v="7"/>
  </r>
  <r>
    <s v="2019S017808"/>
    <x v="35"/>
    <d v="1899-12-30T11:50:00"/>
    <n v="11"/>
    <x v="0"/>
    <s v="PQUE. MADRID RIO, +00700E"/>
    <x v="0"/>
    <n v="12.36"/>
    <s v="Small"/>
    <x v="0"/>
    <x v="0"/>
    <x v="1"/>
    <s v="Pedestrian"/>
    <x v="12"/>
    <x v="0"/>
    <s v="07"/>
    <n v="7"/>
  </r>
  <r>
    <s v="2019S022944"/>
    <x v="18"/>
    <d v="1899-12-30T19:50:00"/>
    <n v="19"/>
    <x v="1"/>
    <s v="CALL. CASTILLO DE MADRIGAL DE LAS ALTAS TORRES"/>
    <x v="13"/>
    <n v="22.36"/>
    <s v="Big"/>
    <x v="2"/>
    <x v="3"/>
    <x v="1"/>
    <s v="Driver"/>
    <x v="12"/>
    <x v="0"/>
    <s v="07"/>
    <n v="7"/>
  </r>
  <r>
    <s v="2019S028597"/>
    <x v="230"/>
    <d v="1899-12-30T18:32:00"/>
    <n v="18"/>
    <x v="1"/>
    <s v="PASEO. REPUBLICA DE CUBA"/>
    <x v="16"/>
    <n v="5.38"/>
    <s v="Small"/>
    <x v="0"/>
    <x v="2"/>
    <x v="1"/>
    <s v="Driver"/>
    <x v="12"/>
    <x v="0"/>
    <s v="14"/>
    <n v="14"/>
  </r>
  <r>
    <s v="2019S028835"/>
    <x v="288"/>
    <d v="1899-12-30T20:10:00"/>
    <n v="20"/>
    <x v="1"/>
    <s v="CTRA. ZARZON"/>
    <x v="9"/>
    <n v="43.05"/>
    <s v="Big"/>
    <x v="0"/>
    <x v="0"/>
    <x v="1"/>
    <s v="Pedestrian"/>
    <x v="12"/>
    <x v="0"/>
    <s v="14"/>
    <n v="14"/>
  </r>
  <r>
    <s v="2019S028878"/>
    <x v="181"/>
    <d v="1899-12-30T20:40:00"/>
    <n v="20"/>
    <x v="1"/>
    <s v="PASEO. ERMITA DEL SANTO"/>
    <x v="1"/>
    <n v="14.91"/>
    <s v="Small"/>
    <x v="0"/>
    <x v="0"/>
    <x v="1"/>
    <s v="Driver"/>
    <x v="12"/>
    <x v="0"/>
    <s v="14"/>
    <n v="14"/>
  </r>
  <r>
    <s v="2019S030627"/>
    <x v="261"/>
    <d v="1899-12-30T20:05:00"/>
    <n v="20"/>
    <x v="1"/>
    <s v="CALL. MARROQUINA"/>
    <x v="12"/>
    <n v="6.34"/>
    <s v="Small"/>
    <x v="2"/>
    <x v="0"/>
    <x v="1"/>
    <s v="Driver"/>
    <x v="12"/>
    <x v="0"/>
    <s v="14"/>
    <n v="14"/>
  </r>
  <r>
    <s v="2019S033177"/>
    <x v="26"/>
    <d v="1899-12-30T19:35:00"/>
    <n v="19"/>
    <x v="1"/>
    <s v="CALL. ESCALONA"/>
    <x v="3"/>
    <n v="25.41"/>
    <s v="Big"/>
    <x v="0"/>
    <x v="1"/>
    <x v="1"/>
    <s v="Driver"/>
    <x v="12"/>
    <x v="0"/>
    <s v="07"/>
    <n v="7"/>
  </r>
  <r>
    <s v="2019S035344"/>
    <x v="196"/>
    <d v="1899-12-30T13:55:00"/>
    <n v="13"/>
    <x v="0"/>
    <s v="AVDA. LLANO CASTELLANO / AVDA. CARDENAL HERRERA ORIA"/>
    <x v="10"/>
    <n v="237.81"/>
    <s v="Big"/>
    <x v="1"/>
    <x v="0"/>
    <x v="1"/>
    <s v="Pedestrian"/>
    <x v="12"/>
    <x v="1"/>
    <s v="07"/>
    <n v="7"/>
  </r>
  <r>
    <s v="2019S005101"/>
    <x v="278"/>
    <d v="1899-12-30T13:00:00"/>
    <n v="13"/>
    <x v="0"/>
    <s v="CALL. VILLABLANCA"/>
    <x v="21"/>
    <n v="40.380000000000003"/>
    <s v="Big"/>
    <x v="2"/>
    <x v="2"/>
    <x v="1"/>
    <s v="Driver"/>
    <x v="13"/>
    <x v="0"/>
    <s v="02"/>
    <n v="2"/>
  </r>
  <r>
    <s v="2019S017988"/>
    <x v="270"/>
    <d v="1899-12-30T14:40:00"/>
    <n v="14"/>
    <x v="0"/>
    <s v="AVDA. DOCTOR GARCIA TAPIA"/>
    <x v="12"/>
    <n v="6.34"/>
    <s v="Small"/>
    <x v="2"/>
    <x v="1"/>
    <x v="1"/>
    <s v="Driver"/>
    <x v="13"/>
    <x v="0"/>
    <s v=""/>
    <s v=""/>
  </r>
  <r>
    <s v="2019S018545"/>
    <x v="0"/>
    <d v="1899-12-30T12:20:00"/>
    <n v="12"/>
    <x v="0"/>
    <s v="AVDA. MANZANARES"/>
    <x v="0"/>
    <n v="12.36"/>
    <s v="Small"/>
    <x v="0"/>
    <x v="0"/>
    <x v="0"/>
    <s v="Driver"/>
    <x v="13"/>
    <x v="0"/>
    <s v="07"/>
    <n v="7"/>
  </r>
  <r>
    <s v="2019S019263"/>
    <x v="304"/>
    <d v="1899-12-30T17:05:00"/>
    <n v="17"/>
    <x v="1"/>
    <s v="PQUE. JUAN CARLOS I"/>
    <x v="20"/>
    <n v="41.74"/>
    <s v="Big"/>
    <x v="2"/>
    <x v="8"/>
    <x v="0"/>
    <s v="Driver"/>
    <x v="13"/>
    <x v="0"/>
    <s v="02"/>
    <n v="2"/>
  </r>
  <r>
    <s v="2019S021951"/>
    <x v="16"/>
    <d v="1899-12-30T20:17:00"/>
    <n v="20"/>
    <x v="1"/>
    <s v="CALL. ISLA DE YESO"/>
    <x v="10"/>
    <n v="237.81"/>
    <s v="Big"/>
    <x v="1"/>
    <x v="4"/>
    <x v="1"/>
    <s v="Driver"/>
    <x v="13"/>
    <x v="0"/>
    <s v="02"/>
    <n v="2"/>
  </r>
  <r>
    <s v="2019S022605"/>
    <x v="103"/>
    <d v="1899-12-30T17:35:00"/>
    <n v="17"/>
    <x v="1"/>
    <s v="CALL. SANTA POLA"/>
    <x v="9"/>
    <n v="43.05"/>
    <s v="Big"/>
    <x v="0"/>
    <x v="1"/>
    <x v="1"/>
    <s v="Driver"/>
    <x v="13"/>
    <x v="0"/>
    <s v="07"/>
    <n v="7"/>
  </r>
  <r>
    <s v="2019S022596"/>
    <x v="103"/>
    <d v="1899-12-30T17:05:00"/>
    <n v="17"/>
    <x v="1"/>
    <s v="CALL. SANTA ENGRACIA"/>
    <x v="15"/>
    <n v="4.6900000000000004"/>
    <s v="Small"/>
    <x v="1"/>
    <x v="0"/>
    <x v="1"/>
    <s v="Pedestrian"/>
    <x v="13"/>
    <x v="1"/>
    <s v="07"/>
    <n v="7"/>
  </r>
  <r>
    <s v="2019S025589"/>
    <x v="112"/>
    <d v="1899-12-30T20:56:00"/>
    <n v="20"/>
    <x v="1"/>
    <s v="CALL. PLAYA DE LA CALETA"/>
    <x v="20"/>
    <n v="41.74"/>
    <s v="Big"/>
    <x v="2"/>
    <x v="4"/>
    <x v="1"/>
    <s v="Driver"/>
    <x v="13"/>
    <x v="0"/>
    <s v="14"/>
    <n v="14"/>
  </r>
  <r>
    <s v="2019S029624"/>
    <x v="305"/>
    <d v="1899-12-30T13:45:00"/>
    <n v="13"/>
    <x v="0"/>
    <s v="AVDA. POBLADOS / AUTOV. A-42"/>
    <x v="1"/>
    <n v="14.91"/>
    <s v="Small"/>
    <x v="0"/>
    <x v="2"/>
    <x v="1"/>
    <s v="Driver"/>
    <x v="13"/>
    <x v="0"/>
    <s v="01"/>
    <n v="1"/>
  </r>
  <r>
    <s v="2019S029873"/>
    <x v="74"/>
    <d v="1899-12-30T12:50:00"/>
    <n v="12"/>
    <x v="0"/>
    <s v="CALL. DON RAMON DE LA CRUZ"/>
    <x v="18"/>
    <n v="5.39"/>
    <s v="Small"/>
    <x v="0"/>
    <x v="0"/>
    <x v="1"/>
    <s v="Pedestrian"/>
    <x v="13"/>
    <x v="1"/>
    <s v="07"/>
    <n v="7"/>
  </r>
  <r>
    <s v="2019S030551"/>
    <x v="260"/>
    <d v="1899-12-30T15:50:00"/>
    <n v="15"/>
    <x v="1"/>
    <s v="PASEO. FLORIDA"/>
    <x v="9"/>
    <n v="43.05"/>
    <s v="Big"/>
    <x v="0"/>
    <x v="5"/>
    <x v="1"/>
    <s v="Driver"/>
    <x v="13"/>
    <x v="0"/>
    <s v="07"/>
    <n v="7"/>
  </r>
  <r>
    <s v="2019S031868"/>
    <x v="77"/>
    <d v="1899-12-30T09:20:00"/>
    <n v="9"/>
    <x v="0"/>
    <s v="AVDA. OPORTO / CALL. CAMINO VIEJO DE LEGANES"/>
    <x v="1"/>
    <n v="14.91"/>
    <s v="Small"/>
    <x v="0"/>
    <x v="2"/>
    <x v="1"/>
    <s v="Driver"/>
    <x v="13"/>
    <x v="0"/>
    <s v="14"/>
    <n v="14"/>
  </r>
  <r>
    <s v="2019S033481"/>
    <x v="52"/>
    <d v="1899-12-30T13:20:00"/>
    <n v="13"/>
    <x v="0"/>
    <s v="AVDA. CANILLEJAS A VICALVARO / CALL. SANTA TECLA"/>
    <x v="13"/>
    <n v="22.36"/>
    <s v="Big"/>
    <x v="2"/>
    <x v="4"/>
    <x v="0"/>
    <s v="Driver"/>
    <x v="13"/>
    <x v="0"/>
    <s v="05"/>
    <n v="5"/>
  </r>
  <r>
    <s v="2019S033740"/>
    <x v="235"/>
    <d v="1899-12-30T22:00:00"/>
    <n v="22"/>
    <x v="1"/>
    <s v="CALL. FUENCARRAL"/>
    <x v="2"/>
    <n v="5.23"/>
    <s v="Small"/>
    <x v="0"/>
    <x v="2"/>
    <x v="3"/>
    <s v="Driver"/>
    <x v="13"/>
    <x v="0"/>
    <s v="07"/>
    <n v="7"/>
  </r>
  <r>
    <s v="2019S033668"/>
    <x v="235"/>
    <d v="1899-12-30T19:55:00"/>
    <n v="19"/>
    <x v="1"/>
    <s v="PLAZA. CRONOS / CALL. INOCENTA DE MESA"/>
    <x v="13"/>
    <n v="22.36"/>
    <s v="Big"/>
    <x v="2"/>
    <x v="2"/>
    <x v="3"/>
    <s v="Driver"/>
    <x v="13"/>
    <x v="0"/>
    <s v="07"/>
    <n v="7"/>
  </r>
  <r>
    <s v="2019S035582"/>
    <x v="132"/>
    <d v="1899-12-30T14:30:00"/>
    <n v="14"/>
    <x v="0"/>
    <s v="AVDA. PEÑA PRIETA / CALL. PICO ALMANZOR"/>
    <x v="17"/>
    <n v="14.89"/>
    <s v="Small"/>
    <x v="0"/>
    <x v="2"/>
    <x v="1"/>
    <s v="Driver"/>
    <x v="13"/>
    <x v="0"/>
    <s v="07"/>
    <n v="7"/>
  </r>
  <r>
    <s v="2019S038464"/>
    <x v="137"/>
    <d v="1899-12-30T18:40:00"/>
    <n v="18"/>
    <x v="1"/>
    <s v="CALL. EMBAJADORES / CALL. RICARDO GOIZUETA"/>
    <x v="11"/>
    <n v="6.46"/>
    <s v="Small"/>
    <x v="0"/>
    <x v="0"/>
    <x v="1"/>
    <s v="Pedestrian"/>
    <x v="13"/>
    <x v="1"/>
    <s v="06"/>
    <n v="6"/>
  </r>
  <r>
    <s v="2019S038567"/>
    <x v="137"/>
    <d v="1899-12-30T15:20:00"/>
    <n v="15"/>
    <x v="1"/>
    <s v="PASEO. MELANCOLICOS / PASEO. PONTONES"/>
    <x v="11"/>
    <n v="6.46"/>
    <s v="Small"/>
    <x v="0"/>
    <x v="4"/>
    <x v="0"/>
    <s v="Driver"/>
    <x v="13"/>
    <x v="1"/>
    <s v="07"/>
    <n v="7"/>
  </r>
  <r>
    <s v="2019S039474"/>
    <x v="277"/>
    <d v="1899-12-30T10:30:00"/>
    <n v="10"/>
    <x v="0"/>
    <s v="CALL. BOLSA / CALL. BOLSA"/>
    <x v="2"/>
    <n v="5.23"/>
    <s v="Small"/>
    <x v="0"/>
    <x v="4"/>
    <x v="3"/>
    <s v="Driver"/>
    <x v="13"/>
    <x v="1"/>
    <s v="02"/>
    <n v="2"/>
  </r>
  <r>
    <s v="2019S000641"/>
    <x v="210"/>
    <d v="1899-12-30T13:35:00"/>
    <n v="13"/>
    <x v="0"/>
    <s v="CALL. CAÑON DEL RIO LOBOS"/>
    <x v="12"/>
    <n v="6.34"/>
    <s v="Small"/>
    <x v="2"/>
    <x v="2"/>
    <x v="1"/>
    <s v="Driver"/>
    <x v="14"/>
    <x v="0"/>
    <s v="07"/>
    <n v="7"/>
  </r>
  <r>
    <s v="2019S005062"/>
    <x v="306"/>
    <d v="1899-12-30T15:38:00"/>
    <n v="15"/>
    <x v="1"/>
    <s v="AVDA. ALBUFERA"/>
    <x v="17"/>
    <n v="14.89"/>
    <s v="Small"/>
    <x v="0"/>
    <x v="2"/>
    <x v="1"/>
    <s v="Driver"/>
    <x v="14"/>
    <x v="0"/>
    <s v="14"/>
    <n v="14"/>
  </r>
  <r>
    <s v="2019S016752"/>
    <x v="153"/>
    <d v="1899-12-30T14:15:00"/>
    <n v="14"/>
    <x v="0"/>
    <s v="CALL. ATOCHA"/>
    <x v="2"/>
    <n v="5.23"/>
    <s v="Small"/>
    <x v="0"/>
    <x v="0"/>
    <x v="1"/>
    <s v="Pedestrian"/>
    <x v="14"/>
    <x v="1"/>
    <s v="02"/>
    <n v="2"/>
  </r>
  <r>
    <s v="2019S018494"/>
    <x v="284"/>
    <d v="1899-12-30T08:35:00"/>
    <n v="8"/>
    <x v="0"/>
    <s v="PASEO. FERNAN NUÑEZ"/>
    <x v="16"/>
    <n v="5.38"/>
    <s v="Small"/>
    <x v="0"/>
    <x v="0"/>
    <x v="1"/>
    <s v="Driver"/>
    <x v="14"/>
    <x v="0"/>
    <s v="14"/>
    <n v="14"/>
  </r>
  <r>
    <s v="2019S019124"/>
    <x v="307"/>
    <d v="1899-12-30T19:00:00"/>
    <n v="19"/>
    <x v="1"/>
    <s v="CALL. DOCTOR TOLOSA LATOUR"/>
    <x v="0"/>
    <n v="12.36"/>
    <s v="Small"/>
    <x v="0"/>
    <x v="3"/>
    <x v="1"/>
    <s v="Driver"/>
    <x v="14"/>
    <x v="1"/>
    <s v="06"/>
    <n v="6"/>
  </r>
  <r>
    <s v="2019S020574"/>
    <x v="61"/>
    <d v="1899-12-30T14:49:00"/>
    <n v="14"/>
    <x v="0"/>
    <s v="CALL. SESEÑA"/>
    <x v="3"/>
    <n v="25.41"/>
    <s v="Big"/>
    <x v="0"/>
    <x v="0"/>
    <x v="1"/>
    <s v="Pedestrian"/>
    <x v="14"/>
    <x v="0"/>
    <s v="07"/>
    <n v="7"/>
  </r>
  <r>
    <s v="2019S021283"/>
    <x v="1"/>
    <d v="1899-12-30T11:40:00"/>
    <n v="11"/>
    <x v="0"/>
    <s v="MADRID RIO"/>
    <x v="1"/>
    <n v="14.91"/>
    <s v="Small"/>
    <x v="0"/>
    <x v="1"/>
    <x v="1"/>
    <s v="Driver"/>
    <x v="14"/>
    <x v="0"/>
    <s v="14"/>
    <n v="14"/>
  </r>
  <r>
    <s v="2019S020921"/>
    <x v="285"/>
    <d v="1899-12-30T19:50:00"/>
    <n v="19"/>
    <x v="1"/>
    <s v="PASEO. PLATANOS / PASEO. PUERTA DEL ANGEL"/>
    <x v="9"/>
    <n v="43.05"/>
    <s v="Big"/>
    <x v="0"/>
    <x v="6"/>
    <x v="1"/>
    <s v="Driver"/>
    <x v="14"/>
    <x v="0"/>
    <s v="02"/>
    <n v="2"/>
  </r>
  <r>
    <s v="2019S021744"/>
    <x v="62"/>
    <d v="1899-12-30T07:15:00"/>
    <n v="7"/>
    <x v="0"/>
    <s v="CALL. O'DONNELL"/>
    <x v="16"/>
    <n v="5.38"/>
    <s v="Small"/>
    <x v="0"/>
    <x v="2"/>
    <x v="1"/>
    <s v="Driver"/>
    <x v="14"/>
    <x v="0"/>
    <s v="03"/>
    <n v="3"/>
  </r>
  <r>
    <s v="2019S023320"/>
    <x v="43"/>
    <d v="1899-12-30T14:20:00"/>
    <n v="14"/>
    <x v="0"/>
    <s v="CALL. ARROYO DEL MONTE / PLAZA. PRADERA DEL SALCERAL"/>
    <x v="10"/>
    <n v="237.81"/>
    <s v="Big"/>
    <x v="1"/>
    <x v="4"/>
    <x v="1"/>
    <s v="Driver"/>
    <x v="14"/>
    <x v="0"/>
    <s v="06"/>
    <n v="6"/>
  </r>
  <r>
    <s v="2019S023455"/>
    <x v="44"/>
    <d v="1899-12-30T09:45:00"/>
    <n v="9"/>
    <x v="0"/>
    <s v="CALL. SAN EPIFANIO"/>
    <x v="11"/>
    <n v="6.46"/>
    <s v="Small"/>
    <x v="0"/>
    <x v="4"/>
    <x v="1"/>
    <s v="Driver"/>
    <x v="14"/>
    <x v="1"/>
    <s v=""/>
    <s v=""/>
  </r>
  <r>
    <s v="2019S023692"/>
    <x v="105"/>
    <d v="1899-12-30T18:30:00"/>
    <n v="18"/>
    <x v="1"/>
    <s v="CALL. IRUN / CALL. CADARSO"/>
    <x v="9"/>
    <n v="43.05"/>
    <s v="Big"/>
    <x v="0"/>
    <x v="4"/>
    <x v="1"/>
    <s v="Driver"/>
    <x v="14"/>
    <x v="0"/>
    <s v="06"/>
    <n v="6"/>
  </r>
  <r>
    <s v="2019S024502"/>
    <x v="108"/>
    <d v="1899-12-30T13:05:00"/>
    <n v="13"/>
    <x v="0"/>
    <s v="PASEO. JUAN ANTONIO VALLEJO-NAJERA BOTAS"/>
    <x v="11"/>
    <n v="6.46"/>
    <s v="Small"/>
    <x v="0"/>
    <x v="4"/>
    <x v="1"/>
    <s v="Pedestrian"/>
    <x v="14"/>
    <x v="1"/>
    <s v="14"/>
    <n v="14"/>
  </r>
  <r>
    <s v="2019S025622"/>
    <x v="113"/>
    <d v="1899-12-30T09:20:00"/>
    <n v="9"/>
    <x v="0"/>
    <s v="CMNO. CRUCES / POLIG. ALUCHE-AVENIDA DE LOS POBLADOS"/>
    <x v="1"/>
    <n v="14.91"/>
    <s v="Small"/>
    <x v="0"/>
    <x v="2"/>
    <x v="1"/>
    <s v="Driver"/>
    <x v="14"/>
    <x v="0"/>
    <s v="06"/>
    <n v="6"/>
  </r>
  <r>
    <s v="2019S027071"/>
    <x v="308"/>
    <d v="1899-12-30T11:05:00"/>
    <n v="11"/>
    <x v="0"/>
    <s v="EN CARRIL BICI"/>
    <x v="13"/>
    <n v="22.36"/>
    <s v="Big"/>
    <x v="2"/>
    <x v="4"/>
    <x v="1"/>
    <s v="Driver"/>
    <x v="14"/>
    <x v="0"/>
    <s v=""/>
    <s v=""/>
  </r>
  <r>
    <s v="2019S028983"/>
    <x v="183"/>
    <d v="1899-12-30T10:50:00"/>
    <n v="10"/>
    <x v="0"/>
    <s v="CALL. FUENTE CARRANTONA"/>
    <x v="12"/>
    <n v="6.34"/>
    <s v="Small"/>
    <x v="2"/>
    <x v="2"/>
    <x v="1"/>
    <s v="Driver"/>
    <x v="14"/>
    <x v="0"/>
    <s v="07"/>
    <n v="7"/>
  </r>
  <r>
    <s v="2019S030632"/>
    <x v="120"/>
    <d v="1899-12-30T15:20:00"/>
    <n v="15"/>
    <x v="1"/>
    <s v="CALL. MAYOR"/>
    <x v="2"/>
    <n v="5.23"/>
    <s v="Small"/>
    <x v="0"/>
    <x v="0"/>
    <x v="1"/>
    <s v="Pedestrian"/>
    <x v="14"/>
    <x v="0"/>
    <s v="02"/>
    <n v="2"/>
  </r>
  <r>
    <s v="2019S030783"/>
    <x v="121"/>
    <d v="1899-12-30T10:40:00"/>
    <n v="10"/>
    <x v="0"/>
    <s v="PASEO. ACACIAS"/>
    <x v="11"/>
    <n v="6.46"/>
    <s v="Small"/>
    <x v="0"/>
    <x v="0"/>
    <x v="1"/>
    <s v="Pedestrian"/>
    <x v="14"/>
    <x v="1"/>
    <s v=""/>
    <s v=""/>
  </r>
  <r>
    <s v="2019S032355"/>
    <x v="309"/>
    <d v="1899-12-30T12:08:00"/>
    <n v="12"/>
    <x v="0"/>
    <s v="PASEO. YESERIAS"/>
    <x v="11"/>
    <n v="6.46"/>
    <s v="Small"/>
    <x v="0"/>
    <x v="2"/>
    <x v="1"/>
    <s v="Driver"/>
    <x v="14"/>
    <x v="0"/>
    <s v="03"/>
    <n v="3"/>
  </r>
  <r>
    <s v="2019S037676"/>
    <x v="205"/>
    <d v="1899-12-30T21:10:00"/>
    <n v="21"/>
    <x v="1"/>
    <s v="CALL. PRINCIPE DE VERGARA / CALL. LOPEZ DE HOYOS"/>
    <x v="14"/>
    <n v="9.2100000000000009"/>
    <s v="Small"/>
    <x v="1"/>
    <x v="2"/>
    <x v="1"/>
    <s v="Driver"/>
    <x v="14"/>
    <x v="1"/>
    <s v="07"/>
    <n v="7"/>
  </r>
  <r>
    <s v="2019S039131"/>
    <x v="138"/>
    <d v="1899-12-30T12:10:00"/>
    <n v="12"/>
    <x v="0"/>
    <s v="CALL. VILLAAMIL"/>
    <x v="5"/>
    <n v="5.38"/>
    <s v="Small"/>
    <x v="1"/>
    <x v="0"/>
    <x v="1"/>
    <s v="Pedestrian"/>
    <x v="14"/>
    <x v="1"/>
    <s v="02"/>
    <n v="2"/>
  </r>
  <r>
    <s v="2019S039483"/>
    <x v="310"/>
    <d v="1899-12-30T11:21:00"/>
    <n v="11"/>
    <x v="0"/>
    <s v="CALL. BARQUILLO"/>
    <x v="2"/>
    <n v="5.23"/>
    <s v="Small"/>
    <x v="0"/>
    <x v="4"/>
    <x v="1"/>
    <s v="Driver"/>
    <x v="14"/>
    <x v="0"/>
    <s v="05"/>
    <n v="5"/>
  </r>
  <r>
    <s v="2019S000036"/>
    <x v="311"/>
    <d v="1899-12-30T20:45:00"/>
    <n v="20"/>
    <x v="1"/>
    <s v="AVDA. GRAN VIA DE HORTALEZA / GTA. LUIS ROSALES"/>
    <x v="7"/>
    <n v="27.41"/>
    <s v="Big"/>
    <x v="0"/>
    <x v="2"/>
    <x v="1"/>
    <s v="Driver"/>
    <x v="15"/>
    <x v="0"/>
    <s v="03"/>
    <n v="3"/>
  </r>
  <r>
    <s v="2019S007920"/>
    <x v="241"/>
    <d v="1899-12-30T11:07:00"/>
    <n v="11"/>
    <x v="0"/>
    <s v="CALL. MARCELO USERA / CALL. MANUEL NOYA"/>
    <x v="0"/>
    <n v="12.36"/>
    <s v="Small"/>
    <x v="0"/>
    <x v="0"/>
    <x v="1"/>
    <s v="Pedestrian"/>
    <x v="15"/>
    <x v="1"/>
    <s v="07"/>
    <n v="7"/>
  </r>
  <r>
    <s v="2019S017801"/>
    <x v="246"/>
    <d v="1899-12-30T10:00:00"/>
    <n v="10"/>
    <x v="0"/>
    <s v="CALL. REGUERA DE TOMATEROS"/>
    <x v="17"/>
    <n v="14.89"/>
    <s v="Small"/>
    <x v="0"/>
    <x v="4"/>
    <x v="1"/>
    <s v="Driver"/>
    <x v="15"/>
    <x v="0"/>
    <s v="06"/>
    <n v="6"/>
  </r>
  <r>
    <s v="2019S017644"/>
    <x v="249"/>
    <d v="1899-12-30T13:35:00"/>
    <n v="13"/>
    <x v="0"/>
    <s v="CALL. JUAN DUQUE / CALL. MORENO NIETO"/>
    <x v="11"/>
    <n v="6.46"/>
    <s v="Small"/>
    <x v="0"/>
    <x v="3"/>
    <x v="1"/>
    <s v="Driver"/>
    <x v="15"/>
    <x v="0"/>
    <s v="07"/>
    <n v="7"/>
  </r>
  <r>
    <s v="2019S018494"/>
    <x v="284"/>
    <d v="1899-12-30T08:35:00"/>
    <n v="8"/>
    <x v="0"/>
    <s v="PASEO. FERNAN NUÑEZ"/>
    <x v="16"/>
    <n v="5.38"/>
    <s v="Small"/>
    <x v="0"/>
    <x v="0"/>
    <x v="1"/>
    <s v="Pedestrian"/>
    <x v="15"/>
    <x v="1"/>
    <s v="07"/>
    <n v="7"/>
  </r>
  <r>
    <s v="2019S022279"/>
    <x v="102"/>
    <d v="1899-12-30T12:30:00"/>
    <n v="12"/>
    <x v="0"/>
    <s v="CALL. BAILEN"/>
    <x v="2"/>
    <n v="5.23"/>
    <s v="Small"/>
    <x v="0"/>
    <x v="0"/>
    <x v="1"/>
    <s v="Pedestrian"/>
    <x v="15"/>
    <x v="1"/>
    <s v="07"/>
    <n v="7"/>
  </r>
  <r>
    <s v="2019S024946"/>
    <x v="169"/>
    <d v="1899-12-30T08:38:00"/>
    <n v="8"/>
    <x v="0"/>
    <s v="CALL. LEONOR LOPEZ DE CORDOBA / AUTOV. M-40"/>
    <x v="10"/>
    <n v="237.81"/>
    <s v="Big"/>
    <x v="1"/>
    <x v="3"/>
    <x v="1"/>
    <s v="Driver"/>
    <x v="15"/>
    <x v="0"/>
    <s v="07"/>
    <n v="7"/>
  </r>
  <r>
    <s v="2019S027825"/>
    <x v="256"/>
    <d v="1899-12-30T11:30:00"/>
    <n v="11"/>
    <x v="0"/>
    <s v="CARRIL BICI INTERIOR PARQUE LINEAL DEL MANZANARES"/>
    <x v="4"/>
    <n v="20.25"/>
    <s v="Big"/>
    <x v="0"/>
    <x v="4"/>
    <x v="1"/>
    <s v="Driver"/>
    <x v="15"/>
    <x v="0"/>
    <s v="05"/>
    <n v="5"/>
  </r>
  <r>
    <s v="2019S030311"/>
    <x v="119"/>
    <d v="1899-12-30T11:50:00"/>
    <n v="11"/>
    <x v="0"/>
    <s v="CALL. CERRO DEL MURMULLO"/>
    <x v="6"/>
    <n v="51.92"/>
    <s v="Big"/>
    <x v="0"/>
    <x v="4"/>
    <x v="0"/>
    <s v="Driver"/>
    <x v="15"/>
    <x v="0"/>
    <s v="07"/>
    <n v="7"/>
  </r>
  <r>
    <s v="2019S030398"/>
    <x v="119"/>
    <d v="1899-12-30T11:30:00"/>
    <n v="11"/>
    <x v="0"/>
    <s v="GTA. ANGEL CAIDO / CALL. FERNAN NUÑEZ"/>
    <x v="16"/>
    <n v="5.38"/>
    <s v="Small"/>
    <x v="0"/>
    <x v="0"/>
    <x v="1"/>
    <s v="Pedestrian"/>
    <x v="15"/>
    <x v="1"/>
    <s v="06"/>
    <n v="6"/>
  </r>
  <r>
    <s v="2019S031114"/>
    <x v="75"/>
    <d v="1899-12-30T17:35:00"/>
    <n v="17"/>
    <x v="1"/>
    <s v="PLAZA. PUERTA DEL SOL"/>
    <x v="2"/>
    <n v="5.23"/>
    <s v="Small"/>
    <x v="0"/>
    <x v="0"/>
    <x v="1"/>
    <s v="Pedestrian"/>
    <x v="15"/>
    <x v="1"/>
    <s v="07"/>
    <n v="7"/>
  </r>
  <r>
    <s v="2019S031356"/>
    <x v="25"/>
    <d v="1899-12-30T20:05:00"/>
    <n v="20"/>
    <x v="1"/>
    <s v="CALL. O'DONNELL"/>
    <x v="16"/>
    <n v="5.38"/>
    <s v="Small"/>
    <x v="0"/>
    <x v="0"/>
    <x v="1"/>
    <s v="Pedestrian"/>
    <x v="15"/>
    <x v="1"/>
    <s v="06"/>
    <n v="6"/>
  </r>
  <r>
    <s v="2019S033730"/>
    <x v="7"/>
    <d v="1899-12-30T11:10:00"/>
    <n v="11"/>
    <x v="0"/>
    <s v="CALL. FERNANDEZ DE LA HOZ / CALL. GENERAL ARRANDO"/>
    <x v="15"/>
    <n v="4.6900000000000004"/>
    <s v="Small"/>
    <x v="1"/>
    <x v="4"/>
    <x v="3"/>
    <s v="Pedestrian"/>
    <x v="15"/>
    <x v="1"/>
    <s v="07"/>
    <n v="7"/>
  </r>
  <r>
    <s v="2019S034854"/>
    <x v="236"/>
    <d v="1899-12-30T15:49:00"/>
    <n v="15"/>
    <x v="1"/>
    <s v="AVDA. DOCTOR GARCIA TAPIA / CALL. MARROQUINA"/>
    <x v="12"/>
    <n v="6.34"/>
    <s v="Small"/>
    <x v="2"/>
    <x v="4"/>
    <x v="1"/>
    <s v="Driver"/>
    <x v="15"/>
    <x v="1"/>
    <s v="01"/>
    <n v="1"/>
  </r>
  <r>
    <s v="2019S034836"/>
    <x v="312"/>
    <d v="1899-12-30T13:10:00"/>
    <n v="13"/>
    <x v="0"/>
    <s v="AVDA. CANILLEJAS A VICALVARO"/>
    <x v="13"/>
    <n v="22.36"/>
    <s v="Big"/>
    <x v="2"/>
    <x v="4"/>
    <x v="1"/>
    <s v="Driver"/>
    <x v="15"/>
    <x v="0"/>
    <s v="07"/>
    <n v="7"/>
  </r>
  <r>
    <s v="2019S036951"/>
    <x v="202"/>
    <d v="1899-12-30T12:30:00"/>
    <n v="12"/>
    <x v="0"/>
    <s v="PASEO. PLATANOS / PASEO. ROBLEDAL"/>
    <x v="9"/>
    <n v="43.05"/>
    <s v="Big"/>
    <x v="0"/>
    <x v="2"/>
    <x v="1"/>
    <s v="Driver"/>
    <x v="15"/>
    <x v="0"/>
    <s v="07"/>
    <n v="7"/>
  </r>
  <r>
    <s v="2019S018655"/>
    <x v="158"/>
    <d v="1899-12-30T14:15:00"/>
    <n v="14"/>
    <x v="0"/>
    <s v="CALL. BARCO"/>
    <x v="2"/>
    <n v="5.23"/>
    <s v="Small"/>
    <x v="0"/>
    <x v="4"/>
    <x v="1"/>
    <s v="Pedestrian"/>
    <x v="16"/>
    <x v="0"/>
    <s v="14"/>
    <n v="14"/>
  </r>
  <r>
    <s v="2019S022596"/>
    <x v="103"/>
    <d v="1899-12-30T17:05:00"/>
    <n v="17"/>
    <x v="1"/>
    <s v="CALL. SANTA ENGRACIA"/>
    <x v="15"/>
    <n v="4.6900000000000004"/>
    <s v="Small"/>
    <x v="1"/>
    <x v="0"/>
    <x v="1"/>
    <s v="Driver"/>
    <x v="16"/>
    <x v="2"/>
    <s v=""/>
    <s v=""/>
  </r>
  <r>
    <s v="2019S023732"/>
    <x v="2"/>
    <d v="1899-12-30T21:35:00"/>
    <n v="21"/>
    <x v="1"/>
    <s v="CALL. JACOMETREZO"/>
    <x v="2"/>
    <n v="5.23"/>
    <s v="Small"/>
    <x v="0"/>
    <x v="0"/>
    <x v="1"/>
    <s v="Driver"/>
    <x v="16"/>
    <x v="2"/>
    <s v=""/>
    <s v=""/>
  </r>
  <r>
    <s v="2019S024294"/>
    <x v="166"/>
    <d v="1899-12-30T10:30:00"/>
    <n v="10"/>
    <x v="0"/>
    <s v="AVDA. MONASTERIO DE EL ESCORIAL / AVDA. SANTUARIO DE VALVERDE"/>
    <x v="10"/>
    <n v="237.81"/>
    <s v="Big"/>
    <x v="1"/>
    <x v="6"/>
    <x v="1"/>
    <s v="Driver"/>
    <x v="16"/>
    <x v="2"/>
    <s v=""/>
    <s v=""/>
  </r>
  <r>
    <s v="2019S024417"/>
    <x v="313"/>
    <d v="1899-12-30T17:27:00"/>
    <n v="17"/>
    <x v="1"/>
    <s v="CALL. SAN TELESFORO"/>
    <x v="8"/>
    <n v="11.38"/>
    <s v="Small"/>
    <x v="2"/>
    <x v="6"/>
    <x v="1"/>
    <s v="Driver"/>
    <x v="16"/>
    <x v="2"/>
    <s v=""/>
    <s v=""/>
  </r>
  <r>
    <s v="2019S025299"/>
    <x v="110"/>
    <d v="1899-12-30T23:00:00"/>
    <n v="23"/>
    <x v="1"/>
    <s v="CALL. MARCELO USERA"/>
    <x v="0"/>
    <n v="12.36"/>
    <s v="Small"/>
    <x v="0"/>
    <x v="0"/>
    <x v="1"/>
    <s v="Driver"/>
    <x v="16"/>
    <x v="2"/>
    <s v=""/>
    <s v=""/>
  </r>
  <r>
    <s v="2019S025453"/>
    <x v="46"/>
    <d v="1899-12-30T01:20:00"/>
    <n v="1"/>
    <x v="0"/>
    <s v="CALL. CASINO / CALL. SANTIAGO EL VERDE"/>
    <x v="2"/>
    <n v="5.23"/>
    <s v="Small"/>
    <x v="0"/>
    <x v="3"/>
    <x v="4"/>
    <s v="Driver"/>
    <x v="16"/>
    <x v="2"/>
    <s v=""/>
    <s v=""/>
  </r>
  <r>
    <s v="2019S027484"/>
    <x v="4"/>
    <d v="1899-12-30T20:10:00"/>
    <n v="20"/>
    <x v="1"/>
    <s v="PQUE. MADRID RIO, +00300E"/>
    <x v="3"/>
    <n v="25.41"/>
    <s v="Big"/>
    <x v="0"/>
    <x v="0"/>
    <x v="1"/>
    <s v="Driver"/>
    <x v="16"/>
    <x v="2"/>
    <s v=""/>
    <s v=""/>
  </r>
  <r>
    <s v="2019S027834"/>
    <x v="70"/>
    <d v="1899-12-30T16:33:00"/>
    <n v="16"/>
    <x v="1"/>
    <s v="CALL. LOPEZ DE HOYOS"/>
    <x v="14"/>
    <n v="9.2100000000000009"/>
    <s v="Small"/>
    <x v="1"/>
    <x v="4"/>
    <x v="1"/>
    <s v="Driver"/>
    <x v="16"/>
    <x v="2"/>
    <s v=""/>
    <s v=""/>
  </r>
  <r>
    <s v="2019S029101"/>
    <x v="5"/>
    <d v="1899-12-30T14:45:00"/>
    <n v="14"/>
    <x v="0"/>
    <s v="PASEO. ALBERTO PALACIOS"/>
    <x v="4"/>
    <n v="20.25"/>
    <s v="Big"/>
    <x v="0"/>
    <x v="0"/>
    <x v="1"/>
    <s v="Driver"/>
    <x v="16"/>
    <x v="2"/>
    <s v=""/>
    <s v=""/>
  </r>
  <r>
    <s v="2019S031116"/>
    <x v="75"/>
    <d v="1899-12-30T21:15:00"/>
    <n v="21"/>
    <x v="1"/>
    <s v="PQUE. MADRID RIO, FAROLA 26-10"/>
    <x v="11"/>
    <n v="6.46"/>
    <s v="Small"/>
    <x v="0"/>
    <x v="2"/>
    <x v="1"/>
    <s v="Driver"/>
    <x v="16"/>
    <x v="2"/>
    <s v=""/>
    <s v=""/>
  </r>
  <r>
    <s v="2019S031237"/>
    <x v="124"/>
    <d v="1899-12-30T09:25:00"/>
    <n v="9"/>
    <x v="0"/>
    <s v="AVDA. GENERAL PERON / CALL. JULIAN BESTEIRO"/>
    <x v="5"/>
    <n v="5.38"/>
    <s v="Small"/>
    <x v="1"/>
    <x v="2"/>
    <x v="1"/>
    <s v="Driver"/>
    <x v="16"/>
    <x v="2"/>
    <s v=""/>
    <s v=""/>
  </r>
  <r>
    <s v="2019S033667"/>
    <x v="235"/>
    <d v="1899-12-30T20:00:00"/>
    <n v="20"/>
    <x v="1"/>
    <s v="PASEO. PRADO"/>
    <x v="2"/>
    <n v="5.23"/>
    <s v="Small"/>
    <x v="0"/>
    <x v="1"/>
    <x v="3"/>
    <s v="Driver"/>
    <x v="16"/>
    <x v="2"/>
    <s v=""/>
    <s v=""/>
  </r>
  <r>
    <s v="2019S034153"/>
    <x v="263"/>
    <d v="1899-12-30T22:15:00"/>
    <n v="22"/>
    <x v="1"/>
    <s v="CALL. LOPEZ DE HOYOS"/>
    <x v="14"/>
    <n v="9.2100000000000009"/>
    <s v="Small"/>
    <x v="1"/>
    <x v="4"/>
    <x v="1"/>
    <s v="Driver"/>
    <x v="16"/>
    <x v="2"/>
    <s v=""/>
    <s v=""/>
  </r>
  <r>
    <s v="2019S034064"/>
    <x v="263"/>
    <d v="1899-12-30T00:38:00"/>
    <n v="0"/>
    <x v="0"/>
    <s v="PLAZA. ALONSO MARTINEZ / CALL. SAGASTA"/>
    <x v="15"/>
    <n v="4.6900000000000004"/>
    <s v="Small"/>
    <x v="1"/>
    <x v="0"/>
    <x v="1"/>
    <s v="Driver"/>
    <x v="16"/>
    <x v="0"/>
    <s v=""/>
    <s v=""/>
  </r>
  <r>
    <s v="2019S038818"/>
    <x v="276"/>
    <d v="1899-12-30T15:00:00"/>
    <n v="15"/>
    <x v="1"/>
    <s v="GTA. RUIZ JIMENEZ"/>
    <x v="15"/>
    <n v="4.6900000000000004"/>
    <s v="Small"/>
    <x v="1"/>
    <x v="5"/>
    <x v="4"/>
    <s v="Driver"/>
    <x v="16"/>
    <x v="0"/>
    <s v=""/>
    <s v=""/>
  </r>
  <r>
    <s v="2019S039131"/>
    <x v="138"/>
    <d v="1899-12-30T12:10:00"/>
    <n v="12"/>
    <x v="0"/>
    <s v="CALL. VILLAAMIL"/>
    <x v="5"/>
    <n v="5.38"/>
    <s v="Small"/>
    <x v="1"/>
    <x v="0"/>
    <x v="1"/>
    <s v="Driver"/>
    <x v="16"/>
    <x v="2"/>
    <s v="02"/>
    <n v="2"/>
  </r>
  <r>
    <s v="2019S039769"/>
    <x v="314"/>
    <d v="1899-12-30T15:30:00"/>
    <n v="15"/>
    <x v="1"/>
    <s v="PASEO. ACACIAS / PLAZA. ORTEGA Y MUNILLA"/>
    <x v="11"/>
    <n v="6.46"/>
    <s v="Small"/>
    <x v="0"/>
    <x v="2"/>
    <x v="4"/>
    <s v="Driver"/>
    <x v="16"/>
    <x v="2"/>
    <s v=""/>
    <s v=""/>
  </r>
  <r>
    <s v="2019S016549"/>
    <x v="152"/>
    <d v="1899-12-30T10:30:00"/>
    <n v="10"/>
    <x v="0"/>
    <s v="PASEO. ERMITA DEL SANTO / GTA. PUENTE DE SEGOVIA"/>
    <x v="14"/>
    <n v="9.2100000000000009"/>
    <s v="Small"/>
    <x v="1"/>
    <x v="0"/>
    <x v="1"/>
    <s v="Pedestrian"/>
    <x v="17"/>
    <x v="1"/>
    <s v="07"/>
    <n v="7"/>
  </r>
  <r>
    <s v="2019S021108"/>
    <x v="163"/>
    <d v="1899-12-30T15:15:00"/>
    <n v="15"/>
    <x v="1"/>
    <s v="CALL. HACIENDA DE PAVONES / CALL. LUIS DE HOYOS SAINZ"/>
    <x v="12"/>
    <n v="6.34"/>
    <s v="Small"/>
    <x v="2"/>
    <x v="1"/>
    <x v="1"/>
    <s v="Driver"/>
    <x v="17"/>
    <x v="0"/>
    <s v="01"/>
    <n v="1"/>
  </r>
  <r>
    <s v="2019S021607"/>
    <x v="252"/>
    <d v="1899-12-30T14:30:00"/>
    <n v="14"/>
    <x v="0"/>
    <s v="CALL. PALOMARES / CALL. JUAN PEÑALVER"/>
    <x v="4"/>
    <n v="20.25"/>
    <s v="Big"/>
    <x v="0"/>
    <x v="0"/>
    <x v="1"/>
    <s v="Pedestrian"/>
    <x v="17"/>
    <x v="0"/>
    <s v="05"/>
    <n v="5"/>
  </r>
  <r>
    <s v="2019S022289"/>
    <x v="42"/>
    <d v="1899-12-30T16:47:00"/>
    <n v="16"/>
    <x v="1"/>
    <s v="AVDA. VIRGEN DEL CARMEN"/>
    <x v="7"/>
    <n v="27.41"/>
    <s v="Big"/>
    <x v="0"/>
    <x v="0"/>
    <x v="1"/>
    <s v="Pedestrian"/>
    <x v="17"/>
    <x v="1"/>
    <s v="07"/>
    <n v="7"/>
  </r>
  <r>
    <s v="2019S022289"/>
    <x v="42"/>
    <d v="1899-12-30T16:47:00"/>
    <n v="16"/>
    <x v="1"/>
    <s v="AVDA. VIRGEN DEL CARMEN"/>
    <x v="7"/>
    <n v="27.41"/>
    <s v="Big"/>
    <x v="0"/>
    <x v="0"/>
    <x v="1"/>
    <s v="Pedestrian"/>
    <x v="17"/>
    <x v="1"/>
    <s v="07"/>
    <n v="7"/>
  </r>
  <r>
    <s v="2019S022358"/>
    <x v="102"/>
    <d v="1899-12-30T10:20:00"/>
    <n v="10"/>
    <x v="0"/>
    <s v="GTA. PUENTE DE SEGOVIA / PNTE. SEGOVIA"/>
    <x v="3"/>
    <n v="25.41"/>
    <s v="Big"/>
    <x v="0"/>
    <x v="2"/>
    <x v="1"/>
    <s v="Driver"/>
    <x v="17"/>
    <x v="0"/>
    <s v="07"/>
    <n v="7"/>
  </r>
  <r>
    <s v="2019S025299"/>
    <x v="110"/>
    <d v="1899-12-30T23:00:00"/>
    <n v="23"/>
    <x v="1"/>
    <s v="CALL. MARCELO USERA"/>
    <x v="0"/>
    <n v="12.36"/>
    <s v="Small"/>
    <x v="0"/>
    <x v="0"/>
    <x v="1"/>
    <s v="Pedestrian"/>
    <x v="17"/>
    <x v="1"/>
    <s v="01"/>
    <n v="1"/>
  </r>
  <r>
    <s v="2019S026471"/>
    <x v="4"/>
    <d v="1899-12-30T11:43:00"/>
    <n v="11"/>
    <x v="0"/>
    <s v="AVDA. ALBUFERA / CALL. JOSE PAULETE"/>
    <x v="17"/>
    <n v="14.89"/>
    <s v="Small"/>
    <x v="0"/>
    <x v="3"/>
    <x v="1"/>
    <s v="Driver"/>
    <x v="17"/>
    <x v="0"/>
    <s v="07"/>
    <n v="7"/>
  </r>
  <r>
    <s v="2019S027815"/>
    <x v="70"/>
    <d v="1899-12-30T12:35:00"/>
    <n v="12"/>
    <x v="0"/>
    <s v="CALL. CLAUDIO MOYANO"/>
    <x v="16"/>
    <n v="5.38"/>
    <s v="Small"/>
    <x v="0"/>
    <x v="0"/>
    <x v="1"/>
    <s v="Pedestrian"/>
    <x v="17"/>
    <x v="0"/>
    <s v="06"/>
    <n v="6"/>
  </r>
  <r>
    <s v="2019S028042"/>
    <x v="273"/>
    <d v="1899-12-30T21:30:00"/>
    <n v="21"/>
    <x v="1"/>
    <s v="AVDA. HOSPITALIDAD"/>
    <x v="3"/>
    <n v="25.41"/>
    <s v="Big"/>
    <x v="0"/>
    <x v="4"/>
    <x v="1"/>
    <s v="Driver"/>
    <x v="17"/>
    <x v="0"/>
    <s v="02"/>
    <n v="2"/>
  </r>
  <r>
    <s v="2019S029946"/>
    <x v="74"/>
    <d v="1899-12-30T18:35:00"/>
    <n v="18"/>
    <x v="1"/>
    <s v="PLAZA DE ORIENTE"/>
    <x v="2"/>
    <n v="5.23"/>
    <s v="Small"/>
    <x v="0"/>
    <x v="0"/>
    <x v="1"/>
    <s v="Pedestrian"/>
    <x v="17"/>
    <x v="0"/>
    <s v="02"/>
    <n v="2"/>
  </r>
  <r>
    <s v="2019S030124"/>
    <x v="231"/>
    <d v="1899-12-30T12:04:00"/>
    <n v="12"/>
    <x v="0"/>
    <s v="SAN MAXIMILIANO 49"/>
    <x v="8"/>
    <n v="11.38"/>
    <s v="Small"/>
    <x v="2"/>
    <x v="0"/>
    <x v="1"/>
    <s v="Pedestrian"/>
    <x v="17"/>
    <x v="1"/>
    <s v="02"/>
    <n v="2"/>
  </r>
  <r>
    <s v="2019S030118"/>
    <x v="231"/>
    <d v="1899-12-30T11:00:00"/>
    <n v="11"/>
    <x v="0"/>
    <s v="CALL. CARRION DE LOS CONDES"/>
    <x v="7"/>
    <n v="27.41"/>
    <s v="Big"/>
    <x v="0"/>
    <x v="0"/>
    <x v="1"/>
    <s v="Pedestrian"/>
    <x v="17"/>
    <x v="1"/>
    <s v="01"/>
    <n v="1"/>
  </r>
  <r>
    <s v="2019S030627"/>
    <x v="261"/>
    <d v="1899-12-30T20:05:00"/>
    <n v="20"/>
    <x v="1"/>
    <s v="CALL. MARROQUINA"/>
    <x v="12"/>
    <n v="6.34"/>
    <s v="Small"/>
    <x v="2"/>
    <x v="0"/>
    <x v="1"/>
    <s v="Pedestrian"/>
    <x v="17"/>
    <x v="0"/>
    <s v="07"/>
    <n v="7"/>
  </r>
  <r>
    <s v="2019S030757"/>
    <x v="121"/>
    <d v="1899-12-30T17:25:00"/>
    <n v="17"/>
    <x v="1"/>
    <s v="CALL. GRAN VIA / PLAZA. CALLAO"/>
    <x v="2"/>
    <n v="5.23"/>
    <s v="Small"/>
    <x v="0"/>
    <x v="3"/>
    <x v="1"/>
    <s v="Driver"/>
    <x v="17"/>
    <x v="1"/>
    <s v="07"/>
    <n v="7"/>
  </r>
  <r>
    <s v="2019S038773"/>
    <x v="292"/>
    <d v="1899-12-30T11:25:00"/>
    <n v="11"/>
    <x v="0"/>
    <s v="CTRA. ZARZON / CTRA. RODAJOS"/>
    <x v="9"/>
    <n v="43.05"/>
    <s v="Big"/>
    <x v="0"/>
    <x v="0"/>
    <x v="1"/>
    <s v="Pedestrian"/>
    <x v="17"/>
    <x v="0"/>
    <s v="06"/>
    <n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s v="2019S018545"/>
    <x v="0"/>
    <d v="1899-12-30T12:20:00"/>
    <n v="12"/>
    <s v="Before 15"/>
    <s v="AVDA. MANZANARES"/>
    <s v="USERA"/>
    <x v="0"/>
    <s v="Hitting a person"/>
    <x v="0"/>
    <s v="Pedestrian"/>
    <x v="0"/>
    <s v="Male"/>
    <n v="7"/>
  </r>
  <r>
    <s v="2019S021283"/>
    <x v="1"/>
    <d v="1899-12-30T11:40:00"/>
    <n v="11"/>
    <s v="Before 15"/>
    <s v="MADRID RIO"/>
    <s v="CARABANCHEL"/>
    <x v="0"/>
    <s v="Reach"/>
    <x v="1"/>
    <s v="Passenger"/>
    <x v="0"/>
    <s v="Male"/>
    <n v="14"/>
  </r>
  <r>
    <s v="2019S023732"/>
    <x v="2"/>
    <d v="1899-12-30T21:35:00"/>
    <n v="21"/>
    <s v="After 15"/>
    <s v="CALL. JACOMETREZO"/>
    <s v="CENTRO"/>
    <x v="0"/>
    <s v="Hitting a person"/>
    <x v="1"/>
    <s v="Pedestrian"/>
    <x v="0"/>
    <s v="Female"/>
    <n v="2"/>
  </r>
  <r>
    <s v="2019S026332"/>
    <x v="3"/>
    <d v="1899-12-30T22:00:00"/>
    <n v="22"/>
    <s v="After 15"/>
    <s v="AVDA. MANZANARES / PQUE. MADRID RIO"/>
    <s v="CARABANCHEL"/>
    <x v="0"/>
    <s v="Hitting a person"/>
    <x v="1"/>
    <s v="Pedestrian"/>
    <x v="0"/>
    <s v="Male"/>
    <n v="1"/>
  </r>
  <r>
    <s v="2019S027484"/>
    <x v="4"/>
    <d v="1899-12-30T20:10:00"/>
    <n v="20"/>
    <s v="After 15"/>
    <s v="PQUE. MADRID RIO, +00300E"/>
    <s v="LATINA"/>
    <x v="0"/>
    <s v="Hitting a person"/>
    <x v="1"/>
    <s v="Pedestrian"/>
    <x v="0"/>
    <s v="Male"/>
    <n v="7"/>
  </r>
  <r>
    <s v="2019S029101"/>
    <x v="5"/>
    <d v="1899-12-30T14:45:00"/>
    <n v="14"/>
    <s v="Before 15"/>
    <s v="PASEO. ALBERTO PALACIOS"/>
    <s v="VILLAVERDE"/>
    <x v="0"/>
    <s v="Hitting a person"/>
    <x v="1"/>
    <s v="Pedestrian"/>
    <x v="0"/>
    <s v="Male"/>
    <n v="7"/>
  </r>
  <r>
    <s v="2019S029560"/>
    <x v="6"/>
    <d v="1899-12-30T19:25:00"/>
    <n v="19"/>
    <s v="After 15"/>
    <s v="CALL. FRANCOS RODRIGUEZ"/>
    <s v="TETUÁN"/>
    <x v="1"/>
    <s v="Hitting a person"/>
    <x v="1"/>
    <s v="Pedestrian"/>
    <x v="0"/>
    <s v="Male"/>
    <n v="7"/>
  </r>
  <r>
    <s v="2019S034766"/>
    <x v="7"/>
    <d v="1899-12-30T19:50:00"/>
    <n v="19"/>
    <s v="After 15"/>
    <s v="AVDA. POBLADOS / CALL. CERILLERAS"/>
    <s v="CARABANCHEL"/>
    <x v="0"/>
    <s v="Head-on collision"/>
    <x v="1"/>
    <s v="Driver"/>
    <x v="0"/>
    <s v="Male"/>
    <n v="7"/>
  </r>
  <r>
    <s v="2019S036089"/>
    <x v="8"/>
    <d v="1899-12-30T09:10:00"/>
    <n v="9"/>
    <s v="Before 15"/>
    <s v="CALL. MARTIN MUÑOZ DE LAS POSADAS"/>
    <s v="VILLA DE VALLECAS"/>
    <x v="0"/>
    <s v="Lateral collision"/>
    <x v="1"/>
    <s v="Passenger"/>
    <x v="0"/>
    <s v="Female"/>
    <n v="14"/>
  </r>
  <r>
    <s v="2019S039890"/>
    <x v="9"/>
    <d v="1899-12-30T18:30:00"/>
    <n v="18"/>
    <s v="After 15"/>
    <s v="CALL. ALEJANDRO SANCHEZ"/>
    <s v="CARABANCHEL"/>
    <x v="0"/>
    <s v="Hitting a person"/>
    <x v="2"/>
    <s v="Pedestrian"/>
    <x v="0"/>
    <s v="Male"/>
    <n v="7"/>
  </r>
  <r>
    <s v="2019S004939"/>
    <x v="10"/>
    <d v="1899-12-30T16:50:00"/>
    <n v="16"/>
    <s v="After 15"/>
    <s v="CALL. SAN ENRIQUE DE OSSO"/>
    <s v="HORTALEZA"/>
    <x v="0"/>
    <s v="Head-on collision"/>
    <x v="1"/>
    <s v="Driver"/>
    <x v="1"/>
    <s v="Male"/>
    <n v="2"/>
  </r>
  <r>
    <s v="2019S006655"/>
    <x v="11"/>
    <d v="1899-12-30T13:20:00"/>
    <n v="13"/>
    <s v="Before 15"/>
    <s v="AVDA. CARABANCHEL ALTO"/>
    <s v="CARABANCHEL"/>
    <x v="0"/>
    <s v="Head-on collision"/>
    <x v="1"/>
    <s v="Driver"/>
    <x v="1"/>
    <s v="Female"/>
    <n v="1"/>
  </r>
  <r>
    <s v="2019S015708"/>
    <x v="12"/>
    <d v="1899-12-30T21:04:00"/>
    <n v="21"/>
    <s v="After 15"/>
    <s v="CALL. PRINCIPE CARLOS / CALL. MARIA TUDOR"/>
    <s v="HORTALEZA"/>
    <x v="0"/>
    <s v="Head-on collision"/>
    <x v="1"/>
    <s v="Driver"/>
    <x v="1"/>
    <s v="Male"/>
    <n v="2"/>
  </r>
  <r>
    <s v="2019S015708"/>
    <x v="12"/>
    <d v="1899-12-30T21:04:00"/>
    <n v="21"/>
    <s v="After 15"/>
    <s v="CALL. PRINCIPE CARLOS / CALL. MARIA TUDOR"/>
    <s v="HORTALEZA"/>
    <x v="0"/>
    <s v="Head-on collision"/>
    <x v="1"/>
    <s v="Passenger"/>
    <x v="1"/>
    <s v="Female"/>
    <n v="2"/>
  </r>
  <r>
    <s v="2019S018498"/>
    <x v="0"/>
    <d v="1899-12-30T10:55:00"/>
    <n v="10"/>
    <s v="Before 15"/>
    <s v="CALL. DOLORES BARRANCO / CALL. JUSTA GARCIA"/>
    <s v="USERA"/>
    <x v="0"/>
    <s v="Head-on collision"/>
    <x v="3"/>
    <s v="Driver"/>
    <x v="1"/>
    <s v="Male"/>
    <n v="7"/>
  </r>
  <r>
    <s v="2019S019405"/>
    <x v="13"/>
    <d v="1899-12-30T18:40:00"/>
    <n v="18"/>
    <s v="After 15"/>
    <s v="AVDA. LAS FUERZAS ARMADAS"/>
    <s v="HORTALEZA"/>
    <x v="0"/>
    <s v="Fall"/>
    <x v="1"/>
    <s v="Driver"/>
    <x v="1"/>
    <s v="Female"/>
    <n v="7"/>
  </r>
  <r>
    <s v="2019S021107"/>
    <x v="14"/>
    <d v="1899-12-30T17:45:00"/>
    <n v="17"/>
    <s v="After 15"/>
    <s v="AVDA. BADAJOZ / CALL. MADRE ANTONIA PARIS"/>
    <s v="CIUDAD LINEAL"/>
    <x v="2"/>
    <s v="Head-on collision"/>
    <x v="1"/>
    <s v="Driver"/>
    <x v="1"/>
    <s v="Male"/>
    <n v="14"/>
  </r>
  <r>
    <s v="2019S021497"/>
    <x v="15"/>
    <d v="1899-12-30T17:41:00"/>
    <n v="17"/>
    <s v="After 15"/>
    <s v="PASEO. PINTOR ROSALES / PASEO. MORET"/>
    <s v="MONCLOA-ARAVACA"/>
    <x v="0"/>
    <s v="Hitting a person"/>
    <x v="1"/>
    <s v="Pedestrian"/>
    <x v="1"/>
    <s v="Female"/>
    <n v="6"/>
  </r>
  <r>
    <s v="2019S021823"/>
    <x v="16"/>
    <d v="1899-12-30T21:08:00"/>
    <n v="21"/>
    <s v="After 15"/>
    <s v="CALL. RIBERA DE CURTIDORES / CALL. CARNERO"/>
    <s v="CENTRO"/>
    <x v="0"/>
    <s v="Fall"/>
    <x v="1"/>
    <s v="Driver"/>
    <x v="1"/>
    <s v="Male"/>
    <n v="2"/>
  </r>
  <r>
    <s v="2019S021823"/>
    <x v="16"/>
    <d v="1899-12-30T21:08:00"/>
    <n v="21"/>
    <s v="After 15"/>
    <s v="CALL. RIBERA DE CURTIDORES / CALL. CARNERO"/>
    <s v="CENTRO"/>
    <x v="0"/>
    <s v="Fall"/>
    <x v="1"/>
    <s v="Passenger"/>
    <x v="1"/>
    <s v="Male"/>
    <n v="2"/>
  </r>
  <r>
    <s v="2019S022833"/>
    <x v="17"/>
    <d v="1899-12-30T19:25:00"/>
    <n v="19"/>
    <s v="After 15"/>
    <s v="CALL. VIA"/>
    <s v="CARABANCHEL"/>
    <x v="0"/>
    <s v="Head-on collision"/>
    <x v="1"/>
    <s v="Driver"/>
    <x v="1"/>
    <s v="Male"/>
    <n v="7"/>
  </r>
  <r>
    <s v="2019S022870"/>
    <x v="18"/>
    <d v="1899-12-30T08:15:00"/>
    <n v="8"/>
    <s v="Before 15"/>
    <s v="CALL. MONASTERIO DE SAMOS"/>
    <s v="FUENCARRAL-EL PARDO"/>
    <x v="1"/>
    <s v="Head-on collision"/>
    <x v="1"/>
    <s v="Driver"/>
    <x v="1"/>
    <s v="Female"/>
    <n v="2"/>
  </r>
  <r>
    <s v="2019S023594"/>
    <x v="19"/>
    <d v="1899-12-30T19:55:00"/>
    <n v="19"/>
    <s v="After 15"/>
    <s v="CÑADA. REAL GALIANA"/>
    <s v="VILLA DE VALLECAS"/>
    <x v="0"/>
    <s v="Head-on collision"/>
    <x v="1"/>
    <s v="Driver"/>
    <x v="1"/>
    <s v="Male"/>
    <n v="1"/>
  </r>
  <r>
    <s v="2019S025253"/>
    <x v="20"/>
    <d v="1899-12-30T13:25:00"/>
    <n v="13"/>
    <s v="Before 15"/>
    <s v="MONASTERIO DE SILOS - GO FIT - FAROLA 268"/>
    <s v="FUENCARRAL-EL PARDO"/>
    <x v="1"/>
    <s v="Fall"/>
    <x v="1"/>
    <s v="Driver"/>
    <x v="1"/>
    <s v="Female"/>
    <n v="1"/>
  </r>
  <r>
    <s v="2019S026335"/>
    <x v="21"/>
    <d v="1899-12-30T15:35:00"/>
    <n v="15"/>
    <s v="After 15"/>
    <s v="CALL. GENERAL RICARDOS / CALL. NUESTRA SEÑORA DE LA LUZ"/>
    <s v="CARABANCHEL"/>
    <x v="0"/>
    <s v="Fall"/>
    <x v="1"/>
    <s v="Driver"/>
    <x v="1"/>
    <s v="Male"/>
    <n v="6"/>
  </r>
  <r>
    <s v="2019S028644"/>
    <x v="22"/>
    <d v="1899-12-30T21:02:00"/>
    <n v="21"/>
    <s v="After 15"/>
    <s v="AVDA. MANZANARES / CALL. SAN GRACIANO"/>
    <s v="USERA"/>
    <x v="0"/>
    <s v="Fall"/>
    <x v="1"/>
    <s v="Driver"/>
    <x v="1"/>
    <s v="Female"/>
    <n v="1"/>
  </r>
  <r>
    <s v="2019S029640"/>
    <x v="23"/>
    <d v="1899-12-30T20:20:00"/>
    <n v="20"/>
    <s v="After 15"/>
    <s v="CALL. RUTILO"/>
    <s v="USERA"/>
    <x v="0"/>
    <s v="Lateral collision"/>
    <x v="1"/>
    <s v="Driver"/>
    <x v="1"/>
    <s v="Male"/>
    <n v="14"/>
  </r>
  <r>
    <s v="2019S030414"/>
    <x v="24"/>
    <d v="1899-12-30T09:20:00"/>
    <n v="9"/>
    <s v="Before 15"/>
    <s v="CALL. SAN BENITO"/>
    <s v="TETUÁN"/>
    <x v="1"/>
    <s v="Reach"/>
    <x v="1"/>
    <s v="Driver"/>
    <x v="1"/>
    <s v="Male"/>
    <n v="7"/>
  </r>
  <r>
    <s v="2019S031507"/>
    <x v="25"/>
    <d v="1899-12-30T22:40:00"/>
    <n v="22"/>
    <s v="After 15"/>
    <s v="PASEO. CHOPERA"/>
    <s v="ARGANZUELA"/>
    <x v="0"/>
    <s v="Head-on collision"/>
    <x v="1"/>
    <s v="Driver"/>
    <x v="1"/>
    <s v="Male"/>
    <n v="7"/>
  </r>
  <r>
    <s v="2019S032575"/>
    <x v="26"/>
    <d v="1899-12-30T20:40:00"/>
    <n v="20"/>
    <s v="After 15"/>
    <s v="CALL. CAMINO DE LOS VINATEROS / CALL. CORREGIDOR SEÑOR DE LA ELIPA"/>
    <s v="MORATALAZ"/>
    <x v="2"/>
    <s v="Head-on collision"/>
    <x v="1"/>
    <s v="Driver"/>
    <x v="1"/>
    <s v="Male"/>
    <n v="7"/>
  </r>
  <r>
    <s v="2019S039844"/>
    <x v="27"/>
    <d v="1899-12-30T12:05:00"/>
    <n v="12"/>
    <s v="Before 15"/>
    <s v="CALL. PALAS DE REY"/>
    <s v="FUENCARRAL-EL PARDO"/>
    <x v="1"/>
    <s v="Lateral collision"/>
    <x v="1"/>
    <s v="Driver"/>
    <x v="1"/>
    <s v="Female"/>
    <n v="7"/>
  </r>
  <r>
    <s v="2019S000133"/>
    <x v="28"/>
    <d v="1899-12-30T14:30:00"/>
    <n v="14"/>
    <s v="Before 15"/>
    <s v="CALL. FELIPE ALVAREZ"/>
    <s v="VILLA DE VALLECAS"/>
    <x v="0"/>
    <s v="Reach"/>
    <x v="2"/>
    <s v="Driver"/>
    <x v="2"/>
    <s v="Male"/>
    <n v="7"/>
  </r>
  <r>
    <s v="2019S000045"/>
    <x v="28"/>
    <d v="1899-12-30T10:30:00"/>
    <n v="10"/>
    <s v="Before 15"/>
    <s v="CTRA. DEHESA DE LA VILLA"/>
    <s v="MONCLOA-ARAVACA"/>
    <x v="0"/>
    <s v="Fall"/>
    <x v="1"/>
    <s v="Driver"/>
    <x v="2"/>
    <s v="Male"/>
    <n v="2"/>
  </r>
  <r>
    <s v="2019S001678"/>
    <x v="29"/>
    <d v="1899-12-30T12:50:00"/>
    <n v="12"/>
    <s v="Before 15"/>
    <s v="CALL. GRAN VIA"/>
    <s v="CENTRO"/>
    <x v="0"/>
    <s v="Reach"/>
    <x v="1"/>
    <s v="Driver"/>
    <x v="2"/>
    <s v="Male"/>
    <s v=""/>
  </r>
  <r>
    <s v="2019S003364"/>
    <x v="30"/>
    <d v="1899-12-30T13:03:00"/>
    <n v="13"/>
    <s v="Before 15"/>
    <s v="AVDA. ENSANCHE DE VALLECAS"/>
    <s v="VILLA DE VALLECAS"/>
    <x v="0"/>
    <s v="Head-on collision"/>
    <x v="2"/>
    <s v="Driver"/>
    <x v="2"/>
    <s v="Female"/>
    <n v="7"/>
  </r>
  <r>
    <s v="2019S008448"/>
    <x v="31"/>
    <d v="1899-12-30T08:05:00"/>
    <n v="8"/>
    <s v="Before 15"/>
    <s v="AVDA. LLANO CASTELLANO / AVDA. CARDENAL HERRERA ORIA"/>
    <s v="FUENCARRAL-EL PARDO"/>
    <x v="1"/>
    <s v="Hitting a person"/>
    <x v="1"/>
    <s v="Pedestrian"/>
    <x v="2"/>
    <s v="Female"/>
    <n v="7"/>
  </r>
  <r>
    <s v="2019S012142"/>
    <x v="32"/>
    <d v="1899-12-30T07:45:00"/>
    <n v="7"/>
    <s v="Before 15"/>
    <s v="CALL. ATOCHA"/>
    <s v="CENTRO"/>
    <x v="0"/>
    <s v="Fall"/>
    <x v="1"/>
    <s v="Driver"/>
    <x v="2"/>
    <s v="Female"/>
    <n v="7"/>
  </r>
  <r>
    <s v="2019S014016"/>
    <x v="33"/>
    <d v="1899-12-30T12:30:00"/>
    <n v="12"/>
    <s v="Before 15"/>
    <s v="CALL. HACIENDA DE PAVONES / CALL. BRUJAS"/>
    <s v="MORATALAZ"/>
    <x v="2"/>
    <s v="Other"/>
    <x v="1"/>
    <s v="Driver"/>
    <x v="2"/>
    <s v="Male"/>
    <n v="7"/>
  </r>
  <r>
    <s v="2019S016088"/>
    <x v="34"/>
    <d v="1899-12-30T17:26:00"/>
    <n v="17"/>
    <s v="After 15"/>
    <s v="AVDA. INGENIERO EMILIO HERRERA"/>
    <s v="HORTALEZA"/>
    <x v="0"/>
    <s v="Head-on collision"/>
    <x v="1"/>
    <s v="Driver"/>
    <x v="2"/>
    <s v="Female"/>
    <n v="7"/>
  </r>
  <r>
    <s v="2019S016322"/>
    <x v="35"/>
    <d v="1899-12-30T10:05:00"/>
    <n v="10"/>
    <s v="Before 15"/>
    <s v="CALL. SUECIA / AVDA. CANILLEJAS A VICALVARO"/>
    <s v="SAN BLAS-CANILLEJAS"/>
    <x v="2"/>
    <s v="Fall"/>
    <x v="1"/>
    <s v="Driver"/>
    <x v="2"/>
    <s v="Male"/>
    <n v="7"/>
  </r>
  <r>
    <s v="2019S017198"/>
    <x v="36"/>
    <d v="1899-12-30T12:00:00"/>
    <n v="12"/>
    <s v="Before 15"/>
    <s v="CALL. PORTOMARIN"/>
    <s v="FUENCARRAL-EL PARDO"/>
    <x v="1"/>
    <s v="Fall"/>
    <x v="1"/>
    <s v="Driver"/>
    <x v="2"/>
    <s v="Male"/>
    <n v="5"/>
  </r>
  <r>
    <s v="2019S017718"/>
    <x v="37"/>
    <d v="1899-12-30T12:15:00"/>
    <n v="12"/>
    <s v="Before 15"/>
    <s v="PASEO. CASTELLANA"/>
    <s v="CHAMARTÍN"/>
    <x v="1"/>
    <s v="Fall"/>
    <x v="3"/>
    <s v="Driver"/>
    <x v="2"/>
    <s v="Male"/>
    <n v="7"/>
  </r>
  <r>
    <s v="2019S018345"/>
    <x v="0"/>
    <d v="1899-12-30T15:15:00"/>
    <n v="15"/>
    <s v="After 15"/>
    <s v="CALL. DOBLA / AVDA. POBLADOS"/>
    <s v="CARABANCHEL"/>
    <x v="0"/>
    <s v="Lateral collision"/>
    <x v="1"/>
    <s v="Driver"/>
    <x v="2"/>
    <s v="Male"/>
    <n v="7"/>
  </r>
  <r>
    <s v="2019S018656"/>
    <x v="38"/>
    <d v="1899-12-30T16:00:00"/>
    <n v="16"/>
    <s v="After 15"/>
    <s v="CALL. LUCHANA"/>
    <s v="CHAMBERÍ"/>
    <x v="1"/>
    <s v="Fall"/>
    <x v="1"/>
    <s v="Driver"/>
    <x v="2"/>
    <s v="Male"/>
    <n v="6"/>
  </r>
  <r>
    <s v="2019S020579"/>
    <x v="39"/>
    <d v="1899-12-30T15:10:00"/>
    <n v="15"/>
    <s v="After 15"/>
    <s v="CALL. ALCALA"/>
    <s v="CENTRO"/>
    <x v="0"/>
    <s v="Reach"/>
    <x v="1"/>
    <s v="Driver"/>
    <x v="2"/>
    <s v="Male"/>
    <n v="14"/>
  </r>
  <r>
    <s v="2019S020923"/>
    <x v="40"/>
    <d v="1899-12-30T20:30:00"/>
    <n v="20"/>
    <s v="After 15"/>
    <s v="CALL. MARQUES DE VIANA"/>
    <s v="TETUÁN"/>
    <x v="1"/>
    <s v="Lateral collision"/>
    <x v="1"/>
    <s v="Driver"/>
    <x v="2"/>
    <s v="Male"/>
    <n v="7"/>
  </r>
  <r>
    <s v="2019S020923"/>
    <x v="40"/>
    <d v="1899-12-30T20:30:00"/>
    <n v="20"/>
    <s v="After 15"/>
    <s v="CALL. MARQUES DE VIANA"/>
    <s v="TETUÁN"/>
    <x v="1"/>
    <s v="Lateral collision"/>
    <x v="1"/>
    <s v="Driver"/>
    <x v="2"/>
    <s v="Male"/>
    <n v="14"/>
  </r>
  <r>
    <s v="2019S022057"/>
    <x v="41"/>
    <d v="1899-12-30T15:40:00"/>
    <n v="15"/>
    <s v="After 15"/>
    <s v="CALL. LIVERPOOL / CALL. MARIA SEVILLA DIAGO"/>
    <s v="SAN BLAS-CANILLEJAS"/>
    <x v="2"/>
    <s v="Fall"/>
    <x v="1"/>
    <s v="Driver"/>
    <x v="2"/>
    <s v="Female"/>
    <n v="7"/>
  </r>
  <r>
    <s v="2019S022289"/>
    <x v="42"/>
    <d v="1899-12-30T16:47:00"/>
    <n v="16"/>
    <s v="After 15"/>
    <s v="AVDA. VIRGEN DEL CARMEN"/>
    <s v="HORTALEZA"/>
    <x v="0"/>
    <s v="Hitting a person"/>
    <x v="1"/>
    <s v="Driver"/>
    <x v="2"/>
    <s v="Male"/>
    <n v="14"/>
  </r>
  <r>
    <s v="2019S023001"/>
    <x v="18"/>
    <d v="1899-12-30T21:23:00"/>
    <n v="21"/>
    <s v="After 15"/>
    <s v="PASEO. ERMITA DEL SANTO"/>
    <s v="CARABANCHEL"/>
    <x v="0"/>
    <s v="Crash into fixed obstacle"/>
    <x v="1"/>
    <s v="Driver"/>
    <x v="2"/>
    <s v="Male"/>
    <n v="7"/>
  </r>
  <r>
    <s v="2019S023349"/>
    <x v="43"/>
    <d v="1899-12-30T21:55:00"/>
    <n v="21"/>
    <s v="After 15"/>
    <s v="CALL. SANTA MARIA LA REAL DE NIEVA"/>
    <s v="ARGANZUELA"/>
    <x v="0"/>
    <s v="Fall"/>
    <x v="1"/>
    <s v="Driver"/>
    <x v="2"/>
    <s v="Male"/>
    <n v="1"/>
  </r>
  <r>
    <s v="2019S023517"/>
    <x v="44"/>
    <d v="1899-12-30T20:08:00"/>
    <n v="20"/>
    <s v="After 15"/>
    <s v="CALL. DOCTOR RAMON CASTROVIEJO"/>
    <s v="FUENCARRAL-EL PARDO"/>
    <x v="1"/>
    <s v="Head-on collision"/>
    <x v="1"/>
    <s v="Driver"/>
    <x v="2"/>
    <s v="Male"/>
    <n v="2"/>
  </r>
  <r>
    <s v="2019S023993"/>
    <x v="45"/>
    <d v="1899-12-30T10:50:00"/>
    <n v="10"/>
    <s v="Before 15"/>
    <s v="AUTOV. M-607, +01500E"/>
    <s v="FUENCARRAL-EL PARDO"/>
    <x v="1"/>
    <s v="Lateral collision"/>
    <x v="1"/>
    <s v="Driver"/>
    <x v="2"/>
    <s v="Female"/>
    <n v="5"/>
  </r>
  <r>
    <s v="2019S023993"/>
    <x v="45"/>
    <d v="1899-12-30T10:50:00"/>
    <n v="10"/>
    <s v="Before 15"/>
    <s v="AUTOV. M-607, +01500E"/>
    <s v="FUENCARRAL-EL PARDO"/>
    <x v="1"/>
    <s v="Lateral collision"/>
    <x v="1"/>
    <s v="Driver"/>
    <x v="2"/>
    <s v="Female"/>
    <n v="7"/>
  </r>
  <r>
    <s v="2019S025566"/>
    <x v="46"/>
    <d v="1899-12-30T22:45:00"/>
    <n v="22"/>
    <s v="After 15"/>
    <s v="AVDA. POBLADOS / AVDA. ORCASUR"/>
    <s v="USERA"/>
    <x v="0"/>
    <s v="Head-on collision"/>
    <x v="1"/>
    <s v="Driver"/>
    <x v="2"/>
    <s v="Male"/>
    <n v="6"/>
  </r>
  <r>
    <s v="2019S026315"/>
    <x v="21"/>
    <d v="1899-12-30T12:45:00"/>
    <n v="12"/>
    <s v="Before 15"/>
    <s v="PASEO. FERNAN NUÑEZ"/>
    <s v="RETIRO"/>
    <x v="0"/>
    <s v="Hitting a person"/>
    <x v="1"/>
    <s v="Pedestrian"/>
    <x v="2"/>
    <s v="Female"/>
    <n v="7"/>
  </r>
  <r>
    <s v="2019S026739"/>
    <x v="47"/>
    <d v="1899-12-30T14:16:00"/>
    <n v="14"/>
    <s v="Before 15"/>
    <s v="CARABANCHEL BAJO FAROLA 10"/>
    <s v="CARABANCHEL"/>
    <x v="0"/>
    <s v="Crash into fixed obstacle"/>
    <x v="1"/>
    <s v="Driver"/>
    <x v="2"/>
    <s v="Male"/>
    <n v="7"/>
  </r>
  <r>
    <s v="2019S028044"/>
    <x v="48"/>
    <d v="1899-12-30T16:25:00"/>
    <n v="16"/>
    <s v="After 15"/>
    <s v="CALL. SANTA ESCOLASTICA, 1 (POSTERIOR APARCAMIENTO"/>
    <s v="VILLAVERDE"/>
    <x v="0"/>
    <s v="Fall"/>
    <x v="1"/>
    <s v="Driver"/>
    <x v="2"/>
    <s v="Male"/>
    <n v="6"/>
  </r>
  <r>
    <s v="2019S029460"/>
    <x v="49"/>
    <d v="1899-12-30T18:15:00"/>
    <n v="18"/>
    <s v="After 15"/>
    <s v="AVDA. NICETO ALCALA ZAMORA / AVDA. FRANCISCO PI Y MARGALL"/>
    <s v="HORTALEZA"/>
    <x v="0"/>
    <s v="Head-on collision"/>
    <x v="1"/>
    <s v="Driver"/>
    <x v="2"/>
    <s v="Male"/>
    <n v="7"/>
  </r>
  <r>
    <s v="2019S031587"/>
    <x v="50"/>
    <d v="1899-12-30T14:15:00"/>
    <n v="14"/>
    <s v="Before 15"/>
    <s v="AVDA. CERRO MILANO / CALL. ENTREPEÑAS"/>
    <s v="VILLA DE VALLECAS"/>
    <x v="0"/>
    <s v="Lateral collision"/>
    <x v="1"/>
    <s v="Driver"/>
    <x v="2"/>
    <s v="Male"/>
    <n v="7"/>
  </r>
  <r>
    <s v="2019S032399"/>
    <x v="51"/>
    <d v="1899-12-30T21:50:00"/>
    <n v="21"/>
    <s v="After 15"/>
    <s v="CALL. ALCALA"/>
    <s v="CENTRO"/>
    <x v="0"/>
    <s v="Fall"/>
    <x v="1"/>
    <s v="Driver"/>
    <x v="2"/>
    <s v="Male"/>
    <n v="2"/>
  </r>
  <r>
    <s v="2019S033482"/>
    <x v="52"/>
    <d v="1899-12-30T13:45:00"/>
    <n v="13"/>
    <s v="Before 15"/>
    <s v="CALL. ORENSE"/>
    <s v="TETUÁN"/>
    <x v="1"/>
    <s v="Reach"/>
    <x v="3"/>
    <s v="Driver"/>
    <x v="2"/>
    <s v="Male"/>
    <n v="14"/>
  </r>
  <r>
    <s v="2019S037177"/>
    <x v="53"/>
    <d v="1899-12-30T13:40:00"/>
    <n v="13"/>
    <s v="Before 15"/>
    <s v="PLAZA. MORERAS / PASEO. PIÑONERO"/>
    <s v="MONCLOA-ARAVACA"/>
    <x v="0"/>
    <s v="Fall"/>
    <x v="1"/>
    <s v="Driver"/>
    <x v="2"/>
    <s v="Male"/>
    <n v="7"/>
  </r>
  <r>
    <s v="2019S000132"/>
    <x v="28"/>
    <d v="1899-12-30T12:45:00"/>
    <n v="12"/>
    <s v="Before 15"/>
    <s v="AVDA. SANTA EUGENIA / CALL. REAL DE ARGANDA"/>
    <s v="VILLA DE VALLECAS"/>
    <x v="0"/>
    <s v="Reach"/>
    <x v="1"/>
    <s v="Driver"/>
    <x v="3"/>
    <s v="Male"/>
    <n v="7"/>
  </r>
  <r>
    <s v="2019S006584"/>
    <x v="30"/>
    <d v="1899-12-30T22:25:00"/>
    <n v="22"/>
    <s v="After 15"/>
    <s v="CALL. GENERAL RICARDOS / GTA. VALLE DE ORO"/>
    <s v="CARABANCHEL"/>
    <x v="0"/>
    <s v="Head-on collision"/>
    <x v="1"/>
    <s v="Driver"/>
    <x v="3"/>
    <s v="Male"/>
    <n v="7"/>
  </r>
  <r>
    <s v="2019S003662"/>
    <x v="54"/>
    <d v="1899-12-30T06:00:00"/>
    <n v="6"/>
    <s v="Before 15"/>
    <s v="CALL. DOCE DE OCTUBRE"/>
    <s v="RETIRO"/>
    <x v="0"/>
    <s v="Crash into fixed obstacle"/>
    <x v="1"/>
    <s v="Driver"/>
    <x v="3"/>
    <s v="Male"/>
    <n v="2"/>
  </r>
  <r>
    <s v="2019S014478"/>
    <x v="55"/>
    <d v="1899-12-30T19:45:00"/>
    <n v="19"/>
    <s v="After 15"/>
    <s v="CALL. MELILOTO / CALL. NOPALERA"/>
    <s v="LATINA"/>
    <x v="0"/>
    <s v="Head-on collision"/>
    <x v="1"/>
    <s v="Driver"/>
    <x v="3"/>
    <s v="Female"/>
    <n v="7"/>
  </r>
  <r>
    <s v="2019S013888"/>
    <x v="56"/>
    <d v="1899-12-30T07:30:00"/>
    <n v="7"/>
    <s v="Before 15"/>
    <s v="PASEO. CASTELLANA"/>
    <s v="CHAMARTÍN"/>
    <x v="1"/>
    <s v="Fall"/>
    <x v="1"/>
    <s v="Driver"/>
    <x v="3"/>
    <s v="Male"/>
    <n v="7"/>
  </r>
  <r>
    <s v="2019S014004"/>
    <x v="33"/>
    <d v="1899-12-30T20:45:00"/>
    <n v="20"/>
    <s v="After 15"/>
    <s v="PASEO. PRADO"/>
    <s v="CENTRO"/>
    <x v="0"/>
    <s v="Head-on collision"/>
    <x v="1"/>
    <s v="Driver"/>
    <x v="3"/>
    <s v="Male"/>
    <n v="6"/>
  </r>
  <r>
    <s v="2019S014256"/>
    <x v="57"/>
    <d v="1899-12-30T16:05:00"/>
    <n v="16"/>
    <s v="After 15"/>
    <s v="CALL. ARROYO DE LA MEDIA LEGUA / CALL. CORREGIDOR DIEGO CABEZA DE VACA"/>
    <s v="MORATALAZ"/>
    <x v="2"/>
    <s v="Head-on collision"/>
    <x v="1"/>
    <s v="Driver"/>
    <x v="3"/>
    <s v="Female"/>
    <n v="7"/>
  </r>
  <r>
    <s v="2019S016203"/>
    <x v="58"/>
    <d v="1899-12-30T19:45:00"/>
    <n v="19"/>
    <s v="After 15"/>
    <s v="AVDA. CIUDAD DE BARCELONA / CALL. SECO"/>
    <s v="RETIRO"/>
    <x v="0"/>
    <s v="Fall"/>
    <x v="1"/>
    <s v="Driver"/>
    <x v="3"/>
    <s v="Male"/>
    <n v="2"/>
  </r>
  <r>
    <s v="2019S018235"/>
    <x v="59"/>
    <d v="1899-12-30T09:48:00"/>
    <n v="9"/>
    <s v="Before 15"/>
    <s v="CALL. HORTALEZA"/>
    <s v="CENTRO"/>
    <x v="0"/>
    <s v="Crash into fixed obstacle"/>
    <x v="1"/>
    <s v="Driver"/>
    <x v="3"/>
    <s v="Male"/>
    <n v="7"/>
  </r>
  <r>
    <s v="2019S019254"/>
    <x v="60"/>
    <d v="1899-12-30T21:00:00"/>
    <n v="21"/>
    <s v="After 15"/>
    <s v="CALL. GILENA"/>
    <s v="VILLAVERDE"/>
    <x v="0"/>
    <s v="Fall"/>
    <x v="3"/>
    <s v="Driver"/>
    <x v="3"/>
    <s v="Male"/>
    <n v="1"/>
  </r>
  <r>
    <s v="2019S020422"/>
    <x v="61"/>
    <d v="1899-12-30T21:00:00"/>
    <n v="21"/>
    <s v="After 15"/>
    <s v="PASEO. ESPERANZA"/>
    <s v="ARGANZUELA"/>
    <x v="0"/>
    <s v="Fall"/>
    <x v="1"/>
    <s v="Driver"/>
    <x v="3"/>
    <s v="Male"/>
    <n v="1"/>
  </r>
  <r>
    <s v="2019S020733"/>
    <x v="1"/>
    <d v="1899-12-30T16:35:00"/>
    <n v="16"/>
    <s v="After 15"/>
    <s v="CALL. JUAN IGNACIO LUCA DE TENA"/>
    <s v="SAN BLAS-CANILLEJAS"/>
    <x v="2"/>
    <s v="Head-on collision"/>
    <x v="1"/>
    <s v="Driver"/>
    <x v="3"/>
    <s v="Male"/>
    <n v="2"/>
  </r>
  <r>
    <s v="2019S021787"/>
    <x v="62"/>
    <d v="1899-12-30T11:05:00"/>
    <n v="11"/>
    <s v="Before 15"/>
    <s v="PASEO. MARCELINO CAMACHO / CALL. ANTOLINA MERINO"/>
    <s v="CARABANCHEL"/>
    <x v="0"/>
    <s v="Fall"/>
    <x v="1"/>
    <s v="Driver"/>
    <x v="3"/>
    <s v="Female"/>
    <n v="1"/>
  </r>
  <r>
    <s v="2019S022707"/>
    <x v="63"/>
    <d v="1899-12-30T23:00:00"/>
    <n v="23"/>
    <s v="After 15"/>
    <s v="AVDA. ASTURIAS"/>
    <s v="TETUÁN"/>
    <x v="1"/>
    <s v="Fall"/>
    <x v="1"/>
    <s v="Driver"/>
    <x v="3"/>
    <s v="Male"/>
    <n v="6"/>
  </r>
  <r>
    <s v="2019S022622"/>
    <x v="63"/>
    <d v="1899-12-30T02:55:00"/>
    <n v="2"/>
    <s v="Before 15"/>
    <s v="AVDA. ASTURIAS / CALL. VIA LIMITE"/>
    <s v="TETUÁN"/>
    <x v="1"/>
    <s v="Head-on collision"/>
    <x v="1"/>
    <s v="Driver"/>
    <x v="3"/>
    <s v="Male"/>
    <s v=""/>
  </r>
  <r>
    <s v="2019S023497"/>
    <x v="64"/>
    <d v="1899-12-30T20:05:00"/>
    <n v="20"/>
    <s v="After 15"/>
    <s v="CALL. JAVIER DE MIGUEL"/>
    <s v="PUENTE DE VALLECAS"/>
    <x v="0"/>
    <s v="Fall"/>
    <x v="1"/>
    <s v="Driver"/>
    <x v="3"/>
    <s v="Male"/>
    <n v="3"/>
  </r>
  <r>
    <s v="2019S023601"/>
    <x v="19"/>
    <d v="1899-12-30T19:38:00"/>
    <n v="19"/>
    <s v="After 15"/>
    <s v="CALL. GENERAL LACY / CALL. ANCORA"/>
    <s v="ARGANZUELA"/>
    <x v="0"/>
    <s v="Head-on collision"/>
    <x v="1"/>
    <s v="Driver"/>
    <x v="3"/>
    <s v="Male"/>
    <n v="1"/>
  </r>
  <r>
    <s v="2019S024149"/>
    <x v="2"/>
    <d v="1899-12-30T20:38:00"/>
    <n v="20"/>
    <s v="After 15"/>
    <s v="AVDA. MONASTERIO DE SILOS"/>
    <s v="FUENCARRAL-EL PARDO"/>
    <x v="1"/>
    <s v="Fall"/>
    <x v="1"/>
    <s v="Driver"/>
    <x v="3"/>
    <s v="Male"/>
    <n v="2"/>
  </r>
  <r>
    <s v="2019S023734"/>
    <x v="2"/>
    <d v="1899-12-30T20:35:00"/>
    <n v="20"/>
    <s v="After 15"/>
    <s v="GTA. SANTUARIO DE TISCAR"/>
    <s v="FUENCARRAL-EL PARDO"/>
    <x v="1"/>
    <s v="Crash into fixed obstacle"/>
    <x v="1"/>
    <s v="Driver"/>
    <x v="3"/>
    <s v="Male"/>
    <n v="2"/>
  </r>
  <r>
    <s v="2019S023783"/>
    <x v="45"/>
    <d v="1899-12-30T00:15:00"/>
    <n v="0"/>
    <s v="Before 15"/>
    <s v="GTA. RUIZ JIMENEZ / CALL. SAN BERNARDO"/>
    <s v="CENTRO"/>
    <x v="0"/>
    <s v="Lateral collision"/>
    <x v="1"/>
    <s v="Driver"/>
    <x v="3"/>
    <s v="Male"/>
    <n v="1"/>
  </r>
  <r>
    <s v="2019S025170"/>
    <x v="65"/>
    <d v="1899-12-30T16:45:00"/>
    <n v="16"/>
    <s v="After 15"/>
    <s v="CALL. GENERAL RICARDOS"/>
    <s v="CARABANCHEL"/>
    <x v="0"/>
    <s v="Hitting a person"/>
    <x v="1"/>
    <s v="Driver"/>
    <x v="3"/>
    <s v="Male"/>
    <n v="14"/>
  </r>
  <r>
    <s v="2019S025348"/>
    <x v="66"/>
    <d v="1899-12-30T09:20:00"/>
    <n v="9"/>
    <s v="Before 15"/>
    <s v="CTRA. RODAJOS"/>
    <s v="MONCLOA-ARAVACA"/>
    <x v="0"/>
    <s v="Hitting a person"/>
    <x v="1"/>
    <s v="Pedestrian"/>
    <x v="3"/>
    <s v="Male"/>
    <n v="14"/>
  </r>
  <r>
    <s v="2019S025555"/>
    <x v="46"/>
    <d v="1899-12-30T20:45:00"/>
    <n v="20"/>
    <s v="After 15"/>
    <s v="CALL. CLAUDIO COELLO"/>
    <s v="SALAMANCA"/>
    <x v="0"/>
    <s v="Head-on collision"/>
    <x v="1"/>
    <s v="Driver"/>
    <x v="3"/>
    <s v="Male"/>
    <n v="6"/>
  </r>
  <r>
    <s v="2019S025769"/>
    <x v="67"/>
    <d v="1899-12-30T19:30:00"/>
    <n v="19"/>
    <s v="After 15"/>
    <s v="CALL. CERRO DE LA PLATA"/>
    <s v="RETIRO"/>
    <x v="0"/>
    <s v="Crash into fixed obstacle"/>
    <x v="1"/>
    <s v="Driver"/>
    <x v="3"/>
    <s v="Male"/>
    <n v="2"/>
  </r>
  <r>
    <s v="2019S026237"/>
    <x v="68"/>
    <d v="1899-12-30T13:45:00"/>
    <n v="13"/>
    <s v="Before 15"/>
    <s v="CALL. RESINA"/>
    <s v="VILLAVERDE"/>
    <x v="0"/>
    <s v="Head-on collision"/>
    <x v="1"/>
    <s v="Driver"/>
    <x v="3"/>
    <s v="Male"/>
    <n v="5"/>
  </r>
  <r>
    <s v="2019S027182"/>
    <x v="69"/>
    <d v="1899-12-30T21:45:00"/>
    <n v="21"/>
    <s v="After 15"/>
    <s v="CALL. AZUCENAS"/>
    <s v="TETUÁN"/>
    <x v="1"/>
    <s v="Head-on collision"/>
    <x v="1"/>
    <s v="Driver"/>
    <x v="3"/>
    <s v="Male"/>
    <n v="2"/>
  </r>
  <r>
    <s v="2019S027855"/>
    <x v="70"/>
    <d v="1899-12-30T20:15:00"/>
    <n v="20"/>
    <s v="After 15"/>
    <s v="AVDA. AVIACION / CTRA. BARRIO DE LA FORTUNA"/>
    <s v="LATINA"/>
    <x v="0"/>
    <s v="Head-on collision"/>
    <x v="1"/>
    <s v="Driver"/>
    <x v="3"/>
    <s v="Male"/>
    <n v="2"/>
  </r>
  <r>
    <s v="2019S027955"/>
    <x v="71"/>
    <d v="1899-12-30T03:30:00"/>
    <n v="3"/>
    <s v="Before 15"/>
    <s v="CALL. MARAVEDI"/>
    <s v="CARABANCHEL"/>
    <x v="0"/>
    <s v="Fall"/>
    <x v="1"/>
    <s v="Driver"/>
    <x v="3"/>
    <s v="Male"/>
    <n v="1"/>
  </r>
  <r>
    <s v="2019S028861"/>
    <x v="72"/>
    <d v="1899-12-30T13:30:00"/>
    <n v="13"/>
    <s v="Before 15"/>
    <s v="AVDA. POBLADOS / AUTOV. A-42"/>
    <s v="CARABANCHEL"/>
    <x v="0"/>
    <s v="Head-on collision"/>
    <x v="1"/>
    <s v="Driver"/>
    <x v="3"/>
    <s v="Male"/>
    <n v="2"/>
  </r>
  <r>
    <s v="2019S029285"/>
    <x v="73"/>
    <d v="1899-12-30T21:50:00"/>
    <n v="21"/>
    <s v="After 15"/>
    <s v="CALL. RAMON GOMEZ DE LA SERNA"/>
    <s v="FUENCARRAL-EL PARDO"/>
    <x v="1"/>
    <s v="Head-on collision"/>
    <x v="1"/>
    <s v="Driver"/>
    <x v="3"/>
    <s v="Male"/>
    <n v="7"/>
  </r>
  <r>
    <s v="2019S029644"/>
    <x v="6"/>
    <d v="1899-12-30T21:15:00"/>
    <n v="21"/>
    <s v="After 15"/>
    <s v="CALL. ARROYO DE LA MEDIA LEGUA / CALL. ALCALDE GARRIDO JUARISTI"/>
    <s v="MORATALAZ"/>
    <x v="2"/>
    <s v="Hitting a person"/>
    <x v="1"/>
    <s v="Pedestrian"/>
    <x v="3"/>
    <s v="Male"/>
    <n v="14"/>
  </r>
  <r>
    <s v="2019S029946"/>
    <x v="74"/>
    <d v="1899-12-30T18:35:00"/>
    <n v="18"/>
    <s v="After 15"/>
    <s v="PLAZA DE ORIENTE"/>
    <s v="CENTRO"/>
    <x v="0"/>
    <s v="Hitting a person"/>
    <x v="1"/>
    <s v="Driver"/>
    <x v="3"/>
    <s v="Female"/>
    <n v="14"/>
  </r>
  <r>
    <s v="2019S030106"/>
    <x v="74"/>
    <d v="1899-12-30T13:20:00"/>
    <n v="13"/>
    <s v="Before 15"/>
    <s v="IDB. PARQUE LINEAL DEL MANZANARES"/>
    <s v="PUENTE DE VALLECAS"/>
    <x v="0"/>
    <s v="Other"/>
    <x v="1"/>
    <s v="Driver"/>
    <x v="3"/>
    <s v="Male"/>
    <n v="6"/>
  </r>
  <r>
    <s v="2019S031101"/>
    <x v="75"/>
    <d v="1899-12-30T21:39:00"/>
    <n v="21"/>
    <s v="After 15"/>
    <s v="CALL. PRINCESA / CALL. MARQUES DE URQUIJO"/>
    <s v="MONCLOA-ARAVACA"/>
    <x v="0"/>
    <s v="Fall"/>
    <x v="1"/>
    <s v="Pedestrian"/>
    <x v="3"/>
    <s v="Female"/>
    <n v="14"/>
  </r>
  <r>
    <s v="2019S031944"/>
    <x v="76"/>
    <d v="1899-12-30T19:23:00"/>
    <n v="19"/>
    <s v="After 15"/>
    <s v="CALL. ARMADA ESPAÑOLA / PASEO. CASTELLANA"/>
    <s v="SALAMANCA"/>
    <x v="0"/>
    <s v="Lateral collision"/>
    <x v="1"/>
    <s v="Driver"/>
    <x v="3"/>
    <s v="Male"/>
    <n v="14"/>
  </r>
  <r>
    <s v="2019S031790"/>
    <x v="76"/>
    <d v="1899-12-30T14:45:00"/>
    <n v="14"/>
    <s v="Before 15"/>
    <s v="CALL. CARNICER"/>
    <s v="TETUÁN"/>
    <x v="1"/>
    <s v="Hitting a person"/>
    <x v="1"/>
    <s v="Driver"/>
    <x v="3"/>
    <s v="Male"/>
    <n v="6"/>
  </r>
  <r>
    <s v="2019S032025"/>
    <x v="77"/>
    <d v="1899-12-30T21:10:00"/>
    <n v="21"/>
    <s v="After 15"/>
    <s v="PLAZA. PUERTA DEL SOL / CALL. CARRETAS"/>
    <s v="CENTRO"/>
    <x v="0"/>
    <s v="Fall"/>
    <x v="1"/>
    <s v="Driver"/>
    <x v="3"/>
    <s v="Male"/>
    <s v=""/>
  </r>
  <r>
    <s v="2019S033057"/>
    <x v="78"/>
    <d v="1899-12-30T16:40:00"/>
    <n v="16"/>
    <s v="After 15"/>
    <s v="CALL. CYESA"/>
    <s v="CIUDAD LINEAL"/>
    <x v="2"/>
    <s v="Fall"/>
    <x v="1"/>
    <s v="Driver"/>
    <x v="3"/>
    <s v="Male"/>
    <n v="7"/>
  </r>
  <r>
    <s v="2019S033232"/>
    <x v="79"/>
    <d v="1899-12-30T22:45:00"/>
    <n v="22"/>
    <s v="After 15"/>
    <s v="CALL. GRAN VIA"/>
    <s v="CENTRO"/>
    <x v="0"/>
    <s v="Reach"/>
    <x v="1"/>
    <s v="Driver"/>
    <x v="3"/>
    <s v="Female"/>
    <n v="14"/>
  </r>
  <r>
    <s v="2019S033483"/>
    <x v="52"/>
    <d v="1899-12-30T14:12:00"/>
    <n v="14"/>
    <s v="Before 15"/>
    <s v="TRVA. SAN MATEO / CALL. HORTALEZA"/>
    <e v="#N/A"/>
    <x v="0"/>
    <s v="Head-on collision"/>
    <x v="0"/>
    <s v="Driver"/>
    <x v="3"/>
    <s v="Male"/>
    <n v="7"/>
  </r>
  <r>
    <s v="2019S033563"/>
    <x v="80"/>
    <d v="1899-12-30T15:25:00"/>
    <n v="15"/>
    <s v="After 15"/>
    <s v="CALL. O'DONNELL / AVDA. MENENDEZ PELAYO"/>
    <s v="RETIRO"/>
    <x v="0"/>
    <s v="Hitting a person"/>
    <x v="1"/>
    <s v="Driver"/>
    <x v="3"/>
    <s v="Female"/>
    <n v="14"/>
  </r>
  <r>
    <s v="2019S033730"/>
    <x v="7"/>
    <d v="1899-12-30T11:10:00"/>
    <n v="11"/>
    <s v="Before 15"/>
    <s v="CALL. FERNANDEZ DE LA HOZ / CALL. GENERAL ARRANDO"/>
    <s v="CHAMBERÍ"/>
    <x v="1"/>
    <s v="Fall"/>
    <x v="3"/>
    <s v="Driver"/>
    <x v="3"/>
    <s v="Male"/>
    <n v="14"/>
  </r>
  <r>
    <s v="2019S034665"/>
    <x v="81"/>
    <d v="1899-12-30T11:45:00"/>
    <n v="11"/>
    <s v="Before 15"/>
    <s v="COLPB. MONTE DE EL PARDO"/>
    <s v="FUENCARRAL-EL PARDO"/>
    <x v="1"/>
    <s v="Fall"/>
    <x v="1"/>
    <s v="Driver"/>
    <x v="3"/>
    <s v="Male"/>
    <n v="6"/>
  </r>
  <r>
    <s v="2019S035751"/>
    <x v="82"/>
    <d v="1899-12-30T14:10:00"/>
    <n v="14"/>
    <s v="Before 15"/>
    <s v="PLAZA. CONDE DE CASAL / AVDA. MEDITERRANEO"/>
    <s v="RETIRO"/>
    <x v="0"/>
    <s v="Lateral collision"/>
    <x v="1"/>
    <s v="Driver"/>
    <x v="3"/>
    <s v="Female"/>
    <n v="6"/>
  </r>
  <r>
    <s v="2019S037819"/>
    <x v="83"/>
    <d v="1899-12-30T02:20:00"/>
    <n v="2"/>
    <s v="Before 15"/>
    <s v="PLAZA. CONDE DE CASAL / AVDA. MEDITERRANEO"/>
    <s v="RETIRO"/>
    <x v="0"/>
    <s v="Fall"/>
    <x v="1"/>
    <s v="Driver"/>
    <x v="3"/>
    <s v="Female"/>
    <n v="7"/>
  </r>
  <r>
    <s v="2019S039749"/>
    <x v="84"/>
    <d v="1899-12-30T03:50:00"/>
    <n v="3"/>
    <s v="Before 15"/>
    <s v="CALL. GRAN VIA / CALL. DOCTOR CARRACIDO"/>
    <s v="CENTRO"/>
    <x v="0"/>
    <s v="Reach"/>
    <x v="1"/>
    <s v="Driver"/>
    <x v="3"/>
    <s v="Male"/>
    <s v=""/>
  </r>
  <r>
    <s v="2019S000132"/>
    <x v="28"/>
    <d v="1899-12-30T12:45:00"/>
    <n v="12"/>
    <s v="Before 15"/>
    <s v="AVDA. SANTA EUGENIA / CALL. REAL DE ARGANDA"/>
    <s v="VILLA DE VALLECAS"/>
    <x v="0"/>
    <s v="Reach"/>
    <x v="1"/>
    <s v="Driver"/>
    <x v="4"/>
    <s v="Male"/>
    <n v="14"/>
  </r>
  <r>
    <s v="2019S004601"/>
    <x v="54"/>
    <d v="1899-12-30T19:50:00"/>
    <n v="19"/>
    <s v="After 15"/>
    <s v="CALL. ARENAL / CALL. DONADOS"/>
    <s v="CENTRO"/>
    <x v="0"/>
    <s v="Lateral collision"/>
    <x v="1"/>
    <s v="Driver"/>
    <x v="4"/>
    <s v="Male"/>
    <n v="7"/>
  </r>
  <r>
    <s v="2019S010907"/>
    <x v="85"/>
    <d v="1899-12-30T04:00:00"/>
    <n v="4"/>
    <s v="Before 15"/>
    <s v="CALL. GRAN VIA"/>
    <s v="CENTRO"/>
    <x v="0"/>
    <s v="Head-on collision"/>
    <x v="2"/>
    <s v="Driver"/>
    <x v="4"/>
    <s v="Male"/>
    <n v="5"/>
  </r>
  <r>
    <s v="2019S008460"/>
    <x v="86"/>
    <d v="1899-12-30T01:40:00"/>
    <n v="1"/>
    <s v="Before 15"/>
    <s v="CALL. SANTA ENGRACIA / CALL. RIOS ROSAS"/>
    <s v="CHAMBERÍ"/>
    <x v="1"/>
    <s v="Head-on collision"/>
    <x v="3"/>
    <s v="Driver"/>
    <x v="4"/>
    <s v="Male"/>
    <n v="7"/>
  </r>
  <r>
    <s v="2019S009733"/>
    <x v="87"/>
    <d v="1899-12-30T16:05:00"/>
    <n v="16"/>
    <s v="After 15"/>
    <s v="PASEO. REINA CRISTINA / CALL. ANDRES TORREJON"/>
    <s v="RETIRO"/>
    <x v="0"/>
    <s v="Head-on collision"/>
    <x v="4"/>
    <s v="Driver"/>
    <x v="4"/>
    <s v="Male"/>
    <s v=""/>
  </r>
  <r>
    <s v="2019S009715"/>
    <x v="87"/>
    <d v="1899-12-30T13:45:00"/>
    <n v="13"/>
    <s v="Before 15"/>
    <s v="CALL. PRINCIPE DE VERGARA"/>
    <s v="CHAMARTÍN"/>
    <x v="1"/>
    <s v="Lateral collision"/>
    <x v="1"/>
    <s v="Driver"/>
    <x v="4"/>
    <s v="Male"/>
    <n v="7"/>
  </r>
  <r>
    <s v="2019S010852"/>
    <x v="88"/>
    <d v="1899-12-30T17:30:00"/>
    <n v="17"/>
    <s v="After 15"/>
    <s v="CALL. SILVANO / CALL. FRANCISCO MOSQUEDA"/>
    <s v="HORTALEZA"/>
    <x v="0"/>
    <s v="Hitting a person"/>
    <x v="1"/>
    <s v="Pedestrian"/>
    <x v="4"/>
    <s v="Female"/>
    <n v="7"/>
  </r>
  <r>
    <s v="2019S010653"/>
    <x v="89"/>
    <d v="1899-12-30T14:20:00"/>
    <n v="14"/>
    <s v="Before 15"/>
    <s v="PASEO. INFANTA ISABEL"/>
    <s v="RETIRO"/>
    <x v="0"/>
    <s v="Lateral collision"/>
    <x v="1"/>
    <s v="Driver"/>
    <x v="4"/>
    <s v="Male"/>
    <n v="7"/>
  </r>
  <r>
    <s v="2019S013090"/>
    <x v="90"/>
    <d v="1899-12-30T21:15:00"/>
    <n v="21"/>
    <s v="After 15"/>
    <s v="PLAZA. ESPAÑA"/>
    <s v="MONCLOA-ARAVACA"/>
    <x v="0"/>
    <s v="Reach"/>
    <x v="1"/>
    <s v="Driver"/>
    <x v="4"/>
    <s v="Male"/>
    <n v="6"/>
  </r>
  <r>
    <s v="2019S014242"/>
    <x v="91"/>
    <d v="1899-12-30T20:55:00"/>
    <n v="20"/>
    <s v="After 15"/>
    <s v="CALL. PRINCESA / CALL. HILARION ESLAVA"/>
    <s v="CHAMBERÍ"/>
    <x v="1"/>
    <s v="Head-on collision"/>
    <x v="1"/>
    <s v="Driver"/>
    <x v="4"/>
    <s v="Female"/>
    <n v="7"/>
  </r>
  <r>
    <s v="2019S014263"/>
    <x v="57"/>
    <d v="1899-12-30T15:45:00"/>
    <n v="15"/>
    <s v="After 15"/>
    <s v="CALL. ALFONSO XII / CALL. MONTALBAN"/>
    <s v="RETIRO"/>
    <x v="0"/>
    <s v="Lateral collision"/>
    <x v="1"/>
    <s v="Driver"/>
    <x v="4"/>
    <s v="Male"/>
    <n v="7"/>
  </r>
  <r>
    <s v="2019S014722"/>
    <x v="12"/>
    <d v="1899-12-30T19:25:00"/>
    <n v="19"/>
    <s v="After 15"/>
    <s v="AVDA. PARTENON"/>
    <s v="BARAJAS"/>
    <x v="2"/>
    <s v="Head-on collision"/>
    <x v="1"/>
    <s v="Driver"/>
    <x v="4"/>
    <s v="Male"/>
    <n v="7"/>
  </r>
  <r>
    <s v="2019S016583"/>
    <x v="92"/>
    <d v="1899-12-30T19:45:00"/>
    <n v="19"/>
    <s v="After 15"/>
    <s v="CALL. LOPEZ GRASS / AVDA. ALBUFERA"/>
    <s v="PUENTE DE VALLECAS"/>
    <x v="0"/>
    <s v="Head-on collision"/>
    <x v="1"/>
    <s v="Driver"/>
    <x v="4"/>
    <s v="Male"/>
    <n v="6"/>
  </r>
  <r>
    <s v="2019S016157"/>
    <x v="58"/>
    <d v="1899-12-30T22:00:00"/>
    <n v="22"/>
    <s v="After 15"/>
    <s v="CALL. BRAVO MURILLO"/>
    <s v="TETUÁN"/>
    <x v="1"/>
    <s v="Lateral collision"/>
    <x v="1"/>
    <s v="Driver"/>
    <x v="4"/>
    <s v="Male"/>
    <n v="2"/>
  </r>
  <r>
    <s v="2019S017942"/>
    <x v="36"/>
    <d v="1899-12-30T22:45:00"/>
    <n v="22"/>
    <s v="After 15"/>
    <s v="CALL. HORTALEZA"/>
    <s v="CENTRO"/>
    <x v="0"/>
    <s v="Hitting a person"/>
    <x v="1"/>
    <s v="Driver"/>
    <x v="4"/>
    <s v="Male"/>
    <n v="2"/>
  </r>
  <r>
    <s v="2019S017764"/>
    <x v="93"/>
    <d v="1899-12-30T15:23:00"/>
    <n v="15"/>
    <s v="After 15"/>
    <s v="CALL. ALCALA"/>
    <s v="CENTRO"/>
    <x v="0"/>
    <s v="Reach"/>
    <x v="1"/>
    <s v="Driver"/>
    <x v="4"/>
    <s v="Male"/>
    <n v="7"/>
  </r>
  <r>
    <s v="2019S017873"/>
    <x v="94"/>
    <d v="1899-12-30T13:50:00"/>
    <n v="13"/>
    <s v="Before 15"/>
    <s v="AUTOV. M-607, +01500S"/>
    <s v="FUENCARRAL-EL PARDO"/>
    <x v="1"/>
    <s v="Head-on collision"/>
    <x v="0"/>
    <s v="Driver"/>
    <x v="4"/>
    <s v="Male"/>
    <n v="6"/>
  </r>
  <r>
    <s v="2019S019779"/>
    <x v="95"/>
    <d v="1899-12-30T20:15:00"/>
    <n v="20"/>
    <s v="After 15"/>
    <s v="CALL. GRAN VIA / CALL. SAN BERNARDO"/>
    <s v="CENTRO"/>
    <x v="0"/>
    <s v="Head-on collision"/>
    <x v="1"/>
    <s v="Driver"/>
    <x v="4"/>
    <s v="Male"/>
    <n v="7"/>
  </r>
  <r>
    <s v="2019S020351"/>
    <x v="96"/>
    <d v="1899-12-30T21:15:00"/>
    <n v="21"/>
    <s v="After 15"/>
    <s v="CALL. CEA BERMUDEZ / CALL. BRAVO MURILLO"/>
    <s v="CHAMBERÍ"/>
    <x v="1"/>
    <s v="Reach"/>
    <x v="1"/>
    <s v="Driver"/>
    <x v="4"/>
    <s v="Female"/>
    <n v="6"/>
  </r>
  <r>
    <s v="2019S021149"/>
    <x v="97"/>
    <d v="1899-12-30T14:30:00"/>
    <n v="14"/>
    <s v="Before 15"/>
    <s v="CALL. ALCALA / CALL. RAQUEL MELLER"/>
    <s v="CIUDAD LINEAL"/>
    <x v="2"/>
    <s v="Lateral collision"/>
    <x v="1"/>
    <s v="Driver"/>
    <x v="4"/>
    <s v="Male"/>
    <n v="7"/>
  </r>
  <r>
    <s v="2019S021207"/>
    <x v="97"/>
    <d v="1899-12-30T14:05:00"/>
    <n v="14"/>
    <s v="Before 15"/>
    <s v="CALL. PUERTO SERRANO / CALL. PUERTO DE LA CRUZ VERDE"/>
    <s v="ARGANZUELA"/>
    <x v="0"/>
    <s v="Head-on collision"/>
    <x v="1"/>
    <s v="Driver"/>
    <x v="4"/>
    <s v="Male"/>
    <n v="14"/>
  </r>
  <r>
    <s v="2019S021258"/>
    <x v="98"/>
    <d v="1899-12-30T19:40:00"/>
    <n v="19"/>
    <s v="After 15"/>
    <s v="CALL. BARCELO"/>
    <s v="CENTRO"/>
    <x v="0"/>
    <s v="Fall"/>
    <x v="1"/>
    <s v="Driver"/>
    <x v="4"/>
    <s v="Male"/>
    <n v="5"/>
  </r>
  <r>
    <s v="2019S021377"/>
    <x v="99"/>
    <d v="1899-12-30T22:52:00"/>
    <n v="22"/>
    <s v="After 15"/>
    <s v="CALL. JOSE ABASCAL"/>
    <s v="CHAMBERÍ"/>
    <x v="1"/>
    <s v="Reach"/>
    <x v="1"/>
    <s v="Driver"/>
    <x v="4"/>
    <s v="Female"/>
    <s v=""/>
  </r>
  <r>
    <s v="2019S022216"/>
    <x v="100"/>
    <d v="1899-12-30T20:31:00"/>
    <n v="20"/>
    <s v="After 15"/>
    <s v="CALL. MAYOR"/>
    <s v="CENTRO"/>
    <x v="0"/>
    <s v="Hitting a person"/>
    <x v="1"/>
    <s v="Driver"/>
    <x v="4"/>
    <s v="Male"/>
    <n v="14"/>
  </r>
  <r>
    <s v="2019S022216"/>
    <x v="100"/>
    <d v="1899-12-30T20:31:00"/>
    <n v="20"/>
    <s v="After 15"/>
    <s v="CALL. MAYOR"/>
    <s v="CENTRO"/>
    <x v="0"/>
    <s v="Hitting a person"/>
    <x v="1"/>
    <s v="Pedestrian"/>
    <x v="4"/>
    <s v="Female"/>
    <n v="7"/>
  </r>
  <r>
    <s v="2019S021753"/>
    <x v="16"/>
    <d v="1899-12-30T01:45:00"/>
    <n v="1"/>
    <s v="Before 15"/>
    <s v="CALL. BUSTOS / CALL. SIERRA DE LOS FILABRES"/>
    <s v="PUENTE DE VALLECAS"/>
    <x v="0"/>
    <s v="Fall"/>
    <x v="1"/>
    <s v="Driver"/>
    <x v="4"/>
    <s v="Male"/>
    <n v="1"/>
  </r>
  <r>
    <s v="2019S021969"/>
    <x v="101"/>
    <d v="1899-12-30T21:08:00"/>
    <n v="21"/>
    <s v="After 15"/>
    <s v="CALL. VAZQUEZ DE MELLA"/>
    <s v="CIUDAD LINEAL"/>
    <x v="2"/>
    <s v="Fall"/>
    <x v="1"/>
    <s v="Driver"/>
    <x v="4"/>
    <s v="Male"/>
    <n v="2"/>
  </r>
  <r>
    <s v="2019S021957"/>
    <x v="101"/>
    <d v="1899-12-30T19:20:00"/>
    <n v="19"/>
    <s v="After 15"/>
    <s v="CTRA. M-616, +00500S"/>
    <s v="FUENCARRAL-EL PARDO"/>
    <x v="1"/>
    <s v="Head-on collision"/>
    <x v="1"/>
    <s v="Driver"/>
    <x v="4"/>
    <s v="Male"/>
    <n v="14"/>
  </r>
  <r>
    <s v="2019S023803"/>
    <x v="102"/>
    <d v="1899-12-30T21:00:00"/>
    <n v="21"/>
    <s v="After 15"/>
    <s v="AVDA. MONTE IGUELDO"/>
    <s v="PUENTE DE VALLECAS"/>
    <x v="0"/>
    <s v="Reach"/>
    <x v="1"/>
    <s v="Driver"/>
    <x v="4"/>
    <s v="Male"/>
    <n v="7"/>
  </r>
  <r>
    <s v="2019S022584"/>
    <x v="103"/>
    <d v="1899-12-30T17:21:00"/>
    <n v="17"/>
    <s v="After 15"/>
    <s v="CALL. PEDRO DE VALDIVIA"/>
    <s v="CHAMARTÍN"/>
    <x v="1"/>
    <s v="Crash into fixed obstacle"/>
    <x v="1"/>
    <s v="Driver"/>
    <x v="4"/>
    <s v="Male"/>
    <n v="2"/>
  </r>
  <r>
    <s v="2019S023041"/>
    <x v="17"/>
    <d v="1899-12-30T23:05:00"/>
    <n v="23"/>
    <s v="After 15"/>
    <s v="CALL. PICO DE LA MALICIOSA"/>
    <s v="PUENTE DE VALLECAS"/>
    <x v="0"/>
    <s v="Other"/>
    <x v="1"/>
    <s v="Driver"/>
    <x v="4"/>
    <s v="Male"/>
    <s v=""/>
  </r>
  <r>
    <s v="2019S023089"/>
    <x v="104"/>
    <d v="1899-12-30T15:15:00"/>
    <n v="15"/>
    <s v="After 15"/>
    <s v="CALL. GRAN VIA / CALL. ALCALA"/>
    <s v="CENTRO"/>
    <x v="0"/>
    <s v="Lateral collision"/>
    <x v="1"/>
    <s v="Driver"/>
    <x v="4"/>
    <s v="Male"/>
    <s v=""/>
  </r>
  <r>
    <s v="2019S023355"/>
    <x v="43"/>
    <d v="1899-12-30T21:50:00"/>
    <n v="21"/>
    <s v="After 15"/>
    <s v="CALL. ALFONSO XII / CALL. CLAUDIO MOYANO"/>
    <s v="RETIRO"/>
    <x v="0"/>
    <s v="Fall"/>
    <x v="1"/>
    <s v="Driver"/>
    <x v="4"/>
    <s v="Male"/>
    <n v="7"/>
  </r>
  <r>
    <s v="2019S023694"/>
    <x v="105"/>
    <d v="1899-12-30T19:40:00"/>
    <n v="19"/>
    <s v="After 15"/>
    <s v="CALL. SANTA ENGRACIA"/>
    <s v="CHAMBERÍ"/>
    <x v="1"/>
    <s v="Head-on collision"/>
    <x v="1"/>
    <s v="Driver"/>
    <x v="4"/>
    <s v="Male"/>
    <s v=""/>
  </r>
  <r>
    <s v="2019S023774"/>
    <x v="2"/>
    <d v="1899-12-30T10:50:00"/>
    <n v="10"/>
    <s v="Before 15"/>
    <s v="CALL. MAQUEDA"/>
    <s v="LATINA"/>
    <x v="0"/>
    <s v="Other"/>
    <x v="1"/>
    <s v="Driver"/>
    <x v="4"/>
    <s v="Male"/>
    <n v="7"/>
  </r>
  <r>
    <s v="2019S023766"/>
    <x v="45"/>
    <d v="1899-12-30T09:25:00"/>
    <n v="9"/>
    <s v="Before 15"/>
    <s v="CALL. EMBAJADORES, 330  FRENTE ENTRADA CAJA MÁGIA"/>
    <s v="PUENTE DE VALLECAS"/>
    <x v="0"/>
    <s v="Head-on collision"/>
    <x v="1"/>
    <s v="Driver"/>
    <x v="4"/>
    <s v="Male"/>
    <n v="2"/>
  </r>
  <r>
    <s v="2019S023979"/>
    <x v="106"/>
    <d v="1899-12-30T23:00:00"/>
    <n v="23"/>
    <s v="After 15"/>
    <s v="CALL. SEGOVIA / RONDA. SEGOVIA"/>
    <s v="ARGANZUELA"/>
    <x v="0"/>
    <s v="Other"/>
    <x v="1"/>
    <s v="Driver"/>
    <x v="4"/>
    <s v="Male"/>
    <n v="7"/>
  </r>
  <r>
    <s v="2019S024340"/>
    <x v="107"/>
    <d v="1899-12-30T20:45:00"/>
    <n v="20"/>
    <s v="After 15"/>
    <s v="AVDA. BETANZOS"/>
    <s v="FUENCARRAL-EL PARDO"/>
    <x v="1"/>
    <s v="Reach"/>
    <x v="1"/>
    <s v="Driver"/>
    <x v="4"/>
    <s v="Male"/>
    <s v=""/>
  </r>
  <r>
    <s v="2019S024426"/>
    <x v="108"/>
    <d v="1899-12-30T16:10:00"/>
    <n v="16"/>
    <s v="After 15"/>
    <s v="CALL. ELOY GONZALO / CALL. SANTISIMA TRINIDAD"/>
    <s v="CHAMBERÍ"/>
    <x v="1"/>
    <s v="Lateral collision"/>
    <x v="1"/>
    <s v="Driver"/>
    <x v="4"/>
    <s v="Male"/>
    <s v=""/>
  </r>
  <r>
    <s v="2019S024853"/>
    <x v="109"/>
    <d v="1899-12-30T19:40:00"/>
    <n v="19"/>
    <s v="After 15"/>
    <s v="PLAZA. INDEPENDENCIA"/>
    <s v="RETIRO"/>
    <x v="0"/>
    <s v="Reach"/>
    <x v="1"/>
    <s v="Driver"/>
    <x v="4"/>
    <s v="Male"/>
    <n v="7"/>
  </r>
  <r>
    <s v="2019S024842"/>
    <x v="109"/>
    <d v="1899-12-30T17:06:00"/>
    <n v="17"/>
    <s v="After 15"/>
    <s v="PASEO. INFANTA ISABEL"/>
    <s v="RETIRO"/>
    <x v="0"/>
    <s v="Head-on collision"/>
    <x v="4"/>
    <s v="Driver"/>
    <x v="4"/>
    <s v="Male"/>
    <n v="14"/>
  </r>
  <r>
    <s v="2019S025524"/>
    <x v="110"/>
    <d v="1899-12-30T13:37:00"/>
    <n v="13"/>
    <s v="Before 15"/>
    <s v="CALL. RAFAEL BERGAMIN"/>
    <s v="CIUDAD LINEAL"/>
    <x v="2"/>
    <s v="Fall"/>
    <x v="1"/>
    <s v="Driver"/>
    <x v="4"/>
    <s v="Male"/>
    <n v="2"/>
  </r>
  <r>
    <s v="2019S026421"/>
    <x v="111"/>
    <d v="1899-12-30T16:00:00"/>
    <n v="16"/>
    <s v="After 15"/>
    <s v="GTA. PUENTE DE SEGOVIA"/>
    <s v="LATINA"/>
    <x v="0"/>
    <s v="Reach"/>
    <x v="1"/>
    <s v="Driver"/>
    <x v="4"/>
    <s v="Male"/>
    <n v="2"/>
  </r>
  <r>
    <s v="2019S025463"/>
    <x v="46"/>
    <d v="1899-12-30T04:20:00"/>
    <n v="4"/>
    <s v="Before 15"/>
    <s v="CALL. ALCALA"/>
    <s v="CENTRO"/>
    <x v="0"/>
    <s v="Other"/>
    <x v="1"/>
    <s v="Driver"/>
    <x v="4"/>
    <s v="Male"/>
    <n v="14"/>
  </r>
  <r>
    <s v="2019S025463"/>
    <x v="46"/>
    <d v="1899-12-30T04:20:00"/>
    <n v="4"/>
    <s v="Before 15"/>
    <s v="CALL. ALCALA"/>
    <s v="CENTRO"/>
    <x v="0"/>
    <s v="Other"/>
    <x v="1"/>
    <s v="Passenger"/>
    <x v="4"/>
    <s v="Female"/>
    <n v="6"/>
  </r>
  <r>
    <s v="2019S025640"/>
    <x v="112"/>
    <d v="1899-12-30T19:35:00"/>
    <n v="19"/>
    <s v="After 15"/>
    <s v="CALL. MULLER / CALL. AZUCENAS"/>
    <s v="TETUÁN"/>
    <x v="1"/>
    <s v="Head-on collision"/>
    <x v="1"/>
    <s v="Driver"/>
    <x v="4"/>
    <s v="Male"/>
    <s v=""/>
  </r>
  <r>
    <s v="2019S025927"/>
    <x v="112"/>
    <d v="1899-12-30T01:15:00"/>
    <n v="1"/>
    <s v="Before 15"/>
    <s v="AVDA. MENENDEZ PELAYO / CALL. O'DONNELL"/>
    <s v="RETIRO"/>
    <x v="0"/>
    <s v="Reach"/>
    <x v="1"/>
    <s v="Driver"/>
    <x v="4"/>
    <s v="Male"/>
    <s v=""/>
  </r>
  <r>
    <s v="2019S025639"/>
    <x v="113"/>
    <d v="1899-12-30T03:20:00"/>
    <n v="3"/>
    <s v="Before 15"/>
    <s v="CALL. JOSE ABASCAL"/>
    <s v="CHAMBERÍ"/>
    <x v="1"/>
    <s v="Fall"/>
    <x v="1"/>
    <s v="Driver"/>
    <x v="4"/>
    <s v="Male"/>
    <n v="7"/>
  </r>
  <r>
    <s v="2019S026840"/>
    <x v="114"/>
    <d v="1899-12-30T22:15:00"/>
    <n v="22"/>
    <s v="After 15"/>
    <s v="CALL. DOCTOR ESQUERDO"/>
    <s v="RETIRO"/>
    <x v="0"/>
    <s v="Fall"/>
    <x v="1"/>
    <s v="Driver"/>
    <x v="4"/>
    <s v="Male"/>
    <n v="2"/>
  </r>
  <r>
    <s v="2019S026841"/>
    <x v="115"/>
    <d v="1899-12-30T08:30:00"/>
    <n v="8"/>
    <s v="Before 15"/>
    <s v="CALL. NAVARRA / CALL. PAMPLONA"/>
    <s v="TETUÁN"/>
    <x v="1"/>
    <s v="Fall"/>
    <x v="0"/>
    <s v="Driver"/>
    <x v="4"/>
    <s v="Female"/>
    <n v="7"/>
  </r>
  <r>
    <s v="2019S027425"/>
    <x v="116"/>
    <d v="1899-12-30T23:05:00"/>
    <n v="23"/>
    <s v="After 15"/>
    <s v="CUESTA DE LA VEGA"/>
    <s v="CENTRO"/>
    <x v="0"/>
    <s v="Fall"/>
    <x v="1"/>
    <s v="Driver"/>
    <x v="4"/>
    <s v="Female"/>
    <n v="7"/>
  </r>
  <r>
    <s v="2019S028932"/>
    <x v="117"/>
    <d v="1899-12-30T15:30:00"/>
    <n v="15"/>
    <s v="After 15"/>
    <s v="PASEO. CAMOENS Y VALERO"/>
    <s v="MONCLOA-ARAVACA"/>
    <x v="0"/>
    <s v="Crash into fixed obstacle"/>
    <x v="0"/>
    <s v="Driver"/>
    <x v="4"/>
    <s v="Male"/>
    <n v="6"/>
  </r>
  <r>
    <s v="2019S029200"/>
    <x v="118"/>
    <d v="1899-12-30T21:40:00"/>
    <n v="21"/>
    <s v="After 15"/>
    <s v="CALL. PRINCESA"/>
    <s v="MONCLOA-ARAVACA"/>
    <x v="0"/>
    <s v="Head-on collision"/>
    <x v="1"/>
    <s v="Driver"/>
    <x v="4"/>
    <s v="Male"/>
    <n v="5"/>
  </r>
  <r>
    <s v="2019S030317"/>
    <x v="119"/>
    <d v="1899-12-30T01:49:00"/>
    <n v="1"/>
    <s v="Before 15"/>
    <s v="CALL. ALCALA"/>
    <s v="CENTRO"/>
    <x v="0"/>
    <s v="Fall"/>
    <x v="1"/>
    <s v="Driver"/>
    <x v="4"/>
    <s v="Male"/>
    <n v="7"/>
  </r>
  <r>
    <s v="2019S030632"/>
    <x v="120"/>
    <d v="1899-12-30T15:20:00"/>
    <n v="15"/>
    <s v="After 15"/>
    <s v="CALL. MAYOR"/>
    <s v="CENTRO"/>
    <x v="0"/>
    <s v="Hitting a person"/>
    <x v="1"/>
    <s v="Driver"/>
    <x v="4"/>
    <s v="Male"/>
    <n v="14"/>
  </r>
  <r>
    <s v="2019S030697"/>
    <x v="121"/>
    <d v="1899-12-30T13:15:00"/>
    <n v="13"/>
    <s v="Before 15"/>
    <s v="AVDA. ENTREVIAS / CALL. PADRE LLANOS"/>
    <s v="PUENTE DE VALLECAS"/>
    <x v="0"/>
    <s v="Head-on collision"/>
    <x v="1"/>
    <s v="Driver"/>
    <x v="4"/>
    <s v="Male"/>
    <n v="14"/>
  </r>
  <r>
    <s v="2019S030886"/>
    <x v="122"/>
    <d v="1899-12-30T21:38:00"/>
    <n v="21"/>
    <s v="After 15"/>
    <s v="CALL. MODESTO LAFUENTE / CALL. MARIA DE GUZMAN"/>
    <s v="CHAMBERÍ"/>
    <x v="1"/>
    <s v="Head-on collision"/>
    <x v="3"/>
    <s v="Driver"/>
    <x v="4"/>
    <s v="Male"/>
    <s v=""/>
  </r>
  <r>
    <s v="2019S031193"/>
    <x v="123"/>
    <d v="1899-12-30T19:40:00"/>
    <n v="19"/>
    <s v="After 15"/>
    <s v="CALL. FUENTE CARRANTONA"/>
    <s v="MORATALAZ"/>
    <x v="2"/>
    <s v="Head-on collision"/>
    <x v="1"/>
    <s v="Driver"/>
    <x v="4"/>
    <s v="Male"/>
    <n v="5"/>
  </r>
  <r>
    <s v="2019S031320"/>
    <x v="124"/>
    <d v="1899-12-30T23:43:00"/>
    <n v="23"/>
    <s v="After 15"/>
    <s v="PLAZA. EMPERADOR CARLOS V / RONDA. ATOCHA"/>
    <s v="CENTRO"/>
    <x v="0"/>
    <s v="Reach"/>
    <x v="1"/>
    <s v="Driver"/>
    <x v="4"/>
    <s v="Male"/>
    <n v="14"/>
  </r>
  <r>
    <s v="2019S031692"/>
    <x v="25"/>
    <d v="1899-12-30T16:20:00"/>
    <n v="16"/>
    <s v="After 15"/>
    <s v="PASEO. SANTA MARIA DE LA CABEZA"/>
    <s v="ARGANZUELA"/>
    <x v="0"/>
    <s v="Head-on collision"/>
    <x v="1"/>
    <s v="Driver"/>
    <x v="4"/>
    <s v="Male"/>
    <n v="7"/>
  </r>
  <r>
    <s v="2019S031830"/>
    <x v="125"/>
    <d v="1899-12-30T22:25:00"/>
    <n v="22"/>
    <s v="After 15"/>
    <s v="AVDA. AMERICA"/>
    <s v="SALAMANCA"/>
    <x v="0"/>
    <s v="Fall"/>
    <x v="1"/>
    <s v="Driver"/>
    <x v="4"/>
    <s v="Male"/>
    <n v="1"/>
  </r>
  <r>
    <s v="2019S032046"/>
    <x v="126"/>
    <d v="1899-12-30T20:15:00"/>
    <n v="20"/>
    <s v="After 15"/>
    <s v="CALL. ALCALA"/>
    <s v="CENTRO"/>
    <x v="0"/>
    <s v="Fall"/>
    <x v="1"/>
    <s v="Driver"/>
    <x v="4"/>
    <s v="Male"/>
    <n v="7"/>
  </r>
  <r>
    <s v="2019S032663"/>
    <x v="127"/>
    <d v="1899-12-30T20:45:00"/>
    <n v="20"/>
    <s v="After 15"/>
    <s v="CALL. CAMINO DE LOS VINATEROS / CALL. ARROYO DE LA MEDIA LEGUA"/>
    <s v="MORATALAZ"/>
    <x v="2"/>
    <s v="Head-on collision"/>
    <x v="1"/>
    <s v="Driver"/>
    <x v="4"/>
    <s v="Male"/>
    <n v="7"/>
  </r>
  <r>
    <s v="2019S033133"/>
    <x v="128"/>
    <d v="1899-12-30T07:55:00"/>
    <n v="7"/>
    <s v="Before 15"/>
    <s v="CALL. EVANGELIOS / CALL. OLVIDO"/>
    <s v="USERA"/>
    <x v="0"/>
    <s v="Head-on collision"/>
    <x v="3"/>
    <s v="Driver"/>
    <x v="4"/>
    <s v="Male"/>
    <n v="7"/>
  </r>
  <r>
    <s v="2019S034187"/>
    <x v="129"/>
    <d v="1899-12-30T15:45:00"/>
    <n v="15"/>
    <s v="After 15"/>
    <s v="AVDA. MENENDEZ PELAYO"/>
    <s v="RETIRO"/>
    <x v="0"/>
    <s v="Fall"/>
    <x v="1"/>
    <s v="Driver"/>
    <x v="4"/>
    <s v="Male"/>
    <n v="3"/>
  </r>
  <r>
    <s v="2019S034555"/>
    <x v="130"/>
    <d v="1899-12-30T21:05:00"/>
    <n v="21"/>
    <s v="After 15"/>
    <s v="PASEO. PRADO"/>
    <s v="CENTRO"/>
    <x v="0"/>
    <s v="Reach"/>
    <x v="1"/>
    <s v="Driver"/>
    <x v="4"/>
    <s v="Male"/>
    <n v="2"/>
  </r>
  <r>
    <s v="2019S034565"/>
    <x v="130"/>
    <d v="1899-12-30T15:50:00"/>
    <n v="15"/>
    <s v="After 15"/>
    <s v="CALL. EMBAJADORES"/>
    <s v="ARGANZUELA"/>
    <x v="0"/>
    <s v="Fall"/>
    <x v="1"/>
    <s v="Driver"/>
    <x v="4"/>
    <s v="Male"/>
    <n v="1"/>
  </r>
  <r>
    <s v="2019S035312"/>
    <x v="131"/>
    <d v="1899-12-30T00:10:00"/>
    <n v="0"/>
    <s v="Before 15"/>
    <s v="PLAZA. SAN ILDEFONSO"/>
    <s v="CENTRO"/>
    <x v="0"/>
    <s v="Head-on collision"/>
    <x v="4"/>
    <s v="Driver"/>
    <x v="4"/>
    <s v="Male"/>
    <s v=""/>
  </r>
  <r>
    <s v="2019S035786"/>
    <x v="132"/>
    <d v="1899-12-30T19:40:00"/>
    <n v="19"/>
    <s v="After 15"/>
    <s v="CALL. JACOBINIA / CALL. EUGENIA DE MONTIJO"/>
    <s v="CARABANCHEL"/>
    <x v="0"/>
    <s v="Head-on collision"/>
    <x v="1"/>
    <s v="Driver"/>
    <x v="4"/>
    <s v="Female"/>
    <n v="14"/>
  </r>
  <r>
    <s v="2019S035655"/>
    <x v="132"/>
    <d v="1899-12-30T13:25:00"/>
    <n v="13"/>
    <s v="Before 15"/>
    <s v="PASEO. CHOPERA / PLAZA. GENERAL MAROTO"/>
    <s v="ARGANZUELA"/>
    <x v="0"/>
    <s v="Fall"/>
    <x v="1"/>
    <s v="Driver"/>
    <x v="4"/>
    <s v="Female"/>
    <n v="7"/>
  </r>
  <r>
    <s v="2019S036005"/>
    <x v="82"/>
    <d v="1899-12-30T12:00:00"/>
    <n v="12"/>
    <s v="Before 15"/>
    <s v="AVDA. PORTUGAL / PQUE. MADRID RIO"/>
    <s v="LATINA"/>
    <x v="0"/>
    <s v="Hitting a person"/>
    <x v="1"/>
    <s v="Driver"/>
    <x v="4"/>
    <s v="Male"/>
    <n v="1"/>
  </r>
  <r>
    <s v="2019S036539"/>
    <x v="133"/>
    <d v="1899-12-30T23:15:00"/>
    <n v="23"/>
    <s v="After 15"/>
    <s v="CALL. CASTELLO"/>
    <s v="SALAMANCA"/>
    <x v="0"/>
    <s v="Other"/>
    <x v="0"/>
    <s v="Driver"/>
    <x v="4"/>
    <s v="Female"/>
    <n v="2"/>
  </r>
  <r>
    <s v="2019S036984"/>
    <x v="134"/>
    <d v="1899-12-30T17:27:00"/>
    <n v="17"/>
    <s v="After 15"/>
    <s v="CALL. FERMIN CABALLERO"/>
    <s v="FUENCARRAL-EL PARDO"/>
    <x v="1"/>
    <s v="Head-on collision"/>
    <x v="0"/>
    <s v="Driver"/>
    <x v="4"/>
    <s v="Male"/>
    <s v=""/>
  </r>
  <r>
    <s v="2019S037082"/>
    <x v="135"/>
    <d v="1899-12-30T15:40:00"/>
    <n v="15"/>
    <s v="After 15"/>
    <s v="CALL. PELAYO"/>
    <s v="CENTRO"/>
    <x v="0"/>
    <s v="Fall"/>
    <x v="3"/>
    <s v="Driver"/>
    <x v="4"/>
    <s v="Male"/>
    <n v="6"/>
  </r>
  <r>
    <s v="2019S037330"/>
    <x v="136"/>
    <d v="1899-12-30T22:15:00"/>
    <n v="22"/>
    <s v="After 15"/>
    <s v="PLAZA. OLAVIDE"/>
    <s v="CHAMBERÍ"/>
    <x v="1"/>
    <s v="Fall"/>
    <x v="3"/>
    <s v="Driver"/>
    <x v="4"/>
    <s v="Male"/>
    <n v="7"/>
  </r>
  <r>
    <s v="2019S037437"/>
    <x v="136"/>
    <d v="1899-12-30T15:15:00"/>
    <n v="15"/>
    <s v="After 15"/>
    <s v="CALL. NICOLAS SALMERON"/>
    <s v="CIUDAD LINEAL"/>
    <x v="2"/>
    <s v="Head-on collision"/>
    <x v="1"/>
    <s v="Driver"/>
    <x v="4"/>
    <s v="Male"/>
    <n v="7"/>
  </r>
  <r>
    <s v="2019S037130"/>
    <x v="136"/>
    <d v="1899-12-30T01:40:00"/>
    <n v="1"/>
    <s v="Before 15"/>
    <s v="CALL. BRAVO MURILLO"/>
    <s v="TETUÁN"/>
    <x v="1"/>
    <s v="Lateral collision"/>
    <x v="1"/>
    <s v="Driver"/>
    <x v="4"/>
    <s v="Male"/>
    <n v="7"/>
  </r>
  <r>
    <s v="2019S037712"/>
    <x v="83"/>
    <d v="1899-12-30T23:30:00"/>
    <n v="23"/>
    <s v="After 15"/>
    <s v="SANTA  ENGRACIA"/>
    <s v="CHAMBERÍ"/>
    <x v="1"/>
    <s v="Hitting a person"/>
    <x v="1"/>
    <s v="Driver"/>
    <x v="4"/>
    <s v="Female"/>
    <n v="14"/>
  </r>
  <r>
    <s v="2019S037712"/>
    <x v="83"/>
    <d v="1899-12-30T23:30:00"/>
    <n v="23"/>
    <s v="After 15"/>
    <s v="SANTA  ENGRACIA"/>
    <s v="CHAMBERÍ"/>
    <x v="1"/>
    <s v="Hitting a person"/>
    <x v="1"/>
    <s v="Pedestrian"/>
    <x v="4"/>
    <s v="Female"/>
    <n v="7"/>
  </r>
  <r>
    <s v="2019S039461"/>
    <x v="137"/>
    <d v="1899-12-30T06:40:00"/>
    <n v="6"/>
    <s v="Before 15"/>
    <s v="PASEO. PRADO"/>
    <s v="CENTRO"/>
    <x v="0"/>
    <s v="Fall"/>
    <x v="1"/>
    <s v="Driver"/>
    <x v="4"/>
    <s v="Male"/>
    <n v="2"/>
  </r>
  <r>
    <s v="2019S039179"/>
    <x v="138"/>
    <d v="1899-12-30T22:00:00"/>
    <n v="22"/>
    <s v="After 15"/>
    <s v="CALL. MARQUES DE VALDEIGLESIAS"/>
    <s v="CENTRO"/>
    <x v="0"/>
    <s v="Hitting a person"/>
    <x v="1"/>
    <s v="Driver"/>
    <x v="4"/>
    <s v="Male"/>
    <n v="7"/>
  </r>
  <r>
    <s v="2019S000659"/>
    <x v="139"/>
    <d v="1899-12-30T14:00:00"/>
    <n v="14"/>
    <s v="Before 15"/>
    <s v="CALL. CASTELLO / CALL. DON RAMON DE LA CRUZ"/>
    <s v="SALAMANCA"/>
    <x v="0"/>
    <s v="Reach"/>
    <x v="1"/>
    <s v="Driver"/>
    <x v="5"/>
    <s v="Male"/>
    <n v="1"/>
  </r>
  <r>
    <s v="2019S001738"/>
    <x v="140"/>
    <d v="1899-12-30T13:03:00"/>
    <n v="13"/>
    <s v="Before 15"/>
    <s v="C/ MONASTERIO DE ARLANZA-AV. SANTUARIO DE VALVERDE"/>
    <s v="FUENCARRAL-EL PARDO"/>
    <x v="1"/>
    <s v="Fall"/>
    <x v="1"/>
    <s v="Driver"/>
    <x v="5"/>
    <s v="Male"/>
    <n v="2"/>
  </r>
  <r>
    <s v="2019S003283"/>
    <x v="141"/>
    <d v="1899-12-30T16:00:00"/>
    <n v="16"/>
    <s v="After 15"/>
    <s v="CALL. GRAN VIA / CALL. SAN BERNARDO"/>
    <s v="CENTRO"/>
    <x v="0"/>
    <s v="Head-on collision"/>
    <x v="1"/>
    <s v="Driver"/>
    <x v="5"/>
    <s v="Male"/>
    <n v="14"/>
  </r>
  <r>
    <s v="2019S002594"/>
    <x v="30"/>
    <d v="1899-12-30T22:45:00"/>
    <n v="22"/>
    <s v="After 15"/>
    <s v="POLIG. ALUCHE-AVENIDA DE LOS POBLADOS / CALL. SECOYA"/>
    <s v="LATINA"/>
    <x v="0"/>
    <s v="Crash into fixed obstacle"/>
    <x v="1"/>
    <s v="Driver"/>
    <x v="5"/>
    <s v="Male"/>
    <n v="6"/>
  </r>
  <r>
    <s v="2019S002591"/>
    <x v="30"/>
    <d v="1899-12-30T22:15:00"/>
    <n v="22"/>
    <s v="After 15"/>
    <s v="AVDA. POBLADOS / CALL. SECOYA"/>
    <s v="CARABANCHEL"/>
    <x v="0"/>
    <s v="Crash into fixed obstacle"/>
    <x v="1"/>
    <s v="Driver"/>
    <x v="5"/>
    <s v="Male"/>
    <n v="2"/>
  </r>
  <r>
    <s v="2019S003463"/>
    <x v="142"/>
    <d v="1899-12-30T22:45:00"/>
    <n v="22"/>
    <s v="After 15"/>
    <s v="CALL. MIGUEL ANGEL / PASEO. GENERAL MARTINEZ CAMPOS"/>
    <s v="CHAMBERÍ"/>
    <x v="1"/>
    <s v="Head-on collision"/>
    <x v="4"/>
    <s v="Driver"/>
    <x v="5"/>
    <s v="Male"/>
    <s v=""/>
  </r>
  <r>
    <s v="2019S004528"/>
    <x v="143"/>
    <d v="1899-12-30T21:10:00"/>
    <n v="21"/>
    <s v="After 15"/>
    <s v="PLAZA. INDEPENDENCIA / CALL. ALCALA"/>
    <s v="SALAMANCA"/>
    <x v="0"/>
    <s v="Head-on collision"/>
    <x v="3"/>
    <s v="Driver"/>
    <x v="5"/>
    <s v="Male"/>
    <n v="6"/>
  </r>
  <r>
    <s v="2019S006032"/>
    <x v="144"/>
    <d v="1899-12-30T21:35:00"/>
    <n v="21"/>
    <s v="After 15"/>
    <s v="CALL. MARIA DE MOLINA"/>
    <s v="SALAMANCA"/>
    <x v="0"/>
    <s v="Reach"/>
    <x v="1"/>
    <s v="Driver"/>
    <x v="5"/>
    <s v="Male"/>
    <n v="7"/>
  </r>
  <r>
    <s v="2019S006501"/>
    <x v="145"/>
    <d v="1899-12-30T16:15:00"/>
    <n v="16"/>
    <s v="After 15"/>
    <s v="CALL. ALCALA"/>
    <s v="CENTRO"/>
    <x v="0"/>
    <s v="Hitting a person"/>
    <x v="1"/>
    <s v="Driver"/>
    <x v="5"/>
    <s v="Male"/>
    <n v="2"/>
  </r>
  <r>
    <s v="2019S006501"/>
    <x v="145"/>
    <d v="1899-12-30T16:15:00"/>
    <n v="16"/>
    <s v="After 15"/>
    <s v="CALL. ALCALA"/>
    <s v="CENTRO"/>
    <x v="0"/>
    <s v="Hitting a person"/>
    <x v="1"/>
    <s v="Pedestrian"/>
    <x v="5"/>
    <s v="Female"/>
    <n v="14"/>
  </r>
  <r>
    <s v="2019S009806"/>
    <x v="146"/>
    <d v="1899-12-30T21:40:00"/>
    <n v="21"/>
    <s v="After 15"/>
    <s v="CALL. MESON DE PAREDES / CALL. JUANELO"/>
    <s v="CENTRO"/>
    <x v="0"/>
    <s v="Head-on collision"/>
    <x v="1"/>
    <s v="Driver"/>
    <x v="5"/>
    <s v="Male"/>
    <n v="7"/>
  </r>
  <r>
    <s v="2019S009942"/>
    <x v="147"/>
    <d v="1899-12-30T14:15:00"/>
    <n v="14"/>
    <s v="Before 15"/>
    <s v="CALL. ALCALA"/>
    <s v="CENTRO"/>
    <x v="0"/>
    <s v="Reach"/>
    <x v="1"/>
    <s v="Driver"/>
    <x v="5"/>
    <s v="Male"/>
    <n v="1"/>
  </r>
  <r>
    <s v="2019S010289"/>
    <x v="147"/>
    <d v="1899-12-30T09:15:00"/>
    <n v="9"/>
    <s v="Before 15"/>
    <s v="CALL. MIGUEL ANGEL"/>
    <s v="CHAMBERÍ"/>
    <x v="1"/>
    <s v="Head-on collision"/>
    <x v="1"/>
    <s v="Driver"/>
    <x v="5"/>
    <s v="Male"/>
    <n v="6"/>
  </r>
  <r>
    <s v="2019S010293"/>
    <x v="148"/>
    <d v="1899-12-30T22:00:00"/>
    <n v="22"/>
    <s v="After 15"/>
    <s v="PASEO. PRADO"/>
    <s v="CENTRO"/>
    <x v="0"/>
    <s v="Reach"/>
    <x v="1"/>
    <s v="Driver"/>
    <x v="5"/>
    <s v="Male"/>
    <n v="2"/>
  </r>
  <r>
    <s v="2019S010849"/>
    <x v="89"/>
    <d v="1899-12-30T20:00:00"/>
    <n v="20"/>
    <s v="After 15"/>
    <s v="CALL. SANTA ENGRACIA"/>
    <s v="CHAMBERÍ"/>
    <x v="1"/>
    <s v="Hitting a person"/>
    <x v="1"/>
    <s v="Driver"/>
    <x v="5"/>
    <s v="Male"/>
    <n v="6"/>
  </r>
  <r>
    <s v="2019S010849"/>
    <x v="89"/>
    <d v="1899-12-30T20:00:00"/>
    <n v="20"/>
    <s v="After 15"/>
    <s v="CALL. SANTA ENGRACIA"/>
    <s v="CHAMBERÍ"/>
    <x v="1"/>
    <s v="Hitting a person"/>
    <x v="1"/>
    <s v="Pedestrian"/>
    <x v="5"/>
    <s v="Male"/>
    <n v="14"/>
  </r>
  <r>
    <s v="2019S013666"/>
    <x v="32"/>
    <d v="1899-12-30T10:30:00"/>
    <n v="10"/>
    <s v="Before 15"/>
    <s v="CALL. MANCHA / AVDA. ENTREVIAS"/>
    <s v="PUENTE DE VALLECAS"/>
    <x v="0"/>
    <s v="Lateral collision"/>
    <x v="1"/>
    <s v="Driver"/>
    <x v="5"/>
    <s v="Male"/>
    <n v="6"/>
  </r>
  <r>
    <s v="2019S014113"/>
    <x v="149"/>
    <d v="1899-12-30T13:30:00"/>
    <n v="13"/>
    <s v="Before 15"/>
    <s v="PASEO. MOLINO"/>
    <s v="ARGANZUELA"/>
    <x v="0"/>
    <s v="Fall"/>
    <x v="1"/>
    <s v="Driver"/>
    <x v="5"/>
    <s v="Female"/>
    <n v="3"/>
  </r>
  <r>
    <s v="2019S014661"/>
    <x v="12"/>
    <d v="1899-12-30T16:45:00"/>
    <n v="16"/>
    <s v="After 15"/>
    <s v="PASEO. CASTELLANA / CALL. RAIMUNDO FERNANDEZ VILLAVERDE"/>
    <s v="TETUÁN"/>
    <x v="1"/>
    <s v="Head-on collision"/>
    <x v="1"/>
    <s v="Driver"/>
    <x v="5"/>
    <s v="Male"/>
    <n v="7"/>
  </r>
  <r>
    <s v="2019S015339"/>
    <x v="34"/>
    <d v="1899-12-30T22:00:00"/>
    <n v="22"/>
    <s v="After 15"/>
    <s v="AVDA. PORTUGAL"/>
    <s v="LATINA"/>
    <x v="0"/>
    <s v="Fall"/>
    <x v="1"/>
    <s v="Driver"/>
    <x v="5"/>
    <s v="Female"/>
    <n v="7"/>
  </r>
  <r>
    <s v="2019S015263"/>
    <x v="34"/>
    <d v="1899-12-30T19:20:00"/>
    <n v="19"/>
    <s v="After 15"/>
    <s v="PASEO. ERMITA DEL SANTO / CALL. VIA CARPETANA"/>
    <s v="LATINA"/>
    <x v="0"/>
    <s v="Head-on collision"/>
    <x v="1"/>
    <s v="Driver"/>
    <x v="5"/>
    <s v="Female"/>
    <n v="2"/>
  </r>
  <r>
    <s v="2019S015537"/>
    <x v="150"/>
    <d v="1899-12-30T20:15:00"/>
    <n v="20"/>
    <s v="After 15"/>
    <s v="CALL. ALCOCER / AVDA. ANDALUCIA"/>
    <s v="VILLAVERDE"/>
    <x v="0"/>
    <s v="Other"/>
    <x v="1"/>
    <s v="Driver"/>
    <x v="5"/>
    <s v="Female"/>
    <s v=""/>
  </r>
  <r>
    <s v="2019S016402"/>
    <x v="35"/>
    <d v="1899-12-30T20:40:00"/>
    <n v="20"/>
    <s v="After 15"/>
    <s v="PASEO. LA HABANA"/>
    <s v="CHAMARTÍN"/>
    <x v="1"/>
    <s v="Fall"/>
    <x v="1"/>
    <s v="Driver"/>
    <x v="5"/>
    <s v="Female"/>
    <n v="6"/>
  </r>
  <r>
    <s v="2019S016482"/>
    <x v="151"/>
    <d v="1899-12-30T14:25:00"/>
    <n v="14"/>
    <s v="Before 15"/>
    <s v="CALL. SAN BERNARDO"/>
    <s v="CENTRO"/>
    <x v="0"/>
    <s v="Lateral collision"/>
    <x v="1"/>
    <s v="Driver"/>
    <x v="5"/>
    <s v="Male"/>
    <n v="7"/>
  </r>
  <r>
    <s v="2019S016359"/>
    <x v="151"/>
    <d v="1899-12-30T00:00:00"/>
    <n v="0"/>
    <s v="Before 15"/>
    <s v="CUSTA. SAN VICENTE / CALL. BAILEN"/>
    <s v="CENTRO"/>
    <x v="0"/>
    <s v="Fall"/>
    <x v="1"/>
    <s v="Driver"/>
    <x v="5"/>
    <s v="Male"/>
    <n v="3"/>
  </r>
  <r>
    <s v="2019S016675"/>
    <x v="152"/>
    <d v="1899-12-30T18:15:00"/>
    <n v="18"/>
    <s v="After 15"/>
    <s v="CALL. SANTA CRUZ DE RETAMAR / AVDA. MIGUEL HERNANDEZ"/>
    <s v="PUENTE DE VALLECAS"/>
    <x v="0"/>
    <s v="Fall"/>
    <x v="1"/>
    <s v="Driver"/>
    <x v="5"/>
    <s v="Female"/>
    <n v="7"/>
  </r>
  <r>
    <s v="2019S017107"/>
    <x v="153"/>
    <d v="1899-12-30T16:30:00"/>
    <n v="16"/>
    <s v="After 15"/>
    <s v="CALL. JOSE SILVA"/>
    <s v="CIUDAD LINEAL"/>
    <x v="2"/>
    <s v="Head-on collision"/>
    <x v="1"/>
    <s v="Driver"/>
    <x v="5"/>
    <s v="Male"/>
    <n v="14"/>
  </r>
  <r>
    <s v="2019S016753"/>
    <x v="153"/>
    <d v="1899-12-30T14:20:00"/>
    <n v="14"/>
    <s v="Before 15"/>
    <s v="CALL. HULLA / AVDA. LOS ROSALES"/>
    <s v="VILLAVERDE"/>
    <x v="0"/>
    <s v="Fall"/>
    <x v="1"/>
    <s v="Driver"/>
    <x v="5"/>
    <s v="Male"/>
    <n v="3"/>
  </r>
  <r>
    <s v="2019S017125"/>
    <x v="154"/>
    <d v="1899-12-30T21:45:00"/>
    <n v="21"/>
    <s v="After 15"/>
    <s v="CALL. HORTALEZA"/>
    <s v="CENTRO"/>
    <x v="0"/>
    <s v="Reach"/>
    <x v="4"/>
    <s v="Driver"/>
    <x v="5"/>
    <s v="Male"/>
    <s v=""/>
  </r>
  <r>
    <s v="2019S017125"/>
    <x v="154"/>
    <d v="1899-12-30T21:45:00"/>
    <n v="21"/>
    <s v="After 15"/>
    <s v="CALL. HORTALEZA"/>
    <s v="CENTRO"/>
    <x v="0"/>
    <s v="Reach"/>
    <x v="4"/>
    <s v="Driver"/>
    <x v="5"/>
    <s v="Female"/>
    <s v=""/>
  </r>
  <r>
    <s v="2019S016996"/>
    <x v="154"/>
    <d v="1899-12-30T02:00:00"/>
    <n v="2"/>
    <s v="Before 15"/>
    <s v="CALL. BRAVO MURILLO"/>
    <s v="TETUÁN"/>
    <x v="1"/>
    <s v="Fall"/>
    <x v="1"/>
    <s v="Driver"/>
    <x v="5"/>
    <s v="Male"/>
    <n v="14"/>
  </r>
  <r>
    <s v="2019S033688"/>
    <x v="36"/>
    <d v="1899-12-30T10:10:00"/>
    <n v="10"/>
    <s v="Before 15"/>
    <s v="CALL. ALCANTARA"/>
    <s v="SALAMANCA"/>
    <x v="0"/>
    <s v="Reach"/>
    <x v="1"/>
    <s v="Driver"/>
    <x v="5"/>
    <s v="Male"/>
    <s v=""/>
  </r>
  <r>
    <s v="2019S017367"/>
    <x v="155"/>
    <d v="1899-12-30T22:25:00"/>
    <n v="22"/>
    <s v="After 15"/>
    <s v="PLAZA. EMPERADOR CARLOS V / CALL. SANTA ISABEL"/>
    <s v="CENTRO"/>
    <x v="0"/>
    <s v="Fall"/>
    <x v="1"/>
    <s v="Driver"/>
    <x v="5"/>
    <s v="Male"/>
    <n v="1"/>
  </r>
  <r>
    <s v="2019S018907"/>
    <x v="93"/>
    <d v="1899-12-30T22:44:00"/>
    <n v="22"/>
    <s v="After 15"/>
    <s v="PASEO. DELICIAS"/>
    <s v="ARGANZUELA"/>
    <x v="0"/>
    <s v="Reach"/>
    <x v="1"/>
    <s v="Driver"/>
    <x v="5"/>
    <s v="Male"/>
    <s v=""/>
  </r>
  <r>
    <s v="2019S018020"/>
    <x v="156"/>
    <d v="1899-12-30T21:40:00"/>
    <n v="21"/>
    <s v="After 15"/>
    <s v="CALL. GRAN VIA / METRO. PLAZA DE ESPAÑA"/>
    <s v="CENTRO"/>
    <x v="0"/>
    <s v="Reach"/>
    <x v="4"/>
    <s v="Driver"/>
    <x v="5"/>
    <s v="Male"/>
    <s v=""/>
  </r>
  <r>
    <s v="2019S018249"/>
    <x v="157"/>
    <d v="1899-12-30T21:25:00"/>
    <n v="21"/>
    <s v="After 15"/>
    <s v="CALL. MIGUEL ARREDONDO / CALL. ALONSO CARBONELL"/>
    <s v="ARGANZUELA"/>
    <x v="0"/>
    <s v="Head-on collision"/>
    <x v="3"/>
    <s v="Driver"/>
    <x v="5"/>
    <s v="Male"/>
    <n v="1"/>
  </r>
  <r>
    <s v="2019S018366"/>
    <x v="157"/>
    <d v="1899-12-30T20:15:00"/>
    <n v="20"/>
    <s v="After 15"/>
    <s v="CALL. VICTORIA"/>
    <s v="CENTRO"/>
    <x v="0"/>
    <s v="Fall"/>
    <x v="3"/>
    <s v="Driver"/>
    <x v="5"/>
    <s v="Female"/>
    <n v="2"/>
  </r>
  <r>
    <s v="2019S018655"/>
    <x v="158"/>
    <d v="1899-12-30T14:15:00"/>
    <n v="14"/>
    <s v="Before 15"/>
    <s v="CALL. BARCO"/>
    <s v="CENTRO"/>
    <x v="0"/>
    <s v="Fall"/>
    <x v="1"/>
    <s v="Driver"/>
    <x v="5"/>
    <s v="Male"/>
    <n v="2"/>
  </r>
  <r>
    <s v="2019S018950"/>
    <x v="159"/>
    <d v="1899-12-30T18:35:00"/>
    <n v="18"/>
    <s v="After 15"/>
    <s v="CALL. CLAUDIO MOYANO / PASEO. PRADO"/>
    <s v="RETIRO"/>
    <x v="0"/>
    <s v="Fall"/>
    <x v="1"/>
    <s v="Driver"/>
    <x v="5"/>
    <s v="Female"/>
    <n v="2"/>
  </r>
  <r>
    <s v="2019S019554"/>
    <x v="160"/>
    <d v="1899-12-30T16:00:00"/>
    <n v="16"/>
    <s v="After 15"/>
    <s v="CALL. ARROYO BELINCOSO"/>
    <s v="MORATALAZ"/>
    <x v="2"/>
    <s v="Other"/>
    <x v="5"/>
    <s v="Driver"/>
    <x v="5"/>
    <s v="Female"/>
    <n v="7"/>
  </r>
  <r>
    <s v="2019S020003"/>
    <x v="161"/>
    <d v="1899-12-30T20:40:00"/>
    <n v="20"/>
    <s v="After 15"/>
    <s v="PLAZA. ALONSO MARTINEZ"/>
    <s v="CHAMBERÍ"/>
    <x v="1"/>
    <s v="Fall"/>
    <x v="1"/>
    <s v="Driver"/>
    <x v="5"/>
    <s v="Male"/>
    <n v="14"/>
  </r>
  <r>
    <s v="2019S020462"/>
    <x v="162"/>
    <d v="1899-12-30T22:20:00"/>
    <n v="22"/>
    <s v="After 15"/>
    <s v="CALL. SANTA CATALINA / CRA. SAN JERONIMO"/>
    <s v="CENTRO"/>
    <x v="0"/>
    <s v="Fall"/>
    <x v="1"/>
    <s v="Driver"/>
    <x v="5"/>
    <s v="Male"/>
    <n v="1"/>
  </r>
  <r>
    <s v="2019S021387"/>
    <x v="163"/>
    <d v="1899-12-30T23:18:00"/>
    <n v="23"/>
    <s v="After 15"/>
    <s v="CALL. GOYA / CALL. ALCALA"/>
    <s v="SALAMANCA"/>
    <x v="0"/>
    <s v="Lateral collision"/>
    <x v="1"/>
    <s v="Driver"/>
    <x v="5"/>
    <s v="Female"/>
    <s v=""/>
  </r>
  <r>
    <s v="2019S021497"/>
    <x v="15"/>
    <d v="1899-12-30T17:41:00"/>
    <n v="17"/>
    <s v="After 15"/>
    <s v="PASEO. PINTOR ROSALES / PASEO. MORET"/>
    <s v="MONCLOA-ARAVACA"/>
    <x v="0"/>
    <s v="Hitting a person"/>
    <x v="1"/>
    <s v="Driver"/>
    <x v="5"/>
    <s v="Male"/>
    <n v="14"/>
  </r>
  <r>
    <s v="2019S021964"/>
    <x v="100"/>
    <d v="1899-12-30T17:45:00"/>
    <n v="17"/>
    <s v="After 15"/>
    <s v="CTRA. CIUDAD UNIVERSITARIA / PASEO. VENTA"/>
    <s v="MONCLOA-ARAVACA"/>
    <x v="0"/>
    <s v="Fall"/>
    <x v="1"/>
    <s v="Driver"/>
    <x v="5"/>
    <s v="Female"/>
    <n v="7"/>
  </r>
  <r>
    <s v="2019S022021"/>
    <x v="41"/>
    <d v="1899-12-30T08:30:00"/>
    <n v="8"/>
    <s v="Before 15"/>
    <s v="PASEO. ACACIAS"/>
    <s v="ARGANZUELA"/>
    <x v="0"/>
    <s v="Reach"/>
    <x v="1"/>
    <s v="Driver"/>
    <x v="5"/>
    <s v="Female"/>
    <n v="7"/>
  </r>
  <r>
    <s v="2019S022373"/>
    <x v="102"/>
    <d v="1899-12-30T09:45:00"/>
    <n v="9"/>
    <s v="Before 15"/>
    <s v="CALL. SANTA ENGRACIA"/>
    <s v="CHAMBERÍ"/>
    <x v="1"/>
    <s v="Head-on collision"/>
    <x v="1"/>
    <s v="Driver"/>
    <x v="5"/>
    <s v="Female"/>
    <n v="5"/>
  </r>
  <r>
    <s v="2019S022866"/>
    <x v="63"/>
    <d v="1899-12-30T13:30:00"/>
    <n v="13"/>
    <s v="Before 15"/>
    <s v="CALL. FUENTE CARRANTONA / CALL. BENJAMIN PALENCIA"/>
    <s v="MORATALAZ"/>
    <x v="2"/>
    <s v="Head-on collision"/>
    <x v="1"/>
    <s v="Driver"/>
    <x v="5"/>
    <s v="Male"/>
    <n v="1"/>
  </r>
  <r>
    <s v="2019S022732"/>
    <x v="63"/>
    <d v="1899-12-30T13:00:00"/>
    <n v="13"/>
    <s v="Before 15"/>
    <s v="PQUE. MADRID RIO, +00240E"/>
    <s v="LATINA"/>
    <x v="0"/>
    <s v="Fall"/>
    <x v="1"/>
    <s v="Driver"/>
    <x v="5"/>
    <s v="Female"/>
    <n v="7"/>
  </r>
  <r>
    <s v="2019S022864"/>
    <x v="63"/>
    <d v="1899-12-30T07:55:00"/>
    <n v="7"/>
    <s v="Before 15"/>
    <s v="CALL. JOSE MARIA PEREDA / CALL. SOR MARIA DE AGREDA"/>
    <s v="CIUDAD LINEAL"/>
    <x v="2"/>
    <s v="Head-on collision"/>
    <x v="6"/>
    <s v="Driver"/>
    <x v="5"/>
    <s v="Male"/>
    <n v="7"/>
  </r>
  <r>
    <s v="2019S022907"/>
    <x v="164"/>
    <d v="1899-12-30T19:25:00"/>
    <n v="19"/>
    <s v="After 15"/>
    <s v="PLAZA. CIBELES / CALL. ALCALA"/>
    <s v="CENTRO"/>
    <x v="0"/>
    <s v="Lateral collision"/>
    <x v="1"/>
    <s v="Driver"/>
    <x v="5"/>
    <s v="Male"/>
    <n v="7"/>
  </r>
  <r>
    <s v="2019S022923"/>
    <x v="164"/>
    <d v="1899-12-30T15:22:00"/>
    <n v="15"/>
    <s v="After 15"/>
    <s v="GTA. RUBEN DARIO"/>
    <s v="CHAMBERÍ"/>
    <x v="1"/>
    <s v="Hitting a person"/>
    <x v="1"/>
    <s v="Driver"/>
    <x v="5"/>
    <s v="Male"/>
    <n v="14"/>
  </r>
  <r>
    <s v="2019S023014"/>
    <x v="104"/>
    <d v="1899-12-30T15:21:00"/>
    <n v="15"/>
    <s v="After 15"/>
    <s v="PASEO. INFANTA ISABEL / AVDA. CIUDAD DE BARCELONA"/>
    <s v="RETIRO"/>
    <x v="0"/>
    <s v="Multiple collision"/>
    <x v="1"/>
    <s v="Driver"/>
    <x v="5"/>
    <s v="Female"/>
    <n v="2"/>
  </r>
  <r>
    <s v="2019S022968"/>
    <x v="104"/>
    <d v="1899-12-30T07:50:00"/>
    <n v="7"/>
    <s v="Before 15"/>
    <s v="CALLE JOAQUIN TURINA-CALLE SITIO DE EL ESCORIAL"/>
    <s v="CARABANCHEL"/>
    <x v="0"/>
    <s v="Hitting a person"/>
    <x v="1"/>
    <s v="Driver"/>
    <x v="5"/>
    <s v="Male"/>
    <n v="14"/>
  </r>
  <r>
    <s v="2019S023533"/>
    <x v="165"/>
    <d v="1899-12-30T20:45:00"/>
    <n v="20"/>
    <s v="After 15"/>
    <s v="AVDA. POBLADOS"/>
    <s v="CARABANCHEL"/>
    <x v="0"/>
    <s v="Fall"/>
    <x v="1"/>
    <s v="Driver"/>
    <x v="5"/>
    <s v="Male"/>
    <n v="2"/>
  </r>
  <r>
    <s v="2019S023549"/>
    <x v="64"/>
    <d v="1899-12-30T08:15:00"/>
    <n v="8"/>
    <s v="Before 15"/>
    <s v="CALL. PLEYADES"/>
    <s v="MONCLOA-ARAVACA"/>
    <x v="0"/>
    <s v="Head-on collision"/>
    <x v="1"/>
    <s v="Driver"/>
    <x v="5"/>
    <s v="Female"/>
    <n v="6"/>
  </r>
  <r>
    <s v="2019S023512"/>
    <x v="44"/>
    <d v="1899-12-30T21:42:00"/>
    <n v="21"/>
    <s v="After 15"/>
    <s v="AVDA. MIRAFLORES"/>
    <s v="MONCLOA-ARAVACA"/>
    <x v="0"/>
    <s v="Fall"/>
    <x v="1"/>
    <s v="Driver"/>
    <x v="5"/>
    <s v="Male"/>
    <n v="6"/>
  </r>
  <r>
    <s v="2019S024318"/>
    <x v="105"/>
    <d v="1899-12-30T21:40:00"/>
    <n v="21"/>
    <s v="After 15"/>
    <s v="RONDA. SUR"/>
    <s v="PUENTE DE VALLECAS"/>
    <x v="0"/>
    <s v="Fall"/>
    <x v="1"/>
    <s v="Driver"/>
    <x v="5"/>
    <s v="Female"/>
    <n v="6"/>
  </r>
  <r>
    <s v="2019S023943"/>
    <x v="45"/>
    <d v="1899-12-30T23:55:00"/>
    <n v="23"/>
    <s v="After 15"/>
    <s v="PASEO. VIRGEN DEL PUERTO"/>
    <s v="ARGANZUELA"/>
    <x v="0"/>
    <s v="Fall"/>
    <x v="1"/>
    <s v="Driver"/>
    <x v="5"/>
    <s v="Male"/>
    <n v="7"/>
  </r>
  <r>
    <s v="2019S024208"/>
    <x v="166"/>
    <d v="1899-12-30T00:14:00"/>
    <n v="0"/>
    <s v="Before 15"/>
    <s v="CALL. EMBAJADORES / CALL. LABRADORES"/>
    <s v="ARGANZUELA"/>
    <x v="0"/>
    <s v="Head-on collision"/>
    <x v="1"/>
    <s v="Driver"/>
    <x v="5"/>
    <s v="Male"/>
    <n v="14"/>
  </r>
  <r>
    <s v="2019S024666"/>
    <x v="167"/>
    <d v="1899-12-30T18:40:00"/>
    <n v="18"/>
    <s v="After 15"/>
    <s v="CALL. ALCALA"/>
    <s v="CENTRO"/>
    <x v="0"/>
    <s v="Fall"/>
    <x v="1"/>
    <s v="Driver"/>
    <x v="5"/>
    <s v="Male"/>
    <n v="1"/>
  </r>
  <r>
    <s v="2019S024720"/>
    <x v="168"/>
    <d v="1899-12-30T04:30:00"/>
    <n v="4"/>
    <s v="Before 15"/>
    <s v="CALL. JOSE ABASCAL / CALL. FERNANDEZ DE LA HOZ"/>
    <s v="CHAMBERÍ"/>
    <x v="1"/>
    <s v="Lateral collision"/>
    <x v="1"/>
    <s v="Driver"/>
    <x v="5"/>
    <s v="Male"/>
    <n v="7"/>
  </r>
  <r>
    <s v="2019S024896"/>
    <x v="109"/>
    <d v="1899-12-30T16:20:00"/>
    <n v="16"/>
    <s v="After 15"/>
    <s v="CALL. CRISTOBAL BORDIU"/>
    <s v="CHAMBERÍ"/>
    <x v="1"/>
    <s v="Reach"/>
    <x v="1"/>
    <s v="Driver"/>
    <x v="5"/>
    <s v="Female"/>
    <n v="7"/>
  </r>
  <r>
    <s v="2019S025019"/>
    <x v="169"/>
    <d v="1899-12-30T20:15:00"/>
    <n v="20"/>
    <s v="After 15"/>
    <s v="CALL. TOMAS BRETON"/>
    <s v="ARGANZUELA"/>
    <x v="0"/>
    <s v="Head-on collision"/>
    <x v="4"/>
    <s v="Driver"/>
    <x v="5"/>
    <s v="Female"/>
    <s v=""/>
  </r>
  <r>
    <s v="2019S025193"/>
    <x v="20"/>
    <d v="1899-12-30T09:15:00"/>
    <n v="9"/>
    <s v="Before 15"/>
    <s v="CALL. FUENCARRAL / GTA. BILBAO"/>
    <s v="CENTRO"/>
    <x v="0"/>
    <s v="Reach"/>
    <x v="1"/>
    <s v="Driver"/>
    <x v="5"/>
    <s v="Male"/>
    <n v="7"/>
  </r>
  <r>
    <s v="2019S025642"/>
    <x v="113"/>
    <d v="1899-12-30T16:10:00"/>
    <n v="16"/>
    <s v="After 15"/>
    <s v="CUSTA. SAN VICENTE"/>
    <s v="CENTRO"/>
    <x v="0"/>
    <s v="Hitting a person"/>
    <x v="1"/>
    <s v="Driver"/>
    <x v="5"/>
    <s v="Female"/>
    <n v="14"/>
  </r>
  <r>
    <s v="2019S025841"/>
    <x v="170"/>
    <d v="1899-12-30T11:00:00"/>
    <n v="11"/>
    <s v="Before 15"/>
    <s v="CALL. RAIMUNDO FERNANDEZ VILLAVERDE"/>
    <s v="CHAMBERÍ"/>
    <x v="1"/>
    <s v="Reach"/>
    <x v="1"/>
    <s v="Driver"/>
    <x v="5"/>
    <s v="Female"/>
    <n v="7"/>
  </r>
  <r>
    <s v="2019S026089"/>
    <x v="171"/>
    <d v="1899-12-30T08:45:00"/>
    <n v="8"/>
    <s v="Before 15"/>
    <s v="AV. ROSALES CON ROTONDA M-40"/>
    <s v="VILLAVERDE"/>
    <x v="0"/>
    <s v="Lateral collision"/>
    <x v="1"/>
    <s v="Driver"/>
    <x v="5"/>
    <s v="Female"/>
    <s v=""/>
  </r>
  <r>
    <s v="2019S026198"/>
    <x v="3"/>
    <d v="1899-12-30T15:25:00"/>
    <n v="15"/>
    <s v="After 15"/>
    <s v="CALL. MONTESA / CALL. JOSE ORTEGA Y GASSET"/>
    <s v="SALAMANCA"/>
    <x v="0"/>
    <s v="Fall"/>
    <x v="1"/>
    <s v="Driver"/>
    <x v="5"/>
    <s v="Male"/>
    <n v="6"/>
  </r>
  <r>
    <s v="2019S026510"/>
    <x v="172"/>
    <d v="1899-12-30T18:45:00"/>
    <n v="18"/>
    <s v="After 15"/>
    <s v="CALL. ARGANZUELA"/>
    <s v="CENTRO"/>
    <x v="0"/>
    <s v="Fall"/>
    <x v="1"/>
    <s v="Driver"/>
    <x v="5"/>
    <s v="Male"/>
    <n v="2"/>
  </r>
  <r>
    <s v="2019S026571"/>
    <x v="4"/>
    <d v="1899-12-30T22:00:00"/>
    <n v="22"/>
    <s v="After 15"/>
    <s v="CALL. GRAN VIA / CALL. CLAVEL"/>
    <s v="CENTRO"/>
    <x v="0"/>
    <s v="Fall"/>
    <x v="1"/>
    <s v="Driver"/>
    <x v="5"/>
    <s v="Male"/>
    <s v=""/>
  </r>
  <r>
    <s v="2019S026665"/>
    <x v="173"/>
    <d v="1899-12-30T21:00:00"/>
    <n v="21"/>
    <s v="After 15"/>
    <s v="CALL. MARQUES DE URQUIJO / CALL. FERRAZ"/>
    <s v="MONCLOA-ARAVACA"/>
    <x v="0"/>
    <s v="Fall"/>
    <x v="1"/>
    <s v="Driver"/>
    <x v="5"/>
    <s v="Female"/>
    <n v="7"/>
  </r>
  <r>
    <s v="2019S026963"/>
    <x v="174"/>
    <d v="1899-12-30T20:45:00"/>
    <n v="20"/>
    <s v="After 15"/>
    <s v="GTA. EMILIO CASTELAR"/>
    <s v="SALAMANCA"/>
    <x v="0"/>
    <s v="Fall"/>
    <x v="3"/>
    <s v="Driver"/>
    <x v="5"/>
    <s v="Male"/>
    <n v="1"/>
  </r>
  <r>
    <s v="2019S026924"/>
    <x v="174"/>
    <d v="1899-12-30T13:10:00"/>
    <n v="13"/>
    <s v="Before 15"/>
    <s v="PASEO. CASTELLANA"/>
    <s v="CHAMARTÍN"/>
    <x v="1"/>
    <s v="Fall"/>
    <x v="1"/>
    <s v="Driver"/>
    <x v="5"/>
    <s v="Male"/>
    <n v="5"/>
  </r>
  <r>
    <s v="2019S027052"/>
    <x v="175"/>
    <d v="1899-12-30T22:40:00"/>
    <n v="22"/>
    <s v="After 15"/>
    <s v="GTA. ATOCHA-REINA SOFIA"/>
    <s v="CENTRO"/>
    <x v="0"/>
    <s v="Lateral collision"/>
    <x v="1"/>
    <s v="Driver"/>
    <x v="5"/>
    <s v="Female"/>
    <n v="1"/>
  </r>
  <r>
    <s v="2019S027369"/>
    <x v="176"/>
    <d v="1899-12-30T13:15:00"/>
    <n v="13"/>
    <s v="Before 15"/>
    <s v="CALL. MANZANARES / CALL. LINNEO"/>
    <s v="ARGANZUELA"/>
    <x v="0"/>
    <s v="Head-on collision"/>
    <x v="1"/>
    <s v="Driver"/>
    <x v="5"/>
    <s v="Male"/>
    <n v="7"/>
  </r>
  <r>
    <s v="2019S027422"/>
    <x v="116"/>
    <d v="1899-12-30T20:40:00"/>
    <n v="20"/>
    <s v="After 15"/>
    <s v="CALL. DOCTOR ESQUERDO"/>
    <s v="RETIRO"/>
    <x v="0"/>
    <s v="Reach"/>
    <x v="1"/>
    <s v="Driver"/>
    <x v="5"/>
    <s v="Male"/>
    <n v="1"/>
  </r>
  <r>
    <s v="2019S027477"/>
    <x v="116"/>
    <d v="1899-12-30T20:40:00"/>
    <n v="20"/>
    <s v="After 15"/>
    <s v="AVDA. MEDITERRANEO / AUTOV. A-3"/>
    <s v="VILLA DE VALLECAS"/>
    <x v="0"/>
    <s v="Head-on collision"/>
    <x v="1"/>
    <s v="Driver"/>
    <x v="5"/>
    <s v="Male"/>
    <n v="7"/>
  </r>
  <r>
    <s v="2019S027541"/>
    <x v="177"/>
    <d v="1899-12-30T22:00:00"/>
    <n v="22"/>
    <s v="After 15"/>
    <s v="CALL. GENOVA / CALL. ZURBANO"/>
    <s v="CHAMBERÍ"/>
    <x v="1"/>
    <s v="Reach"/>
    <x v="4"/>
    <s v="Driver"/>
    <x v="5"/>
    <s v="Male"/>
    <s v=""/>
  </r>
  <r>
    <s v="2019S027642"/>
    <x v="178"/>
    <d v="1899-12-30T03:30:00"/>
    <n v="3"/>
    <s v="Before 15"/>
    <s v="CUSTA. VEGA"/>
    <s v="CENTRO"/>
    <x v="0"/>
    <s v="Fall"/>
    <x v="1"/>
    <s v="Driver"/>
    <x v="5"/>
    <s v="Female"/>
    <s v=""/>
  </r>
  <r>
    <s v="2019S028647"/>
    <x v="179"/>
    <d v="1899-12-30T19:45:00"/>
    <n v="19"/>
    <s v="After 15"/>
    <s v="CALL. PRINCIPE DE VERGARA / CALL. HERMOSILLA"/>
    <s v="SALAMANCA"/>
    <x v="0"/>
    <s v="Lateral collision"/>
    <x v="4"/>
    <s v="Driver"/>
    <x v="5"/>
    <s v="Male"/>
    <s v=""/>
  </r>
  <r>
    <s v="2019S028686"/>
    <x v="180"/>
    <d v="1899-12-30T14:50:00"/>
    <n v="14"/>
    <s v="Before 15"/>
    <s v="AVDA. PEÑA PRIETA / CALL. MENDIVIL"/>
    <s v="PUENTE DE VALLECAS"/>
    <x v="0"/>
    <s v="Fall"/>
    <x v="1"/>
    <s v="Driver"/>
    <x v="5"/>
    <s v="Male"/>
    <n v="6"/>
  </r>
  <r>
    <s v="2019S028881"/>
    <x v="181"/>
    <d v="1899-12-30T19:10:00"/>
    <n v="19"/>
    <s v="After 15"/>
    <s v="CALL. SERRANO"/>
    <s v="CHAMARTÍN"/>
    <x v="1"/>
    <s v="Reach"/>
    <x v="1"/>
    <s v="Driver"/>
    <x v="5"/>
    <s v="Male"/>
    <n v="7"/>
  </r>
  <r>
    <s v="2019S029547"/>
    <x v="182"/>
    <d v="1899-12-30T21:45:00"/>
    <n v="21"/>
    <s v="After 15"/>
    <s v="CALL. ATOCHA / PLAZA. EMPERADOR CARLOS V"/>
    <s v="CENTRO"/>
    <x v="0"/>
    <s v="Reach"/>
    <x v="1"/>
    <s v="Driver"/>
    <x v="5"/>
    <s v="Female"/>
    <n v="5"/>
  </r>
  <r>
    <s v="2019S029018"/>
    <x v="183"/>
    <d v="1899-12-30T13:00:00"/>
    <n v="13"/>
    <s v="Before 15"/>
    <s v="PASEO. GENERAL MARTINEZ CAMPOS"/>
    <s v="CHAMBERÍ"/>
    <x v="1"/>
    <s v="Reach"/>
    <x v="1"/>
    <s v="Driver"/>
    <x v="5"/>
    <s v="Male"/>
    <n v="2"/>
  </r>
  <r>
    <s v="2019S029022"/>
    <x v="5"/>
    <d v="1899-12-30T08:00:00"/>
    <n v="8"/>
    <s v="Before 15"/>
    <s v="CALL. CAMPEZO / CALL. LAGUARDIA"/>
    <s v="SAN BLAS-CANILLEJAS"/>
    <x v="2"/>
    <s v="Head-on collision"/>
    <x v="1"/>
    <s v="Driver"/>
    <x v="5"/>
    <s v="Male"/>
    <n v="6"/>
  </r>
  <r>
    <s v="2019S029497"/>
    <x v="184"/>
    <d v="1899-12-30T23:38:00"/>
    <n v="23"/>
    <s v="After 15"/>
    <s v="CALL. CLAVEL / CALL. CABALLERO DE GRACIA"/>
    <s v="CENTRO"/>
    <x v="0"/>
    <s v="Other"/>
    <x v="1"/>
    <s v="Driver"/>
    <x v="5"/>
    <s v="Female"/>
    <n v="1"/>
  </r>
  <r>
    <s v="2019S029444"/>
    <x v="184"/>
    <d v="1899-12-30T13:22:00"/>
    <n v="13"/>
    <s v="Before 15"/>
    <s v="AVDA. ALBUFERA"/>
    <s v="PUENTE DE VALLECAS"/>
    <x v="0"/>
    <s v="Head-on collision"/>
    <x v="1"/>
    <s v="Driver"/>
    <x v="5"/>
    <s v="Male"/>
    <n v="7"/>
  </r>
  <r>
    <s v="2019S029437"/>
    <x v="184"/>
    <d v="1899-12-30T10:40:00"/>
    <n v="10"/>
    <s v="Before 15"/>
    <s v="CALL. ALBERTO AGUILERA"/>
    <s v="CHAMBERÍ"/>
    <x v="1"/>
    <s v="Fall"/>
    <x v="1"/>
    <s v="Driver"/>
    <x v="5"/>
    <s v="Male"/>
    <n v="1"/>
  </r>
  <r>
    <s v="2019S029560"/>
    <x v="6"/>
    <d v="1899-12-30T19:25:00"/>
    <n v="19"/>
    <s v="After 15"/>
    <s v="CALL. FRANCOS RODRIGUEZ"/>
    <s v="TETUÁN"/>
    <x v="1"/>
    <s v="Hitting a person"/>
    <x v="1"/>
    <s v="Driver"/>
    <x v="5"/>
    <s v="Male"/>
    <n v="14"/>
  </r>
  <r>
    <s v="2019S029716"/>
    <x v="185"/>
    <d v="1899-12-30T05:35:00"/>
    <n v="5"/>
    <s v="Before 15"/>
    <s v="CALL. SEGOVIA"/>
    <s v="ARGANZUELA"/>
    <x v="0"/>
    <s v="Fall"/>
    <x v="1"/>
    <s v="Driver"/>
    <x v="5"/>
    <s v="Male"/>
    <n v="2"/>
  </r>
  <r>
    <s v="2019S029888"/>
    <x v="186"/>
    <d v="1899-12-30T21:00:00"/>
    <n v="21"/>
    <s v="After 15"/>
    <s v="CALL. IRUN / CALL. CADARSO"/>
    <s v="MONCLOA-ARAVACA"/>
    <x v="0"/>
    <s v="Fall"/>
    <x v="1"/>
    <s v="Driver"/>
    <x v="5"/>
    <s v="Male"/>
    <n v="7"/>
  </r>
  <r>
    <s v="2019S029862"/>
    <x v="186"/>
    <d v="1899-12-30T11:55:00"/>
    <n v="11"/>
    <s v="Before 15"/>
    <s v="PARQUE LINEAL DEL MANZANARES"/>
    <s v="CARABANCHEL"/>
    <x v="0"/>
    <s v="Hitting a person"/>
    <x v="1"/>
    <s v="Pedestrian"/>
    <x v="5"/>
    <s v="Female"/>
    <n v="7"/>
  </r>
  <r>
    <s v="2019S029977"/>
    <x v="74"/>
    <d v="1899-12-30T06:50:00"/>
    <n v="6"/>
    <s v="Before 15"/>
    <s v="AVDA. SAN FERMIN / AVDA. PERLA"/>
    <s v="USERA"/>
    <x v="0"/>
    <s v="Reach"/>
    <x v="1"/>
    <s v="Driver"/>
    <x v="5"/>
    <s v="Male"/>
    <n v="6"/>
  </r>
  <r>
    <s v="2019S030203"/>
    <x v="187"/>
    <d v="1899-12-30T13:15:00"/>
    <n v="13"/>
    <s v="Before 15"/>
    <s v="CUSTA. SAN VICENTE / GTA. SAN VICENTE"/>
    <s v="MONCLOA-ARAVACA"/>
    <x v="0"/>
    <s v="Reach"/>
    <x v="1"/>
    <s v="Driver"/>
    <x v="5"/>
    <s v="Male"/>
    <n v="2"/>
  </r>
  <r>
    <s v="2019S030398"/>
    <x v="119"/>
    <d v="1899-12-30T11:30:00"/>
    <n v="11"/>
    <s v="Before 15"/>
    <s v="GTA. ANGEL CAIDO / CALL. FERNAN NUÑEZ"/>
    <s v="RETIRO"/>
    <x v="0"/>
    <s v="Hitting a person"/>
    <x v="1"/>
    <s v="Driver"/>
    <x v="5"/>
    <s v="Male"/>
    <n v="14"/>
  </r>
  <r>
    <s v="2019S030783"/>
    <x v="121"/>
    <d v="1899-12-30T10:40:00"/>
    <n v="10"/>
    <s v="Before 15"/>
    <s v="PASEO. ACACIAS"/>
    <s v="ARGANZUELA"/>
    <x v="0"/>
    <s v="Hitting a person"/>
    <x v="1"/>
    <s v="Driver"/>
    <x v="5"/>
    <s v="Male"/>
    <s v=""/>
  </r>
  <r>
    <s v="2019S031098"/>
    <x v="75"/>
    <d v="1899-12-30T20:40:00"/>
    <n v="20"/>
    <s v="After 15"/>
    <s v="CALL. HACIENDA DE PAVONES / CALL. BRUJAS"/>
    <s v="MORATALAZ"/>
    <x v="2"/>
    <s v="Fall"/>
    <x v="1"/>
    <s v="Driver"/>
    <x v="5"/>
    <s v="Male"/>
    <n v="1"/>
  </r>
  <r>
    <s v="2019S031094"/>
    <x v="75"/>
    <d v="1899-12-30T18:10:00"/>
    <n v="18"/>
    <s v="After 15"/>
    <s v="PLAZA. ALONSO MARTINEZ"/>
    <s v="CHAMBERÍ"/>
    <x v="1"/>
    <s v="Head-on collision"/>
    <x v="4"/>
    <s v="Driver"/>
    <x v="5"/>
    <s v="Male"/>
    <s v=""/>
  </r>
  <r>
    <s v="2019S031256"/>
    <x v="188"/>
    <d v="1899-12-30T21:30:00"/>
    <n v="21"/>
    <s v="After 15"/>
    <s v="PASEO. CASTELLANA"/>
    <s v="CHAMARTÍN"/>
    <x v="1"/>
    <s v="Head-on collision"/>
    <x v="1"/>
    <s v="Driver"/>
    <x v="5"/>
    <s v="Male"/>
    <n v="5"/>
  </r>
  <r>
    <s v="2019S031280"/>
    <x v="124"/>
    <d v="1899-12-30T14:20:00"/>
    <n v="14"/>
    <s v="Before 15"/>
    <s v="CALL. SERRANO"/>
    <s v="CHAMARTÍN"/>
    <x v="1"/>
    <s v="Multiple collision"/>
    <x v="1"/>
    <s v="Driver"/>
    <x v="5"/>
    <s v="Male"/>
    <s v=""/>
  </r>
  <r>
    <s v="2019S031647"/>
    <x v="189"/>
    <d v="1899-12-30T13:20:00"/>
    <n v="13"/>
    <s v="Before 15"/>
    <s v="CMNO. ROBLEDAL"/>
    <s v="MONCLOA-ARAVACA"/>
    <x v="0"/>
    <s v="Lateral collision"/>
    <x v="1"/>
    <s v="Driver"/>
    <x v="5"/>
    <s v="Male"/>
    <n v="7"/>
  </r>
  <r>
    <s v="2019S031619"/>
    <x v="50"/>
    <d v="1899-12-30T22:45:00"/>
    <n v="22"/>
    <s v="After 15"/>
    <s v="CALL. GENOVA / CALL. ARGENSOLA"/>
    <s v="CHAMBERÍ"/>
    <x v="1"/>
    <s v="Fall"/>
    <x v="1"/>
    <s v="Driver"/>
    <x v="5"/>
    <s v="Male"/>
    <n v="2"/>
  </r>
  <r>
    <s v="2019S031721"/>
    <x v="190"/>
    <d v="1899-12-30T20:00:00"/>
    <n v="20"/>
    <s v="After 15"/>
    <s v="CALL. AMOS DE ESCALANTE"/>
    <s v="CIUDAD LINEAL"/>
    <x v="2"/>
    <s v="Hitting a person"/>
    <x v="1"/>
    <s v="Driver"/>
    <x v="5"/>
    <s v="Male"/>
    <n v="14"/>
  </r>
  <r>
    <s v="2019S031798"/>
    <x v="190"/>
    <d v="1899-12-30T19:00:00"/>
    <n v="19"/>
    <s v="After 15"/>
    <s v="CALL. EMBAJADORES"/>
    <s v="ARGANZUELA"/>
    <x v="0"/>
    <s v="Lateral collision"/>
    <x v="1"/>
    <s v="Driver"/>
    <x v="5"/>
    <s v="Female"/>
    <n v="1"/>
  </r>
  <r>
    <s v="2019S031846"/>
    <x v="190"/>
    <d v="1899-12-30T13:30:00"/>
    <n v="13"/>
    <s v="Before 15"/>
    <s v="AVDA. POBLADOS / CALL. GUETARIA"/>
    <s v="USERA"/>
    <x v="0"/>
    <s v="Reach"/>
    <x v="1"/>
    <s v="Driver"/>
    <x v="5"/>
    <s v="Female"/>
    <s v=""/>
  </r>
  <r>
    <s v="2019S031828"/>
    <x v="76"/>
    <d v="1899-12-30T15:45:00"/>
    <n v="15"/>
    <s v="After 15"/>
    <s v="CALL. NUÑEZ DE BALBOA / CALL. JOSE ORTEGA Y GASSET"/>
    <s v="SALAMANCA"/>
    <x v="0"/>
    <s v="Fall"/>
    <x v="1"/>
    <s v="Driver"/>
    <x v="5"/>
    <s v="Female"/>
    <n v="2"/>
  </r>
  <r>
    <s v="2019S031790"/>
    <x v="76"/>
    <d v="1899-12-30T14:45:00"/>
    <n v="14"/>
    <s v="Before 15"/>
    <s v="CALL. CARNICER"/>
    <s v="TETUÁN"/>
    <x v="1"/>
    <s v="Hitting a person"/>
    <x v="1"/>
    <s v="Pedestrian"/>
    <x v="5"/>
    <s v="Female"/>
    <n v="7"/>
  </r>
  <r>
    <s v="2019S031989"/>
    <x v="77"/>
    <d v="1899-12-30T14:10:00"/>
    <n v="14"/>
    <s v="Before 15"/>
    <s v="CALL. SANTA ENGRACIA"/>
    <s v="CHAMBERÍ"/>
    <x v="1"/>
    <s v="Head-on collision"/>
    <x v="1"/>
    <s v="Driver"/>
    <x v="5"/>
    <s v="Female"/>
    <n v="7"/>
  </r>
  <r>
    <s v="2019S031862"/>
    <x v="77"/>
    <d v="1899-12-30T09:38:00"/>
    <n v="9"/>
    <s v="Before 15"/>
    <s v="MINISTERIO DE DEFENSA"/>
    <s v="TETUÁN"/>
    <x v="1"/>
    <s v="Fall"/>
    <x v="1"/>
    <s v="Driver"/>
    <x v="5"/>
    <s v="Male"/>
    <n v="2"/>
  </r>
  <r>
    <s v="2019S031994"/>
    <x v="126"/>
    <d v="1899-12-30T00:05:00"/>
    <n v="0"/>
    <s v="Before 15"/>
    <s v="PASEO. ESPERANZA / PASEO. ESPERANZA"/>
    <s v="ARGANZUELA"/>
    <x v="0"/>
    <s v="Head-on collision"/>
    <x v="1"/>
    <s v="Driver"/>
    <x v="5"/>
    <s v="Male"/>
    <n v="5"/>
  </r>
  <r>
    <s v="2019S032318"/>
    <x v="51"/>
    <d v="1899-12-30T17:15:00"/>
    <n v="17"/>
    <s v="After 15"/>
    <s v="CALL. PALMA / CALL. SAN BERNARDO"/>
    <s v="CENTRO"/>
    <x v="0"/>
    <s v="Reach"/>
    <x v="1"/>
    <s v="Driver"/>
    <x v="5"/>
    <s v="Male"/>
    <n v="6"/>
  </r>
  <r>
    <s v="2019S032458"/>
    <x v="26"/>
    <d v="1899-12-30T15:05:00"/>
    <n v="15"/>
    <s v="After 15"/>
    <s v="CALL. MARIA DE MOLINA / CALL. PRINCIPE DE VERGARA"/>
    <s v="SALAMANCA"/>
    <x v="0"/>
    <s v="Head-on collision"/>
    <x v="1"/>
    <s v="Driver"/>
    <x v="5"/>
    <s v="Female"/>
    <n v="7"/>
  </r>
  <r>
    <s v="2019S032806"/>
    <x v="191"/>
    <d v="1899-12-30T13:41:00"/>
    <n v="13"/>
    <s v="Before 15"/>
    <s v="CALL. VIRGEN DE LA ALEGRIA"/>
    <s v="CIUDAD LINEAL"/>
    <x v="2"/>
    <s v="Head-on collision"/>
    <x v="1"/>
    <s v="Driver"/>
    <x v="5"/>
    <s v="Male"/>
    <n v="7"/>
  </r>
  <r>
    <s v="2019S032872"/>
    <x v="191"/>
    <d v="1899-12-30T01:15:00"/>
    <n v="1"/>
    <s v="Before 15"/>
    <s v="CALL. ALFONSO XII"/>
    <s v="RETIRO"/>
    <x v="0"/>
    <s v="Head-on collision"/>
    <x v="1"/>
    <s v="Driver"/>
    <x v="5"/>
    <s v="Male"/>
    <n v="2"/>
  </r>
  <r>
    <s v="2019S032978"/>
    <x v="128"/>
    <d v="1899-12-30T20:40:00"/>
    <n v="20"/>
    <s v="After 15"/>
    <s v="CALL. JOSE ORTEGA Y GASSET / PLAZA. MARQUES DE SALAMANCA"/>
    <s v="SALAMANCA"/>
    <x v="0"/>
    <s v="Fall"/>
    <x v="3"/>
    <s v="Driver"/>
    <x v="5"/>
    <s v="Female"/>
    <n v="7"/>
  </r>
  <r>
    <s v="2019S032883"/>
    <x v="128"/>
    <d v="1899-12-30T10:30:00"/>
    <n v="10"/>
    <s v="Before 15"/>
    <s v="PLAZA. PUERTA CERRADA"/>
    <s v="CENTRO"/>
    <x v="0"/>
    <s v="Head-on collision"/>
    <x v="1"/>
    <s v="Driver"/>
    <x v="5"/>
    <s v="Female"/>
    <n v="1"/>
  </r>
  <r>
    <s v="2019S033115"/>
    <x v="192"/>
    <d v="1899-12-30T23:20:00"/>
    <n v="23"/>
    <s v="After 15"/>
    <s v="CALL. DUQUE DE SESTO"/>
    <s v="SALAMANCA"/>
    <x v="0"/>
    <s v="Reach"/>
    <x v="1"/>
    <s v="Driver"/>
    <x v="5"/>
    <s v="Male"/>
    <s v=""/>
  </r>
  <r>
    <s v="2019S033316"/>
    <x v="79"/>
    <d v="1899-12-30T20:00:00"/>
    <n v="20"/>
    <s v="After 15"/>
    <s v="CALL. AGUSTIN DE FOXA"/>
    <s v="CHAMARTÍN"/>
    <x v="1"/>
    <s v="Fall"/>
    <x v="1"/>
    <s v="Driver"/>
    <x v="5"/>
    <s v="Female"/>
    <n v="5"/>
  </r>
  <r>
    <s v="2019S033546"/>
    <x v="80"/>
    <d v="1899-12-30T14:00:00"/>
    <n v="14"/>
    <s v="Before 15"/>
    <s v="CALL. BRAVO MURILLO"/>
    <s v="TETUÁN"/>
    <x v="1"/>
    <s v="Lateral collision"/>
    <x v="1"/>
    <s v="Driver"/>
    <x v="5"/>
    <s v="Female"/>
    <n v="14"/>
  </r>
  <r>
    <s v="2019S034015"/>
    <x v="193"/>
    <d v="1899-12-30T09:30:00"/>
    <n v="9"/>
    <s v="Before 15"/>
    <s v="CALL. DIEGO DE LEON / CALL. PRINCIPE DE VERGARA"/>
    <s v="SALAMANCA"/>
    <x v="0"/>
    <s v="Head-on collision"/>
    <x v="1"/>
    <s v="Driver"/>
    <x v="5"/>
    <s v="Male"/>
    <n v="5"/>
  </r>
  <r>
    <s v="2019S034336"/>
    <x v="194"/>
    <d v="1899-12-30T11:00:00"/>
    <n v="11"/>
    <s v="Before 15"/>
    <s v="CALL. SAN CONRADO / AVDA. MANZANARES"/>
    <s v="LATINA"/>
    <x v="0"/>
    <s v="Head-on collision"/>
    <x v="1"/>
    <s v="Driver"/>
    <x v="5"/>
    <s v="Male"/>
    <s v=""/>
  </r>
  <r>
    <s v="2019S034953"/>
    <x v="195"/>
    <d v="1899-12-30T16:45:00"/>
    <n v="16"/>
    <s v="After 15"/>
    <s v="PASEO. PRADO / PLAZA. CIBELES"/>
    <s v="RETIRO"/>
    <x v="0"/>
    <s v="Lateral collision"/>
    <x v="1"/>
    <s v="Driver"/>
    <x v="5"/>
    <s v="Female"/>
    <s v=""/>
  </r>
  <r>
    <s v="2019S035414"/>
    <x v="196"/>
    <d v="1899-12-30T15:30:00"/>
    <n v="15"/>
    <s v="After 15"/>
    <s v="PASEO. CHOPERA"/>
    <s v="ARGANZUELA"/>
    <x v="0"/>
    <s v="Hitting a person"/>
    <x v="1"/>
    <s v="Driver"/>
    <x v="5"/>
    <s v="Male"/>
    <n v="7"/>
  </r>
  <r>
    <s v="2019S035414"/>
    <x v="196"/>
    <d v="1899-12-30T15:30:00"/>
    <n v="15"/>
    <s v="After 15"/>
    <s v="PASEO. CHOPERA"/>
    <s v="ARGANZUELA"/>
    <x v="0"/>
    <s v="Hitting a person"/>
    <x v="1"/>
    <s v="Pedestrian"/>
    <x v="5"/>
    <s v="Male"/>
    <n v="14"/>
  </r>
  <r>
    <s v="2019S035586"/>
    <x v="197"/>
    <d v="1899-12-30T21:45:00"/>
    <n v="21"/>
    <s v="After 15"/>
    <s v="CALL. GENERAL ALVAREZ DE CASTRO / CALL. ELOY GONZALO"/>
    <s v="CHAMBERÍ"/>
    <x v="1"/>
    <s v="Reach"/>
    <x v="1"/>
    <s v="Driver"/>
    <x v="5"/>
    <s v="Female"/>
    <n v="7"/>
  </r>
  <r>
    <s v="2019S035805"/>
    <x v="82"/>
    <d v="1899-12-30T20:45:00"/>
    <n v="20"/>
    <s v="After 15"/>
    <s v="PASEO. ESPERANZA / CALL. MORATINES"/>
    <s v="ARGANZUELA"/>
    <x v="0"/>
    <s v="Head-on collision"/>
    <x v="0"/>
    <s v="Driver"/>
    <x v="5"/>
    <s v="Male"/>
    <n v="7"/>
  </r>
  <r>
    <s v="2019S035904"/>
    <x v="198"/>
    <d v="1899-12-30T20:15:00"/>
    <n v="20"/>
    <s v="After 15"/>
    <s v="AVDA. ALFONSO XIII"/>
    <s v="CHAMARTÍN"/>
    <x v="1"/>
    <s v="Lateral collision"/>
    <x v="1"/>
    <s v="Driver"/>
    <x v="5"/>
    <s v="Male"/>
    <n v="7"/>
  </r>
  <r>
    <s v="2019S036046"/>
    <x v="199"/>
    <d v="1899-12-30T15:15:00"/>
    <n v="15"/>
    <s v="After 15"/>
    <s v="CALL. SERRANO / CALL. AYALA"/>
    <s v="SALAMANCA"/>
    <x v="0"/>
    <s v="Reach"/>
    <x v="1"/>
    <s v="Driver"/>
    <x v="5"/>
    <s v="Female"/>
    <s v=""/>
  </r>
  <r>
    <s v="2019S036377"/>
    <x v="200"/>
    <d v="1899-12-30T21:15:00"/>
    <n v="21"/>
    <s v="After 15"/>
    <s v="GTA. SAN VICENTE"/>
    <s v="MONCLOA-ARAVACA"/>
    <x v="0"/>
    <s v="Fall"/>
    <x v="3"/>
    <s v="Driver"/>
    <x v="5"/>
    <s v="Male"/>
    <n v="5"/>
  </r>
  <r>
    <s v="2019S036525"/>
    <x v="201"/>
    <d v="1899-12-30T20:50:00"/>
    <n v="20"/>
    <s v="After 15"/>
    <s v="AVDA. BRASILIA / AVDA. BADAJOZ"/>
    <s v="SALAMANCA"/>
    <x v="0"/>
    <s v="Lateral collision"/>
    <x v="3"/>
    <s v="Driver"/>
    <x v="5"/>
    <s v="Female"/>
    <n v="7"/>
  </r>
  <r>
    <s v="2019S036820"/>
    <x v="202"/>
    <d v="1899-12-30T20:45:00"/>
    <n v="20"/>
    <s v="After 15"/>
    <s v="GTA. RUIZ JIMENEZ / CALL. SAN BERNARDO"/>
    <s v="CENTRO"/>
    <x v="0"/>
    <s v="Head-on collision"/>
    <x v="1"/>
    <s v="Driver"/>
    <x v="5"/>
    <s v="Male"/>
    <n v="7"/>
  </r>
  <r>
    <s v="2019S036846"/>
    <x v="203"/>
    <d v="1899-12-30T22:50:00"/>
    <n v="22"/>
    <s v="After 15"/>
    <s v="PLAZA. ALONSO MARTINEZ / CALL. SANTA ENGRACIA"/>
    <s v="CHAMBERÍ"/>
    <x v="1"/>
    <s v="Fall"/>
    <x v="3"/>
    <s v="Driver"/>
    <x v="5"/>
    <s v="Female"/>
    <n v="7"/>
  </r>
  <r>
    <s v="2019S037342"/>
    <x v="204"/>
    <d v="1899-12-30T23:30:00"/>
    <n v="23"/>
    <s v="After 15"/>
    <s v="PASEO. SANTA MARIA DE LA CABEZA / CALL. MARCELO USERA"/>
    <s v="ARGANZUELA"/>
    <x v="0"/>
    <s v="Head-on collision"/>
    <x v="3"/>
    <s v="Driver"/>
    <x v="5"/>
    <s v="Male"/>
    <n v="7"/>
  </r>
  <r>
    <s v="2019S037835"/>
    <x v="205"/>
    <d v="1899-12-30T16:00:00"/>
    <n v="16"/>
    <s v="After 15"/>
    <s v="CALL. DOBLA / AVDA. POBLADOS"/>
    <s v="CARABANCHEL"/>
    <x v="0"/>
    <s v="Head-on collision"/>
    <x v="3"/>
    <s v="Driver"/>
    <x v="5"/>
    <s v="Male"/>
    <n v="6"/>
  </r>
  <r>
    <s v="2019S037723"/>
    <x v="206"/>
    <d v="1899-12-30T01:00:00"/>
    <n v="1"/>
    <s v="Before 15"/>
    <s v="PASEO. CASTELLANA"/>
    <s v="CHAMARTÍN"/>
    <x v="1"/>
    <s v="Head-on collision"/>
    <x v="1"/>
    <s v="Driver"/>
    <x v="5"/>
    <s v="Female"/>
    <n v="7"/>
  </r>
  <r>
    <s v="2019S038688"/>
    <x v="207"/>
    <d v="1899-12-30T08:15:00"/>
    <n v="8"/>
    <s v="Before 15"/>
    <s v="CALL. SERRANO"/>
    <s v="CHAMARTÍN"/>
    <x v="1"/>
    <s v="Fall"/>
    <x v="3"/>
    <s v="Driver"/>
    <x v="5"/>
    <s v="Male"/>
    <n v="2"/>
  </r>
  <r>
    <s v="2019S038971"/>
    <x v="208"/>
    <d v="1899-12-30T03:30:00"/>
    <n v="3"/>
    <s v="Before 15"/>
    <s v="PLAZA. SANTA BARBARA"/>
    <s v="CENTRO"/>
    <x v="0"/>
    <s v="Fall"/>
    <x v="5"/>
    <s v="Driver"/>
    <x v="5"/>
    <s v="Female"/>
    <n v="1"/>
  </r>
  <r>
    <s v="2019S039263"/>
    <x v="209"/>
    <d v="1899-12-30T00:15:00"/>
    <n v="0"/>
    <s v="Before 15"/>
    <s v="CALL. CARRANZA"/>
    <s v="CENTRO"/>
    <x v="0"/>
    <s v="Lateral collision"/>
    <x v="1"/>
    <s v="Driver"/>
    <x v="5"/>
    <s v="Male"/>
    <n v="2"/>
  </r>
  <r>
    <s v="2019S000306"/>
    <x v="210"/>
    <d v="1899-12-30T17:10:00"/>
    <n v="17"/>
    <s v="After 15"/>
    <s v="CALL. PRADILLO"/>
    <s v="CHAMARTÍN"/>
    <x v="1"/>
    <s v="Head-on collision"/>
    <x v="1"/>
    <s v="Driver"/>
    <x v="6"/>
    <s v="Male"/>
    <n v="7"/>
  </r>
  <r>
    <s v="2019S000904"/>
    <x v="211"/>
    <d v="1899-12-30T14:00:00"/>
    <n v="14"/>
    <s v="Before 15"/>
    <s v="CALL. NUESTRA SEÑORA DE VALVERDE / CALL. DOCTOR JUAN BRAVO"/>
    <s v="FUENCARRAL-EL PARDO"/>
    <x v="1"/>
    <s v="Head-on collision"/>
    <x v="1"/>
    <s v="Driver"/>
    <x v="6"/>
    <s v="Male"/>
    <n v="7"/>
  </r>
  <r>
    <s v="2019S001943"/>
    <x v="29"/>
    <d v="1899-12-30T14:50:00"/>
    <n v="14"/>
    <s v="Before 15"/>
    <s v="CALL. ANTONIO DE LEYVA"/>
    <s v="CARABANCHEL"/>
    <x v="0"/>
    <s v="Lateral collision"/>
    <x v="1"/>
    <s v="Driver"/>
    <x v="6"/>
    <s v="Male"/>
    <n v="7"/>
  </r>
  <r>
    <s v="2019S004582"/>
    <x v="143"/>
    <d v="1899-12-30T11:10:00"/>
    <n v="11"/>
    <s v="Before 15"/>
    <s v="CTRA. EL PARDO A FUENCARRAL"/>
    <s v="FUENCARRAL-EL PARDO"/>
    <x v="1"/>
    <s v="Fall"/>
    <x v="1"/>
    <s v="Driver"/>
    <x v="6"/>
    <s v="Male"/>
    <n v="2"/>
  </r>
  <r>
    <s v="2019S007634"/>
    <x v="212"/>
    <d v="1899-12-30T19:58:00"/>
    <n v="19"/>
    <s v="After 15"/>
    <s v="AVDA. ALBUFERA / CALL. PUERTO DE CANFRANC"/>
    <s v="PUENTE DE VALLECAS"/>
    <x v="0"/>
    <s v="Other"/>
    <x v="1"/>
    <s v="Driver"/>
    <x v="6"/>
    <s v="Male"/>
    <n v="14"/>
  </r>
  <r>
    <s v="2019S006649"/>
    <x v="11"/>
    <d v="1899-12-30T11:41:00"/>
    <n v="11"/>
    <s v="Before 15"/>
    <s v="CALL. TOMASA RUIZ"/>
    <s v="CARABANCHEL"/>
    <x v="0"/>
    <s v="Crash into fixed obstacle"/>
    <x v="1"/>
    <s v="Driver"/>
    <x v="6"/>
    <s v="Male"/>
    <s v=""/>
  </r>
  <r>
    <s v="2019S008855"/>
    <x v="31"/>
    <d v="1899-12-30T19:40:00"/>
    <n v="19"/>
    <s v="After 15"/>
    <s v="CALL. AGUSTIN DE FOXA"/>
    <s v="CHAMARTÍN"/>
    <x v="1"/>
    <s v="Head-on collision"/>
    <x v="1"/>
    <s v="Driver"/>
    <x v="6"/>
    <s v="Male"/>
    <n v="6"/>
  </r>
  <r>
    <s v="2019S009136"/>
    <x v="213"/>
    <d v="1899-12-30T16:10:00"/>
    <n v="16"/>
    <s v="After 15"/>
    <s v="CALL. VALLEHERMOSO / CALL. FERNANDEZ DE LOS RIOS"/>
    <s v="CHAMBERÍ"/>
    <x v="1"/>
    <s v="Reach"/>
    <x v="4"/>
    <s v="Driver"/>
    <x v="6"/>
    <s v="Male"/>
    <s v=""/>
  </r>
  <r>
    <s v="2019S010365"/>
    <x v="148"/>
    <d v="1899-12-30T19:05:00"/>
    <n v="19"/>
    <s v="After 15"/>
    <s v="GTA. QUEVEDO / CALL. SAN BERNARDO"/>
    <s v="CHAMBERÍ"/>
    <x v="1"/>
    <s v="Lateral collision"/>
    <x v="1"/>
    <s v="Driver"/>
    <x v="6"/>
    <s v="Male"/>
    <n v="7"/>
  </r>
  <r>
    <s v="2019S013570"/>
    <x v="214"/>
    <d v="1899-12-30T16:50:00"/>
    <n v="16"/>
    <s v="After 15"/>
    <s v="CALL. ESPARTEROS"/>
    <s v="CENTRO"/>
    <x v="0"/>
    <s v="Fall"/>
    <x v="1"/>
    <s v="Driver"/>
    <x v="6"/>
    <s v="Female"/>
    <n v="1"/>
  </r>
  <r>
    <s v="2019S014303"/>
    <x v="57"/>
    <d v="1899-12-30T12:45:00"/>
    <n v="12"/>
    <s v="Before 15"/>
    <s v="PASEO. CASTELLANA"/>
    <s v="CHAMARTÍN"/>
    <x v="1"/>
    <s v="Lateral collision"/>
    <x v="1"/>
    <s v="Driver"/>
    <x v="6"/>
    <s v="Female"/>
    <n v="1"/>
  </r>
  <r>
    <s v="2019S016338"/>
    <x v="215"/>
    <d v="1899-12-30T17:30:00"/>
    <n v="17"/>
    <s v="After 15"/>
    <s v="CALL. ALMAGRO"/>
    <s v="CHAMBERÍ"/>
    <x v="1"/>
    <s v="Reach"/>
    <x v="1"/>
    <s v="Driver"/>
    <x v="6"/>
    <s v="Male"/>
    <n v="7"/>
  </r>
  <r>
    <s v="2019S017217"/>
    <x v="152"/>
    <d v="1899-12-30T16:30:00"/>
    <n v="16"/>
    <s v="After 15"/>
    <s v="CALLE ALACALA - PASEO DEL PRADO"/>
    <s v="CENTRO"/>
    <x v="0"/>
    <s v="Fall"/>
    <x v="1"/>
    <s v="Driver"/>
    <x v="6"/>
    <s v="Female"/>
    <n v="7"/>
  </r>
  <r>
    <s v="2019S018461"/>
    <x v="216"/>
    <d v="1899-12-30T13:05:00"/>
    <n v="13"/>
    <s v="Before 15"/>
    <s v="PASEO. RECOLETOS / CALL. GENOVA"/>
    <s v="CENTRO"/>
    <x v="0"/>
    <s v="Other"/>
    <x v="0"/>
    <s v="Driver"/>
    <x v="6"/>
    <s v="Male"/>
    <n v="7"/>
  </r>
  <r>
    <s v="2019S018552"/>
    <x v="38"/>
    <d v="1899-12-30T09:00:00"/>
    <n v="9"/>
    <s v="Before 15"/>
    <s v="CALL. SAN GERMAN / CALL. POETA JOAN MARAGALL"/>
    <s v="TETUÁN"/>
    <x v="1"/>
    <s v="Lateral collision"/>
    <x v="1"/>
    <s v="Driver"/>
    <x v="6"/>
    <s v="Male"/>
    <n v="1"/>
  </r>
  <r>
    <s v="2019S018648"/>
    <x v="158"/>
    <d v="1899-12-30T12:10:00"/>
    <n v="12"/>
    <s v="Before 15"/>
    <s v="CALL. POETA JOAN MARAGALL / CALL. SOR ANGELA DE LA CRUZ"/>
    <s v="TETUÁN"/>
    <x v="1"/>
    <s v="Head-on collision"/>
    <x v="1"/>
    <s v="Driver"/>
    <x v="6"/>
    <s v="Male"/>
    <n v="7"/>
  </r>
  <r>
    <s v="2019S018960"/>
    <x v="217"/>
    <d v="1899-12-30T16:45:00"/>
    <n v="16"/>
    <s v="After 15"/>
    <s v="CALL. MESON DE PAREDES / RONDA. VALENCIA"/>
    <s v="CENTRO"/>
    <x v="0"/>
    <s v="Reach"/>
    <x v="1"/>
    <s v="Driver"/>
    <x v="6"/>
    <s v="Male"/>
    <n v="7"/>
  </r>
  <r>
    <s v="2019S018902"/>
    <x v="159"/>
    <d v="1899-12-30T08:30:00"/>
    <n v="8"/>
    <s v="Before 15"/>
    <s v="CALL. SANTA ISABEL"/>
    <s v="CENTRO"/>
    <x v="0"/>
    <s v="Fall"/>
    <x v="1"/>
    <s v="Driver"/>
    <x v="6"/>
    <s v="Female"/>
    <n v="5"/>
  </r>
  <r>
    <s v="2019S019257"/>
    <x v="60"/>
    <d v="1899-12-30T21:00:00"/>
    <n v="21"/>
    <s v="After 15"/>
    <s v="CALL. SANTA ENGRACIA"/>
    <s v="CHAMBERÍ"/>
    <x v="1"/>
    <s v="Head-on collision"/>
    <x v="1"/>
    <s v="Driver"/>
    <x v="6"/>
    <s v="Male"/>
    <n v="7"/>
  </r>
  <r>
    <s v="2019S019733"/>
    <x v="95"/>
    <d v="1899-12-30T10:40:00"/>
    <n v="10"/>
    <s v="Before 15"/>
    <s v="CALL. JULIA GARCIA BOUTAN / CALL. SOFIA"/>
    <s v="SAN BLAS-CANILLEJAS"/>
    <x v="2"/>
    <s v="Head-on collision"/>
    <x v="1"/>
    <s v="Driver"/>
    <x v="6"/>
    <s v="Male"/>
    <n v="2"/>
  </r>
  <r>
    <s v="2019S019986"/>
    <x v="218"/>
    <d v="1899-12-30T17:15:00"/>
    <n v="17"/>
    <s v="After 15"/>
    <s v="CTRA. M-616, +00600S"/>
    <s v="FUENCARRAL-EL PARDO"/>
    <x v="1"/>
    <s v="Lateral collision"/>
    <x v="1"/>
    <s v="Driver"/>
    <x v="6"/>
    <s v="Male"/>
    <n v="2"/>
  </r>
  <r>
    <s v="2019S020526"/>
    <x v="39"/>
    <d v="1899-12-30T13:30:00"/>
    <n v="13"/>
    <s v="Before 15"/>
    <s v="CALL. SANTA ENGRACIA / CALL. MANUEL GONZALEZ LONGORIA"/>
    <s v="CHAMBERÍ"/>
    <x v="1"/>
    <s v="Head-on collision"/>
    <x v="1"/>
    <s v="Driver"/>
    <x v="6"/>
    <s v="Female"/>
    <n v="7"/>
  </r>
  <r>
    <s v="2019S020756"/>
    <x v="1"/>
    <d v="1899-12-30T20:00:00"/>
    <n v="20"/>
    <s v="After 15"/>
    <s v="CALL. HERNANI"/>
    <s v="TETUÁN"/>
    <x v="1"/>
    <s v="Reach"/>
    <x v="1"/>
    <s v="Driver"/>
    <x v="6"/>
    <s v="Male"/>
    <n v="7"/>
  </r>
  <r>
    <s v="2019S021079"/>
    <x v="14"/>
    <d v="1899-12-30T14:30:00"/>
    <n v="14"/>
    <s v="Before 15"/>
    <s v="CALL. ISABEL LA CATOLICA"/>
    <s v="CENTRO"/>
    <x v="0"/>
    <s v="Fall"/>
    <x v="1"/>
    <s v="Driver"/>
    <x v="6"/>
    <s v="Male"/>
    <n v="7"/>
  </r>
  <r>
    <s v="2019S021460"/>
    <x v="100"/>
    <d v="1899-12-30T04:15:00"/>
    <n v="4"/>
    <s v="Before 15"/>
    <s v="CALL. BRAVO MURILLO"/>
    <s v="TETUÁN"/>
    <x v="1"/>
    <s v="Fall"/>
    <x v="1"/>
    <s v="Driver"/>
    <x v="6"/>
    <s v="Female"/>
    <n v="7"/>
  </r>
  <r>
    <s v="2019S021730"/>
    <x v="16"/>
    <d v="1899-12-30T19:00:00"/>
    <n v="19"/>
    <s v="After 15"/>
    <s v="PASEO. FERNAN NUÑEZ"/>
    <s v="RETIRO"/>
    <x v="0"/>
    <s v="Fall"/>
    <x v="1"/>
    <s v="Driver"/>
    <x v="6"/>
    <s v="Female"/>
    <n v="7"/>
  </r>
  <r>
    <s v="2019S022810"/>
    <x v="63"/>
    <d v="1899-12-30T12:55:00"/>
    <n v="12"/>
    <s v="Before 15"/>
    <s v="SENDA CICLABLE-AV.ROSALES-CARRET.VILLAV. A VALLECA"/>
    <s v="VILLAVERDE"/>
    <x v="0"/>
    <s v="Hitting a person"/>
    <x v="1"/>
    <s v="Pedestrian"/>
    <x v="6"/>
    <s v="Female"/>
    <n v="7"/>
  </r>
  <r>
    <s v="2019S022923"/>
    <x v="164"/>
    <d v="1899-12-30T15:22:00"/>
    <n v="15"/>
    <s v="After 15"/>
    <s v="GTA. RUBEN DARIO"/>
    <s v="CHAMBERÍ"/>
    <x v="1"/>
    <s v="Hitting a person"/>
    <x v="1"/>
    <s v="Pedestrian"/>
    <x v="6"/>
    <s v="Female"/>
    <n v="6"/>
  </r>
  <r>
    <s v="2019S023412"/>
    <x v="219"/>
    <d v="1899-12-30T21:40:00"/>
    <n v="21"/>
    <s v="After 15"/>
    <s v="GTA. BILBAO / CALL. FUENCARRAL"/>
    <s v="CENTRO"/>
    <x v="0"/>
    <s v="Reach"/>
    <x v="1"/>
    <s v="Driver"/>
    <x v="6"/>
    <s v="Male"/>
    <n v="7"/>
  </r>
  <r>
    <s v="2019S023770"/>
    <x v="45"/>
    <d v="1899-12-30T08:50:00"/>
    <n v="8"/>
    <s v="Before 15"/>
    <s v="PLAZA. ELIPTICA"/>
    <s v="USERA"/>
    <x v="0"/>
    <s v="Lateral collision"/>
    <x v="1"/>
    <s v="Driver"/>
    <x v="6"/>
    <s v="Male"/>
    <s v=""/>
  </r>
  <r>
    <s v="2019S023851"/>
    <x v="220"/>
    <d v="1899-12-30T03:55:00"/>
    <n v="3"/>
    <s v="Before 15"/>
    <s v="CALL. RIOS ROSAS / CALL. PONZANO"/>
    <s v="CHAMBERÍ"/>
    <x v="1"/>
    <s v="Fall"/>
    <x v="1"/>
    <s v="Driver"/>
    <x v="6"/>
    <s v="Male"/>
    <n v="7"/>
  </r>
  <r>
    <s v="2019S024007"/>
    <x v="107"/>
    <d v="1899-12-30T10:40:00"/>
    <n v="10"/>
    <s v="Before 15"/>
    <s v="CALL. BRAVO MURILLO"/>
    <s v="TETUÁN"/>
    <x v="1"/>
    <s v="Crash into fixed obstacle"/>
    <x v="1"/>
    <s v="Driver"/>
    <x v="6"/>
    <s v="Male"/>
    <n v="14"/>
  </r>
  <r>
    <s v="2019S024749"/>
    <x v="221"/>
    <d v="1899-12-30T20:15:00"/>
    <n v="20"/>
    <s v="After 15"/>
    <s v="AVDA. CORDOBA"/>
    <s v="USERA"/>
    <x v="0"/>
    <s v="Fall"/>
    <x v="1"/>
    <s v="Driver"/>
    <x v="6"/>
    <s v="Male"/>
    <n v="1"/>
  </r>
  <r>
    <s v="2019S024613"/>
    <x v="221"/>
    <d v="1899-12-30T20:00:00"/>
    <n v="20"/>
    <s v="After 15"/>
    <s v="CALL. VIRGEN DE LA ALEGRIA"/>
    <s v="CIUDAD LINEAL"/>
    <x v="2"/>
    <s v="Reach"/>
    <x v="1"/>
    <s v="Driver"/>
    <x v="6"/>
    <s v="Male"/>
    <n v="3"/>
  </r>
  <r>
    <s v="2019S024575"/>
    <x v="221"/>
    <d v="1899-12-30T07:25:00"/>
    <n v="7"/>
    <s v="Before 15"/>
    <s v="AVENIDA DE LA GAVIA-AVENIDA DEL MAYORAZGO"/>
    <s v="VILLA DE VALLECAS"/>
    <x v="0"/>
    <s v="Head-on collision"/>
    <x v="1"/>
    <s v="Driver"/>
    <x v="6"/>
    <s v="Male"/>
    <n v="7"/>
  </r>
  <r>
    <s v="2019S025093"/>
    <x v="110"/>
    <d v="1899-12-30T20:00:00"/>
    <n v="20"/>
    <s v="After 15"/>
    <s v="AVDA. MAYORAZGO / CALL. CINCOVILLAS"/>
    <s v="VILLA DE VALLECAS"/>
    <x v="0"/>
    <s v="Reach"/>
    <x v="1"/>
    <s v="Driver"/>
    <x v="6"/>
    <s v="Male"/>
    <n v="7"/>
  </r>
  <r>
    <s v="2019S024986"/>
    <x v="110"/>
    <d v="1899-12-30T11:15:00"/>
    <n v="11"/>
    <s v="Before 15"/>
    <s v="CALL. PUEBLA / CALL. BARCO"/>
    <s v="CENTRO"/>
    <x v="0"/>
    <s v="Head-on collision"/>
    <x v="1"/>
    <s v="Driver"/>
    <x v="6"/>
    <s v="Female"/>
    <n v="2"/>
  </r>
  <r>
    <s v="2019S025143"/>
    <x v="111"/>
    <d v="1899-12-30T07:57:00"/>
    <n v="7"/>
    <s v="Before 15"/>
    <s v="IDB. PARQUE LINEAL DEL MANZANARES"/>
    <s v="PUENTE DE VALLECAS"/>
    <x v="0"/>
    <s v="Head-on collision"/>
    <x v="1"/>
    <s v="Driver"/>
    <x v="6"/>
    <s v="Male"/>
    <n v="7"/>
  </r>
  <r>
    <s v="2019S025348"/>
    <x v="66"/>
    <d v="1899-12-30T09:20:00"/>
    <n v="9"/>
    <s v="Before 15"/>
    <s v="CTRA. RODAJOS"/>
    <s v="MONCLOA-ARAVACA"/>
    <x v="0"/>
    <s v="Hitting a person"/>
    <x v="1"/>
    <s v="Driver"/>
    <x v="6"/>
    <s v="Male"/>
    <n v="7"/>
  </r>
  <r>
    <s v="2019S025527"/>
    <x v="112"/>
    <d v="1899-12-30T09:30:00"/>
    <n v="9"/>
    <s v="Before 15"/>
    <s v="PUERTA PRINCIPAL ZOO"/>
    <s v="MONCLOA-ARAVACA"/>
    <x v="0"/>
    <s v="Fall"/>
    <x v="1"/>
    <s v="Driver"/>
    <x v="6"/>
    <s v="Male"/>
    <n v="5"/>
  </r>
  <r>
    <s v="2019S025762"/>
    <x v="222"/>
    <d v="1899-12-30T10:37:00"/>
    <n v="10"/>
    <s v="Before 15"/>
    <s v="CALL. SERRANO / CALL. MARIA DE MOLINA"/>
    <s v="SALAMANCA"/>
    <x v="0"/>
    <s v="Head-on collision"/>
    <x v="1"/>
    <s v="Driver"/>
    <x v="6"/>
    <s v="Female"/>
    <n v="7"/>
  </r>
  <r>
    <s v="2019S025950"/>
    <x v="170"/>
    <d v="1899-12-30T15:25:00"/>
    <n v="15"/>
    <s v="After 15"/>
    <s v="CALL. RODRIGUEZ MARIN"/>
    <s v="CHAMARTÍN"/>
    <x v="1"/>
    <s v="Head-on collision"/>
    <x v="1"/>
    <s v="Driver"/>
    <x v="6"/>
    <s v="Male"/>
    <n v="5"/>
  </r>
  <r>
    <s v="2019S025926"/>
    <x v="223"/>
    <d v="1899-12-30T09:30:00"/>
    <n v="9"/>
    <s v="Before 15"/>
    <s v="CRUCE C/ALCALA CON C/ TAMPICO"/>
    <s v="SAN BLAS-CANILLEJAS"/>
    <x v="2"/>
    <s v="Lateral collision"/>
    <x v="1"/>
    <s v="Driver"/>
    <x v="6"/>
    <s v="Male"/>
    <n v="7"/>
  </r>
  <r>
    <s v="2019S026315"/>
    <x v="21"/>
    <d v="1899-12-30T12:45:00"/>
    <n v="12"/>
    <s v="Before 15"/>
    <s v="PASEO. FERNAN NUÑEZ"/>
    <s v="RETIRO"/>
    <x v="0"/>
    <s v="Hitting a person"/>
    <x v="1"/>
    <s v="Driver"/>
    <x v="6"/>
    <s v="Female"/>
    <n v="7"/>
  </r>
  <r>
    <s v="2019S026301"/>
    <x v="21"/>
    <d v="1899-12-30T09:40:00"/>
    <n v="9"/>
    <s v="Before 15"/>
    <s v="CALL. MARTINEZ DE LA RIVA / CALL. CACHERO"/>
    <s v="PUENTE DE VALLECAS"/>
    <x v="0"/>
    <s v="Reach"/>
    <x v="1"/>
    <s v="Driver"/>
    <x v="6"/>
    <s v="Male"/>
    <s v=""/>
  </r>
  <r>
    <s v="2019S026355"/>
    <x v="224"/>
    <d v="1899-12-30T18:50:00"/>
    <n v="18"/>
    <s v="After 15"/>
    <s v="CALL. O'DONNELL"/>
    <s v="RETIRO"/>
    <x v="0"/>
    <s v="Fall"/>
    <x v="1"/>
    <s v="Driver"/>
    <x v="6"/>
    <s v="Female"/>
    <n v="5"/>
  </r>
  <r>
    <s v="2019S026995"/>
    <x v="4"/>
    <d v="1899-12-30T10:00:00"/>
    <n v="10"/>
    <s v="Before 15"/>
    <s v="PASEO. CASTELLANA"/>
    <s v="CHAMARTÍN"/>
    <x v="1"/>
    <s v="Head-on collision"/>
    <x v="1"/>
    <s v="Driver"/>
    <x v="6"/>
    <s v="Female"/>
    <s v=""/>
  </r>
  <r>
    <s v="2019S026886"/>
    <x v="115"/>
    <d v="1899-12-30T19:30:00"/>
    <n v="19"/>
    <s v="After 15"/>
    <s v="PASEO. RECOLETOS"/>
    <s v="CENTRO"/>
    <x v="0"/>
    <s v="Fall"/>
    <x v="1"/>
    <s v="Driver"/>
    <x v="6"/>
    <s v="Male"/>
    <n v="1"/>
  </r>
  <r>
    <s v="2019S027418"/>
    <x v="116"/>
    <d v="1899-12-30T19:05:00"/>
    <n v="19"/>
    <s v="After 15"/>
    <s v="CALL. SANTA MARIA LA REAL DE NIEVA"/>
    <s v="ARGANZUELA"/>
    <x v="0"/>
    <s v="Head-on collision"/>
    <x v="1"/>
    <s v="Driver"/>
    <x v="6"/>
    <s v="Male"/>
    <n v="14"/>
  </r>
  <r>
    <s v="2019S027371"/>
    <x v="116"/>
    <d v="1899-12-30T08:15:00"/>
    <n v="8"/>
    <s v="Before 15"/>
    <s v="AVDA. SUR DEL AEROPUERTO DE BARAJAS / AUTOV. M-22"/>
    <s v="BARAJAS"/>
    <x v="2"/>
    <s v="Head-on collision"/>
    <x v="1"/>
    <s v="Driver"/>
    <x v="6"/>
    <s v="Male"/>
    <n v="2"/>
  </r>
  <r>
    <s v="2019S027558"/>
    <x v="225"/>
    <d v="1899-12-30T19:45:00"/>
    <n v="19"/>
    <s v="After 15"/>
    <s v="CMNO. POZO DEL TIO RAIMUNDO"/>
    <s v="VILLA DE VALLECAS"/>
    <x v="0"/>
    <s v="Reach"/>
    <x v="1"/>
    <s v="Driver"/>
    <x v="6"/>
    <s v="Male"/>
    <n v="7"/>
  </r>
  <r>
    <s v="2019S027511"/>
    <x v="225"/>
    <d v="1899-12-30T09:47:00"/>
    <n v="9"/>
    <s v="Before 15"/>
    <s v="CALL. UNANIMIDAD / CALL. TERTULIA"/>
    <s v="VILLAVERDE"/>
    <x v="0"/>
    <s v="Head-on collision"/>
    <x v="1"/>
    <s v="Driver"/>
    <x v="6"/>
    <s v="Female"/>
    <n v="7"/>
  </r>
  <r>
    <s v="2019S027608"/>
    <x v="226"/>
    <d v="1899-12-30T15:50:00"/>
    <n v="15"/>
    <s v="After 15"/>
    <s v="CALL. VIA LIMITE / CALL. ALCOLEA"/>
    <s v="TETUÁN"/>
    <x v="1"/>
    <s v="Lateral collision"/>
    <x v="1"/>
    <s v="Driver"/>
    <x v="6"/>
    <s v="Male"/>
    <n v="2"/>
  </r>
  <r>
    <s v="2019S027568"/>
    <x v="226"/>
    <d v="1899-12-30T03:01:00"/>
    <n v="3"/>
    <s v="Before 15"/>
    <s v="CALL. SEGOVIA"/>
    <s v="ARGANZUELA"/>
    <x v="0"/>
    <s v="Fall"/>
    <x v="1"/>
    <s v="Driver"/>
    <x v="6"/>
    <s v="Female"/>
    <n v="5"/>
  </r>
  <r>
    <s v="2019S027795"/>
    <x v="70"/>
    <d v="1899-12-30T22:00:00"/>
    <n v="22"/>
    <s v="After 15"/>
    <s v="CALL. CONCEJAL FRANCISCO JOSE JIMENEZ MARTIN"/>
    <s v="LATINA"/>
    <x v="0"/>
    <s v="Fall"/>
    <x v="1"/>
    <s v="Driver"/>
    <x v="6"/>
    <s v="Male"/>
    <n v="3"/>
  </r>
  <r>
    <s v="2019S028132"/>
    <x v="227"/>
    <d v="1899-12-30T12:15:00"/>
    <n v="12"/>
    <s v="Before 15"/>
    <s v="CALL. ISABEL COLBRAND / CALL. PALAS DE REY"/>
    <s v="FUENCARRAL-EL PARDO"/>
    <x v="1"/>
    <s v="Head-on collision"/>
    <x v="1"/>
    <s v="Driver"/>
    <x v="6"/>
    <s v="Male"/>
    <n v="7"/>
  </r>
  <r>
    <s v="2019S028337"/>
    <x v="228"/>
    <d v="1899-12-30T13:05:00"/>
    <n v="13"/>
    <s v="Before 15"/>
    <s v="CALLE ALCALA 149"/>
    <s v="SALAMANCA"/>
    <x v="0"/>
    <s v="Reach"/>
    <x v="1"/>
    <s v="Driver"/>
    <x v="6"/>
    <s v="Male"/>
    <s v=""/>
  </r>
  <r>
    <s v="2019S028541"/>
    <x v="229"/>
    <d v="1899-12-30T18:35:00"/>
    <n v="18"/>
    <s v="After 15"/>
    <s v="CALL. VELAZQUEZ"/>
    <s v="SALAMANCA"/>
    <x v="0"/>
    <s v="Reach"/>
    <x v="1"/>
    <s v="Driver"/>
    <x v="6"/>
    <s v="Female"/>
    <n v="7"/>
  </r>
  <r>
    <s v="2019S028640"/>
    <x v="230"/>
    <d v="1899-12-30T21:40:00"/>
    <n v="21"/>
    <s v="After 15"/>
    <s v="CMNO. ROBLEDAL"/>
    <s v="MONCLOA-ARAVACA"/>
    <x v="0"/>
    <s v="Head-on collision"/>
    <x v="1"/>
    <s v="Driver"/>
    <x v="6"/>
    <s v="Male"/>
    <n v="14"/>
  </r>
  <r>
    <s v="2019S029079"/>
    <x v="5"/>
    <d v="1899-12-30T22:45:00"/>
    <n v="22"/>
    <s v="After 15"/>
    <s v="CALL. LUCHANA"/>
    <s v="CHAMBERÍ"/>
    <x v="1"/>
    <s v="Fall"/>
    <x v="1"/>
    <s v="Driver"/>
    <x v="6"/>
    <s v="Male"/>
    <n v="14"/>
  </r>
  <r>
    <s v="2019S029561"/>
    <x v="118"/>
    <d v="1899-12-30T16:45:00"/>
    <n v="16"/>
    <s v="After 15"/>
    <s v="CALL. MARQUES DE CUBAS"/>
    <s v="CENTRO"/>
    <x v="0"/>
    <s v="Crash into fixed obstacle"/>
    <x v="1"/>
    <s v="Driver"/>
    <x v="6"/>
    <s v="Male"/>
    <n v="2"/>
  </r>
  <r>
    <s v="2019S029485"/>
    <x v="184"/>
    <d v="1899-12-30T18:30:00"/>
    <n v="18"/>
    <s v="After 15"/>
    <s v="CALL. GENERAL ORAA / CALL. GENERAL PARDIÑAS"/>
    <s v="SALAMANCA"/>
    <x v="0"/>
    <s v="Fall"/>
    <x v="1"/>
    <s v="Driver"/>
    <x v="6"/>
    <s v="Female"/>
    <n v="6"/>
  </r>
  <r>
    <s v="2019S030118"/>
    <x v="231"/>
    <d v="1899-12-30T11:00:00"/>
    <n v="11"/>
    <s v="Before 15"/>
    <s v="CALL. CARRION DE LOS CONDES"/>
    <s v="HORTALEZA"/>
    <x v="0"/>
    <s v="Hitting a person"/>
    <x v="1"/>
    <s v="Driver"/>
    <x v="6"/>
    <s v="Male"/>
    <n v="14"/>
  </r>
  <r>
    <s v="2019S030424"/>
    <x v="119"/>
    <d v="1899-12-30T16:19:00"/>
    <n v="16"/>
    <s v="After 15"/>
    <s v="CALL. LUCHANA"/>
    <s v="CHAMBERÍ"/>
    <x v="1"/>
    <s v="Fall"/>
    <x v="3"/>
    <s v="Driver"/>
    <x v="6"/>
    <s v="Male"/>
    <n v="7"/>
  </r>
  <r>
    <s v="2019S030534"/>
    <x v="24"/>
    <d v="1899-12-30T21:45:00"/>
    <n v="21"/>
    <s v="After 15"/>
    <s v="PTA. TOLEDO / AVDA. GRAN VIA DE SAN FRANCISCO"/>
    <s v="CENTRO"/>
    <x v="0"/>
    <s v="Fall"/>
    <x v="1"/>
    <s v="Driver"/>
    <x v="6"/>
    <s v="Male"/>
    <n v="1"/>
  </r>
  <r>
    <s v="2019S030957"/>
    <x v="232"/>
    <d v="1899-12-30T12:00:00"/>
    <n v="12"/>
    <s v="Before 15"/>
    <s v="CALL. SAGASTA / CALL. MEJIA LEQUERICA"/>
    <s v="CENTRO"/>
    <x v="0"/>
    <s v="Lateral collision"/>
    <x v="1"/>
    <s v="Driver"/>
    <x v="6"/>
    <s v="Male"/>
    <n v="2"/>
  </r>
  <r>
    <s v="2019S031115"/>
    <x v="75"/>
    <d v="1899-12-30T18:31:00"/>
    <n v="18"/>
    <s v="After 15"/>
    <s v="ENTRE FAROLAS Nº 6 Y 7"/>
    <s v="MONCLOA-ARAVACA"/>
    <x v="0"/>
    <s v="Fall"/>
    <x v="1"/>
    <s v="Driver"/>
    <x v="6"/>
    <s v="Male"/>
    <n v="1"/>
  </r>
  <r>
    <s v="2019S031114"/>
    <x v="75"/>
    <d v="1899-12-30T17:35:00"/>
    <n v="17"/>
    <s v="After 15"/>
    <s v="PLAZA. PUERTA DEL SOL"/>
    <s v="CENTRO"/>
    <x v="0"/>
    <s v="Hitting a person"/>
    <x v="1"/>
    <s v="Driver"/>
    <x v="6"/>
    <s v="Male"/>
    <n v="14"/>
  </r>
  <r>
    <s v="2019S031329"/>
    <x v="25"/>
    <d v="1899-12-30T12:50:00"/>
    <n v="12"/>
    <s v="Before 15"/>
    <s v="PASEO. BAJO DE LA VIRGEN DEL PUERTO / FRENTE JARDINES DEL MORO"/>
    <s v="CENTRO"/>
    <x v="0"/>
    <s v="Multiple collision"/>
    <x v="1"/>
    <s v="Driver"/>
    <x v="6"/>
    <s v="Male"/>
    <n v="2"/>
  </r>
  <r>
    <s v="2019S032000"/>
    <x v="189"/>
    <d v="1899-12-30T14:40:00"/>
    <n v="14"/>
    <s v="Before 15"/>
    <s v="CALL. ANTONIO DE LEYVA / PLAZA. ELIPTICA"/>
    <s v="CARABANCHEL"/>
    <x v="0"/>
    <s v="Head-on collision"/>
    <x v="1"/>
    <s v="Driver"/>
    <x v="6"/>
    <s v="Male"/>
    <n v="6"/>
  </r>
  <r>
    <s v="2019S031647"/>
    <x v="189"/>
    <d v="1899-12-30T13:20:00"/>
    <n v="13"/>
    <s v="Before 15"/>
    <s v="CMNO. ROBLEDAL"/>
    <s v="MONCLOA-ARAVACA"/>
    <x v="0"/>
    <s v="Lateral collision"/>
    <x v="1"/>
    <s v="Driver"/>
    <x v="6"/>
    <s v="Female"/>
    <n v="14"/>
  </r>
  <r>
    <s v="2019S031532"/>
    <x v="125"/>
    <d v="1899-12-30T06:10:00"/>
    <n v="6"/>
    <s v="Before 15"/>
    <s v="CALLE GRAN VIA 72"/>
    <s v="CENTRO"/>
    <x v="0"/>
    <s v="Fall"/>
    <x v="1"/>
    <s v="Driver"/>
    <x v="6"/>
    <s v="Male"/>
    <n v="1"/>
  </r>
  <r>
    <s v="2019S031696"/>
    <x v="50"/>
    <d v="1899-12-30T15:30:00"/>
    <n v="15"/>
    <s v="After 15"/>
    <s v="CALL. DONOSO CORTES / CALL. ANDRES MELLADO"/>
    <s v="CHAMBERÍ"/>
    <x v="1"/>
    <s v="Fall"/>
    <x v="4"/>
    <s v="Driver"/>
    <x v="6"/>
    <s v="Female"/>
    <s v=""/>
  </r>
  <r>
    <s v="2019S031567"/>
    <x v="50"/>
    <d v="1899-12-30T10:00:00"/>
    <n v="10"/>
    <s v="Before 15"/>
    <s v="PASEO. CASTELLANA"/>
    <s v="CHAMARTÍN"/>
    <x v="1"/>
    <s v="Lateral collision"/>
    <x v="1"/>
    <s v="Driver"/>
    <x v="6"/>
    <s v="Male"/>
    <n v="1"/>
  </r>
  <r>
    <s v="2019S031932"/>
    <x v="190"/>
    <d v="1899-12-30T21:15:00"/>
    <n v="21"/>
    <s v="After 15"/>
    <s v="GTA. EMILIO CASTELAR / CALL. GENERAL ORAA"/>
    <s v="SALAMANCA"/>
    <x v="0"/>
    <s v="Head-on collision"/>
    <x v="1"/>
    <s v="Driver"/>
    <x v="6"/>
    <s v="Female"/>
    <n v="2"/>
  </r>
  <r>
    <s v="2019S031798"/>
    <x v="190"/>
    <d v="1899-12-30T19:00:00"/>
    <n v="19"/>
    <s v="After 15"/>
    <s v="CALL. EMBAJADORES"/>
    <s v="ARGANZUELA"/>
    <x v="0"/>
    <s v="Lateral collision"/>
    <x v="1"/>
    <s v="Driver"/>
    <x v="6"/>
    <s v="Male"/>
    <n v="14"/>
  </r>
  <r>
    <s v="2019S031852"/>
    <x v="76"/>
    <d v="1899-12-30T09:30:00"/>
    <n v="9"/>
    <s v="Before 15"/>
    <s v="CALL. CAMINO DE LOS VINATEROS"/>
    <s v="MORATALAZ"/>
    <x v="2"/>
    <s v="Head-on collision"/>
    <x v="1"/>
    <s v="Driver"/>
    <x v="6"/>
    <s v="Female"/>
    <n v="2"/>
  </r>
  <r>
    <s v="2019S032108"/>
    <x v="126"/>
    <d v="1899-12-30T09:30:00"/>
    <n v="9"/>
    <s v="Before 15"/>
    <s v="CALL. ALCALA / PLAZA. CIBELES"/>
    <s v="RETIRO"/>
    <x v="0"/>
    <s v="Other"/>
    <x v="1"/>
    <s v="Driver"/>
    <x v="6"/>
    <s v="Male"/>
    <n v="7"/>
  </r>
  <r>
    <s v="2019S032125"/>
    <x v="233"/>
    <d v="1899-12-30T01:45:00"/>
    <n v="1"/>
    <s v="Before 15"/>
    <s v="GTA. SANTA MARIA DE LA CABEZA / GTA. SANTA MARIA DE LA CABEZA"/>
    <s v="ARGANZUELA"/>
    <x v="0"/>
    <s v="Hitting a person"/>
    <x v="1"/>
    <s v="Driver"/>
    <x v="6"/>
    <s v="Male"/>
    <n v="14"/>
  </r>
  <r>
    <s v="2019S033299"/>
    <x v="79"/>
    <d v="1899-12-30T15:30:00"/>
    <n v="15"/>
    <s v="After 15"/>
    <s v="CALL. EVANGELIOS"/>
    <s v="USERA"/>
    <x v="0"/>
    <s v="Fall"/>
    <x v="4"/>
    <s v="Driver"/>
    <x v="6"/>
    <s v="Male"/>
    <s v=""/>
  </r>
  <r>
    <s v="2019S033921"/>
    <x v="234"/>
    <d v="1899-12-30T08:41:00"/>
    <n v="8"/>
    <s v="Before 15"/>
    <s v="CALL. PRINCESA"/>
    <s v="MONCLOA-ARAVACA"/>
    <x v="0"/>
    <s v="Fall"/>
    <x v="1"/>
    <s v="Driver"/>
    <x v="6"/>
    <s v="Male"/>
    <n v="7"/>
  </r>
  <r>
    <s v="2019S033669"/>
    <x v="235"/>
    <d v="1899-12-30T20:00:00"/>
    <n v="20"/>
    <s v="After 15"/>
    <s v="CALL. BRAVO MURILLO"/>
    <s v="TETUÁN"/>
    <x v="1"/>
    <s v="Reach"/>
    <x v="3"/>
    <s v="Driver"/>
    <x v="6"/>
    <s v="Female"/>
    <n v="1"/>
  </r>
  <r>
    <s v="2019S033987"/>
    <x v="193"/>
    <d v="1899-12-30T04:30:00"/>
    <n v="4"/>
    <s v="Before 15"/>
    <s v="CALL. ELOY GONZALO"/>
    <s v="CHAMBERÍ"/>
    <x v="1"/>
    <s v="Fall"/>
    <x v="1"/>
    <s v="Driver"/>
    <x v="6"/>
    <s v="Male"/>
    <n v="2"/>
  </r>
  <r>
    <s v="2019S034011"/>
    <x v="193"/>
    <d v="1899-12-30T01:42:00"/>
    <n v="1"/>
    <s v="Before 15"/>
    <s v="AVDA. CIUDAD DE BARCELONA / CALL. DOCTOR ESQUERDO"/>
    <s v="RETIRO"/>
    <x v="0"/>
    <s v="Fall"/>
    <x v="1"/>
    <s v="Driver"/>
    <x v="6"/>
    <s v="Male"/>
    <n v="1"/>
  </r>
  <r>
    <s v="2019S034858"/>
    <x v="236"/>
    <d v="1899-12-30T17:02:00"/>
    <n v="17"/>
    <s v="After 15"/>
    <s v="CALL. JOAQUIN COSTA"/>
    <s v="CHAMARTÍN"/>
    <x v="1"/>
    <s v="Fall"/>
    <x v="1"/>
    <s v="Driver"/>
    <x v="6"/>
    <s v="Female"/>
    <n v="7"/>
  </r>
  <r>
    <s v="2019S035655"/>
    <x v="132"/>
    <d v="1899-12-30T13:25:00"/>
    <n v="13"/>
    <s v="Before 15"/>
    <s v="PASEO. CHOPERA / PLAZA. GENERAL MAROTO"/>
    <s v="ARGANZUELA"/>
    <x v="0"/>
    <s v="Fall"/>
    <x v="1"/>
    <s v="Pedestrian"/>
    <x v="6"/>
    <s v="Male"/>
    <n v="14"/>
  </r>
  <r>
    <s v="2019S035527"/>
    <x v="132"/>
    <d v="1899-12-30T00:41:00"/>
    <n v="0"/>
    <s v="Before 15"/>
    <s v="RONDA. SEGOVIA"/>
    <s v="CENTRO"/>
    <x v="0"/>
    <s v="Other"/>
    <x v="3"/>
    <s v="Driver"/>
    <x v="6"/>
    <s v="Male"/>
    <n v="1"/>
  </r>
  <r>
    <s v="2019S035767"/>
    <x v="198"/>
    <d v="1899-12-30T15:00:00"/>
    <n v="15"/>
    <s v="After 15"/>
    <s v="CALL. SERRANO"/>
    <s v="CHAMARTÍN"/>
    <x v="1"/>
    <s v="Fall"/>
    <x v="1"/>
    <s v="Driver"/>
    <x v="6"/>
    <s v="Male"/>
    <n v="7"/>
  </r>
  <r>
    <s v="2019S036407"/>
    <x v="200"/>
    <d v="1899-12-30T17:25:00"/>
    <n v="17"/>
    <s v="After 15"/>
    <s v="AVDA. SECUNDINO ZUAZO / CALL. MARIA DE LAS MERCEDES DE BORBON"/>
    <s v="HORTALEZA"/>
    <x v="0"/>
    <s v="Fall"/>
    <x v="1"/>
    <s v="Driver"/>
    <x v="6"/>
    <s v="Female"/>
    <n v="7"/>
  </r>
  <r>
    <s v="2019S036327"/>
    <x v="201"/>
    <d v="1899-12-30T05:55:00"/>
    <n v="5"/>
    <s v="Before 15"/>
    <s v="CALL. GRAN VIA"/>
    <s v="CENTRO"/>
    <x v="0"/>
    <s v="Head-on collision"/>
    <x v="3"/>
    <s v="Driver"/>
    <x v="6"/>
    <s v="Male"/>
    <n v="2"/>
  </r>
  <r>
    <s v="2019S037662"/>
    <x v="205"/>
    <d v="1899-12-30T21:30:00"/>
    <n v="21"/>
    <s v="After 15"/>
    <s v="AVDA. CIUDAD DE BARCELONA / CALL. ARREGUI Y ARUEJ"/>
    <s v="RETIRO"/>
    <x v="0"/>
    <s v="Head-on collision"/>
    <x v="0"/>
    <s v="Driver"/>
    <x v="6"/>
    <s v="Male"/>
    <n v="7"/>
  </r>
  <r>
    <s v="2019S037683"/>
    <x v="205"/>
    <d v="1899-12-30T20:15:00"/>
    <n v="20"/>
    <s v="After 15"/>
    <s v="CALL. RIOS ROSAS"/>
    <s v="CHAMBERÍ"/>
    <x v="1"/>
    <s v="Lateral collision"/>
    <x v="1"/>
    <s v="Driver"/>
    <x v="6"/>
    <s v="Male"/>
    <s v=""/>
  </r>
  <r>
    <s v="2019S038013"/>
    <x v="237"/>
    <d v="1899-12-30T19:50:00"/>
    <n v="19"/>
    <s v="After 15"/>
    <s v="CALL. BRAVO MURILLO / CALL. SAN GERMAN"/>
    <s v="TETUÁN"/>
    <x v="1"/>
    <s v="Head-on collision"/>
    <x v="3"/>
    <s v="Driver"/>
    <x v="6"/>
    <s v="Male"/>
    <s v=""/>
  </r>
  <r>
    <s v="2019S038296"/>
    <x v="238"/>
    <d v="1899-12-30T05:15:00"/>
    <n v="5"/>
    <s v="Before 15"/>
    <s v="CALL. SERRANO"/>
    <s v="CHAMARTÍN"/>
    <x v="1"/>
    <s v="Fall"/>
    <x v="1"/>
    <s v="Driver"/>
    <x v="6"/>
    <s v="Male"/>
    <n v="1"/>
  </r>
  <r>
    <s v="2019S038482"/>
    <x v="239"/>
    <d v="1899-12-30T00:10:00"/>
    <n v="0"/>
    <s v="Before 15"/>
    <s v="PASEO. CASTELLANA"/>
    <s v="CHAMARTÍN"/>
    <x v="1"/>
    <s v="Fall"/>
    <x v="1"/>
    <s v="Driver"/>
    <x v="6"/>
    <s v="Male"/>
    <n v="7"/>
  </r>
  <r>
    <s v="2019S038736"/>
    <x v="207"/>
    <d v="1899-12-30T18:15:00"/>
    <n v="18"/>
    <s v="After 15"/>
    <s v="AVDA. CANILLEJAS A VICALVARO / CALL. JULIAN CAMARILLO"/>
    <s v="SAN BLAS-CANILLEJAS"/>
    <x v="2"/>
    <s v="Head-on collision"/>
    <x v="0"/>
    <s v="Driver"/>
    <x v="6"/>
    <s v="Male"/>
    <n v="6"/>
  </r>
  <r>
    <s v="2019S039890"/>
    <x v="9"/>
    <d v="1899-12-30T18:30:00"/>
    <n v="18"/>
    <s v="After 15"/>
    <s v="CALL. ALEJANDRO SANCHEZ"/>
    <s v="CARABANCHEL"/>
    <x v="0"/>
    <s v="Hitting a person"/>
    <x v="2"/>
    <s v="Driver"/>
    <x v="6"/>
    <s v="Male"/>
    <n v="14"/>
  </r>
  <r>
    <s v="2019S039705"/>
    <x v="84"/>
    <d v="1899-12-30T18:35:00"/>
    <n v="18"/>
    <s v="After 15"/>
    <s v="CALL. CORREGIDOR SEÑOR DE LA ELIPA / CALL. CAMINO DE LOS VINATEROS"/>
    <s v="MORATALAZ"/>
    <x v="2"/>
    <s v="Head-on collision"/>
    <x v="1"/>
    <s v="Driver"/>
    <x v="6"/>
    <s v="Male"/>
    <n v="7"/>
  </r>
  <r>
    <s v="2019S002373"/>
    <x v="140"/>
    <d v="1899-12-30T20:55:00"/>
    <n v="20"/>
    <s v="After 15"/>
    <s v="CALL. PUERTO DE LA CRUZ VERDE"/>
    <s v="ARGANZUELA"/>
    <x v="0"/>
    <s v="Hitting a person"/>
    <x v="1"/>
    <s v="Pedestrian"/>
    <x v="7"/>
    <s v="Male"/>
    <n v="7"/>
  </r>
  <r>
    <s v="2019S003306"/>
    <x v="240"/>
    <d v="1899-12-30T09:00:00"/>
    <n v="9"/>
    <s v="Before 15"/>
    <s v="AVDA. DAROCA / CALL. NICOLAS SALMERON"/>
    <s v="CIUDAD LINEAL"/>
    <x v="2"/>
    <s v="Head-on collision"/>
    <x v="1"/>
    <s v="Driver"/>
    <x v="7"/>
    <s v="Male"/>
    <n v="6"/>
  </r>
  <r>
    <s v="2019S005992"/>
    <x v="85"/>
    <d v="1899-12-30T09:12:00"/>
    <n v="9"/>
    <s v="Before 15"/>
    <s v="CALLE ALFONSO XI , CALLE ALCALA"/>
    <s v="RETIRO"/>
    <x v="0"/>
    <s v="Head-on collision"/>
    <x v="1"/>
    <s v="Driver"/>
    <x v="7"/>
    <s v="Male"/>
    <n v="7"/>
  </r>
  <r>
    <s v="2019S007855"/>
    <x v="86"/>
    <d v="1899-12-30T13:30:00"/>
    <n v="13"/>
    <s v="Before 15"/>
    <s v="CALL. DOCTOR ESQUERDO / CALL. DOCTOR ESQUERDO"/>
    <s v="RETIRO"/>
    <x v="0"/>
    <s v="Reach"/>
    <x v="1"/>
    <s v="Driver"/>
    <x v="7"/>
    <s v="Female"/>
    <n v="7"/>
  </r>
  <r>
    <s v="2019S007753"/>
    <x v="241"/>
    <d v="1899-12-30T00:03:00"/>
    <n v="0"/>
    <s v="Before 15"/>
    <s v="CALL. MARIA DE MOLINA"/>
    <s v="SALAMANCA"/>
    <x v="0"/>
    <s v="Fall"/>
    <x v="1"/>
    <s v="Driver"/>
    <x v="7"/>
    <s v="Male"/>
    <n v="2"/>
  </r>
  <r>
    <s v="2019S009150"/>
    <x v="31"/>
    <d v="1899-12-30T16:40:00"/>
    <n v="16"/>
    <s v="After 15"/>
    <s v="CALL. GRAN VIA / CALL. ALCALA"/>
    <s v="CENTRO"/>
    <x v="0"/>
    <s v="Fall"/>
    <x v="1"/>
    <s v="Driver"/>
    <x v="7"/>
    <s v="Male"/>
    <n v="5"/>
  </r>
  <r>
    <s v="2019S009106"/>
    <x v="213"/>
    <d v="1899-12-30T18:50:00"/>
    <n v="18"/>
    <s v="After 15"/>
    <s v="CALL. PRINCIPE DE VERGARA / GTA. LOPEZ DE HOYOS"/>
    <s v="CHAMARTÍN"/>
    <x v="1"/>
    <s v="Fall"/>
    <x v="1"/>
    <s v="Driver"/>
    <x v="7"/>
    <s v="Female"/>
    <n v="6"/>
  </r>
  <r>
    <s v="2019S009001"/>
    <x v="213"/>
    <d v="1899-12-30T09:15:00"/>
    <n v="9"/>
    <s v="Before 15"/>
    <s v="CALL. PRADILLO"/>
    <s v="CHAMARTÍN"/>
    <x v="1"/>
    <s v="Crash into fixed obstacle"/>
    <x v="1"/>
    <s v="Driver"/>
    <x v="7"/>
    <s v="Male"/>
    <n v="7"/>
  </r>
  <r>
    <s v="2019S009957"/>
    <x v="147"/>
    <d v="1899-12-30T16:13:00"/>
    <n v="16"/>
    <s v="After 15"/>
    <s v="CALL. SERRANO"/>
    <s v="CHAMARTÍN"/>
    <x v="1"/>
    <s v="Reach"/>
    <x v="1"/>
    <s v="Driver"/>
    <x v="7"/>
    <s v="Male"/>
    <n v="7"/>
  </r>
  <r>
    <s v="2019S010716"/>
    <x v="89"/>
    <d v="1899-12-30T18:00:00"/>
    <n v="18"/>
    <s v="After 15"/>
    <s v="AVDA. MENENDEZ PELAYO"/>
    <s v="RETIRO"/>
    <x v="0"/>
    <s v="Fall"/>
    <x v="1"/>
    <s v="Driver"/>
    <x v="7"/>
    <s v="Female"/>
    <s v=""/>
  </r>
  <r>
    <s v="2019S011335"/>
    <x v="242"/>
    <d v="1899-12-30T17:10:00"/>
    <n v="17"/>
    <s v="After 15"/>
    <s v="PASEO. CHOPERA"/>
    <s v="ARGANZUELA"/>
    <x v="0"/>
    <s v="Fall"/>
    <x v="1"/>
    <s v="Driver"/>
    <x v="7"/>
    <s v="Female"/>
    <n v="2"/>
  </r>
  <r>
    <s v="2019S011089"/>
    <x v="242"/>
    <d v="1899-12-30T14:05:00"/>
    <n v="14"/>
    <s v="Before 15"/>
    <s v="RONDA DE VALENCIA CON GLORIETA DE EMBAJADORES"/>
    <s v="CENTRO"/>
    <x v="0"/>
    <s v="Lateral collision"/>
    <x v="1"/>
    <s v="Driver"/>
    <x v="7"/>
    <s v="Male"/>
    <s v=""/>
  </r>
  <r>
    <s v="2019S011128"/>
    <x v="243"/>
    <d v="1899-12-30T09:00:00"/>
    <n v="9"/>
    <s v="Before 15"/>
    <s v="AVDA. POBLADOS / CALL. ANTONIO ROMERO"/>
    <s v="CARABANCHEL"/>
    <x v="0"/>
    <s v="Reach"/>
    <x v="1"/>
    <s v="Driver"/>
    <x v="7"/>
    <s v="Male"/>
    <n v="3"/>
  </r>
  <r>
    <s v="2019S014125"/>
    <x v="149"/>
    <d v="1899-12-30T14:50:00"/>
    <n v="14"/>
    <s v="Before 15"/>
    <s v="CALL. RAIMUNDO FERNANDEZ VILLAVERDE / PASEO. CASTELLANA"/>
    <s v="TETUÁN"/>
    <x v="1"/>
    <s v="Fall"/>
    <x v="1"/>
    <s v="Driver"/>
    <x v="7"/>
    <s v="Female"/>
    <n v="7"/>
  </r>
  <r>
    <s v="2019S014327"/>
    <x v="244"/>
    <d v="1899-12-30T16:15:00"/>
    <n v="16"/>
    <s v="After 15"/>
    <s v="CALL. TRESPADERNE / AVDA. SUR DEL AEROPUERTO DE BARAJAS"/>
    <s v="BARAJAS"/>
    <x v="2"/>
    <s v="Head-on collision"/>
    <x v="1"/>
    <s v="Driver"/>
    <x v="7"/>
    <s v="Male"/>
    <n v="7"/>
  </r>
  <r>
    <s v="2019S015623"/>
    <x v="245"/>
    <d v="1899-12-30T09:30:00"/>
    <n v="9"/>
    <s v="Before 15"/>
    <s v="PLAZA. CARDENAL CISNEROS / AVDA. COMPLUTENSE"/>
    <s v="VILLA DE VALLECAS"/>
    <x v="0"/>
    <s v="Fall"/>
    <x v="5"/>
    <s v="Driver"/>
    <x v="7"/>
    <s v="Male"/>
    <n v="7"/>
  </r>
  <r>
    <s v="2019S015475"/>
    <x v="150"/>
    <d v="1899-12-30T21:30:00"/>
    <n v="21"/>
    <s v="After 15"/>
    <s v="PLAZA. ESPAÑA / CALL. BAILEN"/>
    <s v="CENTRO"/>
    <x v="0"/>
    <s v="Reach"/>
    <x v="4"/>
    <s v="Driver"/>
    <x v="7"/>
    <s v="Female"/>
    <s v=""/>
  </r>
  <r>
    <s v="2019S015481"/>
    <x v="150"/>
    <d v="1899-12-30T21:00:00"/>
    <n v="21"/>
    <s v="After 15"/>
    <s v="CALL. ALCALDE SAINZ DE BARANDA / AUTOV. M-30"/>
    <s v="SALAMANCA"/>
    <x v="0"/>
    <s v="Fall"/>
    <x v="1"/>
    <s v="Driver"/>
    <x v="7"/>
    <s v="Female"/>
    <n v="2"/>
  </r>
  <r>
    <s v="2019S015559"/>
    <x v="246"/>
    <d v="1899-12-30T09:10:00"/>
    <n v="9"/>
    <s v="Before 15"/>
    <s v="CALLE JORGE MANRIQUE - CALLE SERRANO"/>
    <s v="CHAMARTÍN"/>
    <x v="1"/>
    <s v="Reach"/>
    <x v="1"/>
    <s v="Driver"/>
    <x v="7"/>
    <s v="Male"/>
    <n v="1"/>
  </r>
  <r>
    <s v="2019S016549"/>
    <x v="152"/>
    <d v="1899-12-30T10:30:00"/>
    <n v="10"/>
    <s v="Before 15"/>
    <s v="PASEO. ERMITA DEL SANTO / GTA. PUENTE DE SEGOVIA"/>
    <s v="CHAMARTÍN"/>
    <x v="1"/>
    <s v="Hitting a person"/>
    <x v="1"/>
    <s v="Driver"/>
    <x v="7"/>
    <s v="Male"/>
    <n v="14"/>
  </r>
  <r>
    <s v="2019S016752"/>
    <x v="153"/>
    <d v="1899-12-30T14:15:00"/>
    <n v="14"/>
    <s v="Before 15"/>
    <s v="CALL. ATOCHA"/>
    <s v="CENTRO"/>
    <x v="0"/>
    <s v="Hitting a person"/>
    <x v="1"/>
    <s v="Driver"/>
    <x v="7"/>
    <s v="Female"/>
    <n v="14"/>
  </r>
  <r>
    <s v="2019S017287"/>
    <x v="154"/>
    <d v="1899-12-30T12:30:00"/>
    <n v="12"/>
    <s v="Before 15"/>
    <s v="CALL. RETAMA / CALL. ACANTO"/>
    <s v="ARGANZUELA"/>
    <x v="0"/>
    <s v="Head-on collision"/>
    <x v="1"/>
    <s v="Driver"/>
    <x v="7"/>
    <s v="Female"/>
    <n v="7"/>
  </r>
  <r>
    <s v="2019S017272"/>
    <x v="247"/>
    <d v="1899-12-30T13:20:00"/>
    <n v="13"/>
    <s v="Before 15"/>
    <s v="PLAZA. CIBELES / CALL. ALCALA"/>
    <s v="CENTRO"/>
    <x v="0"/>
    <s v="Fall"/>
    <x v="1"/>
    <s v="Driver"/>
    <x v="7"/>
    <s v="Male"/>
    <n v="7"/>
  </r>
  <r>
    <s v="2019S017434"/>
    <x v="155"/>
    <d v="1899-12-30T13:10:00"/>
    <n v="13"/>
    <s v="Before 15"/>
    <s v="CALL. ARROYO FONTARRON"/>
    <s v="MORATALAZ"/>
    <x v="2"/>
    <s v="Fall"/>
    <x v="1"/>
    <s v="Driver"/>
    <x v="7"/>
    <s v="Male"/>
    <n v="7"/>
  </r>
  <r>
    <s v="2019S017501"/>
    <x v="248"/>
    <d v="1899-12-30T17:15:00"/>
    <n v="17"/>
    <s v="After 15"/>
    <s v="CALL. ORENSE"/>
    <s v="TETUÁN"/>
    <x v="1"/>
    <s v="Lateral collision"/>
    <x v="1"/>
    <s v="Driver"/>
    <x v="7"/>
    <s v="Male"/>
    <n v="7"/>
  </r>
  <r>
    <s v="2019S018985"/>
    <x v="249"/>
    <d v="1899-12-30T09:20:00"/>
    <n v="9"/>
    <s v="Before 15"/>
    <s v="AVDA. MIGUEL HERNANDEZ / CALL. LEON FELIPE"/>
    <s v="PUENTE DE VALLECAS"/>
    <x v="0"/>
    <s v="Head-on collision"/>
    <x v="1"/>
    <s v="Driver"/>
    <x v="7"/>
    <s v="Male"/>
    <n v="6"/>
  </r>
  <r>
    <s v="2019S018298"/>
    <x v="250"/>
    <d v="1899-12-30T10:30:00"/>
    <n v="10"/>
    <s v="Before 15"/>
    <s v="CALL. ARRIAGA / CALL. FERNANDO GABRIEL"/>
    <s v="CIUDAD LINEAL"/>
    <x v="2"/>
    <s v="Lateral collision"/>
    <x v="3"/>
    <s v="Driver"/>
    <x v="7"/>
    <s v="Female"/>
    <n v="2"/>
  </r>
  <r>
    <s v="2019S018787"/>
    <x v="0"/>
    <d v="1899-12-30T08:55:00"/>
    <n v="8"/>
    <s v="Before 15"/>
    <s v="CALL. EXPLANADA / CALL. PEDRO JUSTO DORADO DELLMANS"/>
    <s v="MONCLOA-ARAVACA"/>
    <x v="0"/>
    <s v="Reach"/>
    <x v="3"/>
    <s v="Driver"/>
    <x v="7"/>
    <s v="Male"/>
    <n v="7"/>
  </r>
  <r>
    <s v="2019S020599"/>
    <x v="251"/>
    <d v="1899-12-30T05:05:00"/>
    <n v="5"/>
    <s v="Before 15"/>
    <s v="CALL. ALCALA / CALL. VELAZQUEZ"/>
    <s v="SALAMANCA"/>
    <x v="0"/>
    <s v="Reach"/>
    <x v="1"/>
    <s v="Driver"/>
    <x v="7"/>
    <s v="Male"/>
    <n v="7"/>
  </r>
  <r>
    <s v="2019S021283"/>
    <x v="1"/>
    <d v="1899-12-30T11:40:00"/>
    <n v="11"/>
    <s v="Before 15"/>
    <s v="MADRID RIO"/>
    <s v="CARABANCHEL"/>
    <x v="0"/>
    <s v="Reach"/>
    <x v="1"/>
    <s v="Driver"/>
    <x v="7"/>
    <s v="Female"/>
    <n v="7"/>
  </r>
  <r>
    <s v="2019S020975"/>
    <x v="163"/>
    <d v="1899-12-30T13:05:00"/>
    <n v="13"/>
    <s v="Before 15"/>
    <s v="PASEO. CASTELLANA / CALL. MARIA DE MOLINA"/>
    <s v="SALAMANCA"/>
    <x v="0"/>
    <s v="Head-on collision"/>
    <x v="1"/>
    <s v="Driver"/>
    <x v="7"/>
    <s v="Male"/>
    <n v="7"/>
  </r>
  <r>
    <s v="2019S021650"/>
    <x v="98"/>
    <d v="1899-12-30T23:10:00"/>
    <n v="23"/>
    <s v="After 15"/>
    <s v="AVDA. SAN DIEGO / CALL. MONTES UNIVERSALES"/>
    <s v="PUENTE DE VALLECAS"/>
    <x v="0"/>
    <s v="Lateral collision"/>
    <x v="1"/>
    <s v="Driver"/>
    <x v="7"/>
    <s v="Male"/>
    <n v="1"/>
  </r>
  <r>
    <s v="2019S021280"/>
    <x v="98"/>
    <d v="1899-12-30T08:05:00"/>
    <n v="8"/>
    <s v="Before 15"/>
    <s v="CTRA. ESTACION DE HORTALEZA / AUTOV. M-11"/>
    <s v="HORTALEZA"/>
    <x v="0"/>
    <s v="Head-on collision"/>
    <x v="1"/>
    <s v="Driver"/>
    <x v="7"/>
    <s v="Male"/>
    <n v="2"/>
  </r>
  <r>
    <s v="2019S021200"/>
    <x v="98"/>
    <d v="1899-12-30T01:00:00"/>
    <n v="1"/>
    <s v="Before 15"/>
    <s v="PASEO. ACACIAS"/>
    <s v="ARGANZUELA"/>
    <x v="0"/>
    <s v="Reach"/>
    <x v="1"/>
    <s v="Driver"/>
    <x v="7"/>
    <s v="Female"/>
    <n v="5"/>
  </r>
  <r>
    <s v="2019S021429"/>
    <x v="15"/>
    <d v="1899-12-30T17:55:00"/>
    <n v="17"/>
    <s v="After 15"/>
    <s v="PQUE. JUAN CARLOS I"/>
    <s v="BARAJAS"/>
    <x v="2"/>
    <s v="Fall"/>
    <x v="1"/>
    <s v="Driver"/>
    <x v="7"/>
    <s v="Female"/>
    <n v="2"/>
  </r>
  <r>
    <s v="2019S021607"/>
    <x v="252"/>
    <d v="1899-12-30T14:30:00"/>
    <n v="14"/>
    <s v="Before 15"/>
    <s v="CALL. PALOMARES / CALL. JUAN PEÑALVER"/>
    <s v="VILLAVERDE"/>
    <x v="0"/>
    <s v="Hitting a person"/>
    <x v="1"/>
    <s v="Driver"/>
    <x v="7"/>
    <s v="Male"/>
    <n v="14"/>
  </r>
  <r>
    <s v="2019S021850"/>
    <x v="101"/>
    <d v="1899-12-30T08:55:00"/>
    <n v="8"/>
    <s v="Before 15"/>
    <s v="CUESTA SANTO DOMINGO. 5"/>
    <s v="CENTRO"/>
    <x v="0"/>
    <s v="Fall"/>
    <x v="1"/>
    <s v="Driver"/>
    <x v="7"/>
    <s v="Male"/>
    <s v=""/>
  </r>
  <r>
    <s v="2019S022023"/>
    <x v="41"/>
    <d v="1899-12-30T08:20:00"/>
    <n v="8"/>
    <s v="Before 15"/>
    <s v="CALL. MESON DE PAREDES"/>
    <s v="CENTRO"/>
    <x v="0"/>
    <s v="Fall"/>
    <x v="1"/>
    <s v="Driver"/>
    <x v="7"/>
    <s v="Male"/>
    <n v="3"/>
  </r>
  <r>
    <s v="2019S022102"/>
    <x v="253"/>
    <d v="1899-12-30T02:25:00"/>
    <n v="2"/>
    <s v="Before 15"/>
    <s v="PLAZA. MANOLETE"/>
    <s v="TETUÁN"/>
    <x v="1"/>
    <s v="Lateral collision"/>
    <x v="1"/>
    <s v="Driver"/>
    <x v="7"/>
    <s v="Male"/>
    <s v=""/>
  </r>
  <r>
    <s v="2019S022599"/>
    <x v="254"/>
    <d v="1899-12-30T17:40:00"/>
    <n v="17"/>
    <s v="After 15"/>
    <s v="CALL. PRINCIPE DE VERGARA"/>
    <s v="CHAMARTÍN"/>
    <x v="1"/>
    <s v="Reach"/>
    <x v="1"/>
    <s v="Driver"/>
    <x v="7"/>
    <s v="Male"/>
    <n v="7"/>
  </r>
  <r>
    <s v="2019S022753"/>
    <x v="17"/>
    <d v="1899-12-30T12:00:00"/>
    <n v="12"/>
    <s v="Before 15"/>
    <s v="PLAZA SAN FRANCISCO S/N"/>
    <s v="CENTRO"/>
    <x v="0"/>
    <s v="Reach"/>
    <x v="1"/>
    <s v="Driver"/>
    <x v="7"/>
    <s v="Male"/>
    <n v="7"/>
  </r>
  <r>
    <s v="2019S023033"/>
    <x v="104"/>
    <d v="1899-12-30T19:25:00"/>
    <n v="19"/>
    <s v="After 15"/>
    <s v="CALL. SERRANO"/>
    <s v="CHAMARTÍN"/>
    <x v="1"/>
    <s v="Fall"/>
    <x v="1"/>
    <s v="Driver"/>
    <x v="7"/>
    <s v="Male"/>
    <n v="2"/>
  </r>
  <r>
    <s v="2019S023655"/>
    <x v="2"/>
    <d v="1899-12-30T09:20:00"/>
    <n v="9"/>
    <s v="Before 15"/>
    <s v="PASEO. PRADO / CALL. ALCALA"/>
    <s v="CENTRO"/>
    <x v="0"/>
    <s v="Head-on collision"/>
    <x v="1"/>
    <s v="Driver"/>
    <x v="7"/>
    <s v="Male"/>
    <n v="7"/>
  </r>
  <r>
    <s v="2019S023917"/>
    <x v="220"/>
    <d v="1899-12-30T16:40:00"/>
    <n v="16"/>
    <s v="After 15"/>
    <s v="PASEO. GENERAL MARTINEZ CAMPOS"/>
    <s v="CHAMBERÍ"/>
    <x v="1"/>
    <s v="Fall"/>
    <x v="1"/>
    <s v="Driver"/>
    <x v="7"/>
    <s v="Male"/>
    <n v="7"/>
  </r>
  <r>
    <s v="2019S024530"/>
    <x v="167"/>
    <d v="1899-12-30T19:50:00"/>
    <n v="19"/>
    <s v="After 15"/>
    <s v="CALL. SERRANO"/>
    <s v="CHAMARTÍN"/>
    <x v="1"/>
    <s v="Fall"/>
    <x v="1"/>
    <s v="Pedestrian"/>
    <x v="7"/>
    <s v="Male"/>
    <n v="14"/>
  </r>
  <r>
    <s v="2019S024612"/>
    <x v="221"/>
    <d v="1899-12-30T18:00:00"/>
    <n v="18"/>
    <s v="After 15"/>
    <s v="CALL. BRAVO MURILLO"/>
    <s v="TETUÁN"/>
    <x v="1"/>
    <s v="Lateral collision"/>
    <x v="1"/>
    <s v="Driver"/>
    <x v="7"/>
    <s v="Male"/>
    <n v="5"/>
  </r>
  <r>
    <s v="2019S024691"/>
    <x v="255"/>
    <d v="1899-12-30T19:30:00"/>
    <n v="19"/>
    <s v="After 15"/>
    <s v="CALL. RAIMUNDO FERNANDEZ VILLAVERDE"/>
    <s v="CHAMBERÍ"/>
    <x v="1"/>
    <s v="Fall"/>
    <x v="1"/>
    <s v="Driver"/>
    <x v="7"/>
    <s v="Male"/>
    <n v="3"/>
  </r>
  <r>
    <s v="2019S026512"/>
    <x v="65"/>
    <d v="1899-12-30T19:20:00"/>
    <n v="19"/>
    <s v="After 15"/>
    <s v="PQUE. MADRID RIO / GTA. PUENTE DE SEGOVIA"/>
    <s v="LATINA"/>
    <x v="0"/>
    <s v="Fall"/>
    <x v="1"/>
    <s v="Driver"/>
    <x v="7"/>
    <s v="Male"/>
    <n v="2"/>
  </r>
  <r>
    <s v="2019S025170"/>
    <x v="65"/>
    <d v="1899-12-30T16:45:00"/>
    <n v="16"/>
    <s v="After 15"/>
    <s v="CALL. GENERAL RICARDOS"/>
    <s v="CARABANCHEL"/>
    <x v="0"/>
    <s v="Hitting a person"/>
    <x v="1"/>
    <s v="Pedestrian"/>
    <x v="7"/>
    <s v="Male"/>
    <n v="7"/>
  </r>
  <r>
    <s v="2019S025119"/>
    <x v="65"/>
    <d v="1899-12-30T08:30:00"/>
    <n v="8"/>
    <s v="Before 15"/>
    <s v="GTA. SANTUARIO DE TISCAR / AVDA. MONASTERIO DE EL ESCORIAL"/>
    <s v="FUENCARRAL-EL PARDO"/>
    <x v="1"/>
    <s v="Head-on collision"/>
    <x v="1"/>
    <s v="Driver"/>
    <x v="7"/>
    <s v="Male"/>
    <n v="6"/>
  </r>
  <r>
    <s v="2019S025119"/>
    <x v="65"/>
    <d v="1899-12-30T08:30:00"/>
    <n v="8"/>
    <s v="Before 15"/>
    <s v="GTA. SANTUARIO DE TISCAR / AVDA. MONASTERIO DE EL ESCORIAL"/>
    <s v="FUENCARRAL-EL PARDO"/>
    <x v="1"/>
    <s v="Head-on collision"/>
    <x v="1"/>
    <s v="Driver"/>
    <x v="7"/>
    <s v="Male"/>
    <n v="6"/>
  </r>
  <r>
    <s v="2019S025642"/>
    <x v="113"/>
    <d v="1899-12-30T16:10:00"/>
    <n v="16"/>
    <s v="After 15"/>
    <s v="CUSTA. SAN VICENTE"/>
    <s v="CENTRO"/>
    <x v="0"/>
    <s v="Hitting a person"/>
    <x v="1"/>
    <s v="Pedestrian"/>
    <x v="7"/>
    <s v="Female"/>
    <n v="7"/>
  </r>
  <r>
    <s v="2019S026280"/>
    <x v="21"/>
    <d v="1899-12-30T22:25:00"/>
    <n v="22"/>
    <s v="After 15"/>
    <s v="AVDA. ENTREVIAS / CALL. MENDEZ ALVARO"/>
    <s v="PUENTE DE VALLECAS"/>
    <x v="0"/>
    <s v="Head-on collision"/>
    <x v="1"/>
    <s v="Driver"/>
    <x v="7"/>
    <s v="Male"/>
    <n v="7"/>
  </r>
  <r>
    <s v="2019S026582"/>
    <x v="4"/>
    <d v="1899-12-30T18:45:00"/>
    <n v="18"/>
    <s v="After 15"/>
    <s v="PASEO. DELICIAS"/>
    <s v="ARGANZUELA"/>
    <x v="0"/>
    <s v="Reach"/>
    <x v="1"/>
    <s v="Driver"/>
    <x v="7"/>
    <s v="Male"/>
    <n v="7"/>
  </r>
  <r>
    <s v="2019S026745"/>
    <x v="47"/>
    <d v="1899-12-30T14:35:00"/>
    <n v="14"/>
    <s v="Before 15"/>
    <s v="FRENTE FAROLA Nº 6"/>
    <s v="CENTRO"/>
    <x v="0"/>
    <s v="Fall"/>
    <x v="1"/>
    <s v="Driver"/>
    <x v="7"/>
    <s v="Male"/>
    <n v="7"/>
  </r>
  <r>
    <s v="2019S026966"/>
    <x v="174"/>
    <d v="1899-12-30T20:32:00"/>
    <n v="20"/>
    <s v="After 15"/>
    <s v="PLAZA SANTA BARBARA CON CALLE SERRANO ANGUITA"/>
    <s v="CENTRO"/>
    <x v="0"/>
    <s v="Fall"/>
    <x v="3"/>
    <s v="Driver"/>
    <x v="7"/>
    <s v="Male"/>
    <n v="1"/>
  </r>
  <r>
    <s v="2019S027011"/>
    <x v="174"/>
    <d v="1899-12-30T19:50:00"/>
    <n v="19"/>
    <s v="After 15"/>
    <s v="PLAZA. MORERAS"/>
    <s v="MONCLOA-ARAVACA"/>
    <x v="0"/>
    <s v="Fall"/>
    <x v="5"/>
    <s v="Driver"/>
    <x v="7"/>
    <s v="Female"/>
    <n v="1"/>
  </r>
  <r>
    <s v="2019S027815"/>
    <x v="70"/>
    <d v="1899-12-30T12:35:00"/>
    <n v="12"/>
    <s v="Before 15"/>
    <s v="CALL. CLAUDIO MOYANO"/>
    <s v="RETIRO"/>
    <x v="0"/>
    <s v="Hitting a person"/>
    <x v="1"/>
    <s v="Driver"/>
    <x v="7"/>
    <s v="Female"/>
    <n v="6"/>
  </r>
  <r>
    <s v="2019S027813"/>
    <x v="256"/>
    <d v="1899-12-30T07:04:00"/>
    <n v="7"/>
    <s v="Before 15"/>
    <s v="PASEO. PRADO / CALL. ALCALA"/>
    <s v="CENTRO"/>
    <x v="0"/>
    <s v="Head-on collision"/>
    <x v="1"/>
    <s v="Driver"/>
    <x v="7"/>
    <s v="Male"/>
    <s v=""/>
  </r>
  <r>
    <s v="2019S028487"/>
    <x v="257"/>
    <d v="1899-12-30T18:40:00"/>
    <n v="18"/>
    <s v="After 15"/>
    <s v="ANILLO VERDE CICLISTA, PKM 32"/>
    <s v="CARABANCHEL"/>
    <x v="0"/>
    <s v="Fall"/>
    <x v="1"/>
    <s v="Driver"/>
    <x v="7"/>
    <s v="Female"/>
    <n v="1"/>
  </r>
  <r>
    <s v="2019S028981"/>
    <x v="183"/>
    <d v="1899-12-30T09:35:00"/>
    <n v="9"/>
    <s v="Before 15"/>
    <s v="CALL. CONDE DE PEÑALVER"/>
    <s v="SALAMANCA"/>
    <x v="0"/>
    <s v="Reach"/>
    <x v="1"/>
    <s v="Driver"/>
    <x v="7"/>
    <s v="Male"/>
    <n v="7"/>
  </r>
  <r>
    <s v="2019S029033"/>
    <x v="5"/>
    <d v="1899-12-30T02:35:00"/>
    <n v="2"/>
    <s v="Before 15"/>
    <s v="CALL. SEGOVIA / RONDA. SEGOVIA"/>
    <s v="ARGANZUELA"/>
    <x v="0"/>
    <s v="Head-on collision"/>
    <x v="4"/>
    <s v="Driver"/>
    <x v="7"/>
    <s v="Male"/>
    <s v=""/>
  </r>
  <r>
    <s v="2019S029194"/>
    <x v="73"/>
    <d v="1899-12-30T13:35:00"/>
    <n v="13"/>
    <s v="Before 15"/>
    <s v="AUTOV. A-42, +00500S"/>
    <s v="CARABANCHEL"/>
    <x v="0"/>
    <s v="Head-on collision"/>
    <x v="1"/>
    <s v="Driver"/>
    <x v="7"/>
    <s v="Male"/>
    <n v="6"/>
  </r>
  <r>
    <s v="2019S029277"/>
    <x v="258"/>
    <d v="1899-12-30T15:22:00"/>
    <n v="15"/>
    <s v="After 15"/>
    <s v="CALL. EMBAJADORES"/>
    <s v="ARGANZUELA"/>
    <x v="0"/>
    <s v="Crash into fixed obstacle"/>
    <x v="1"/>
    <s v="Driver"/>
    <x v="7"/>
    <s v="Male"/>
    <n v="7"/>
  </r>
  <r>
    <s v="2019S029391"/>
    <x v="23"/>
    <d v="1899-12-30T16:00:00"/>
    <n v="16"/>
    <s v="After 15"/>
    <s v="CALL. SAN GERMAN / CALL. GENERAL CABRERA"/>
    <s v="TETUÁN"/>
    <x v="1"/>
    <s v="Fall"/>
    <x v="1"/>
    <s v="Driver"/>
    <x v="7"/>
    <s v="Male"/>
    <n v="7"/>
  </r>
  <r>
    <s v="2019S029644"/>
    <x v="6"/>
    <d v="1899-12-30T21:15:00"/>
    <n v="21"/>
    <s v="After 15"/>
    <s v="CALL. ARROYO DE LA MEDIA LEGUA / CALL. ALCALDE GARRIDO JUARISTI"/>
    <s v="MORATALAZ"/>
    <x v="2"/>
    <s v="Hitting a person"/>
    <x v="1"/>
    <s v="Driver"/>
    <x v="7"/>
    <s v="Male"/>
    <n v="14"/>
  </r>
  <r>
    <s v="2019S029556"/>
    <x v="6"/>
    <d v="1899-12-30T19:04:00"/>
    <n v="19"/>
    <s v="After 15"/>
    <s v="CALL. ALCALA / CALL. MARQUES DE CUBAS"/>
    <s v="CENTRO"/>
    <x v="0"/>
    <s v="Lateral collision"/>
    <x v="1"/>
    <s v="Driver"/>
    <x v="7"/>
    <s v="Female"/>
    <n v="2"/>
  </r>
  <r>
    <s v="2019S030052"/>
    <x v="187"/>
    <d v="1899-12-30T14:30:00"/>
    <n v="14"/>
    <s v="Before 15"/>
    <s v="PLAZA. SAGRADOS CORAZONES / AVDA. CONCHA ESPINA"/>
    <s v="CHAMARTÍN"/>
    <x v="1"/>
    <s v="Fall"/>
    <x v="1"/>
    <s v="Driver"/>
    <x v="7"/>
    <s v="Male"/>
    <n v="6"/>
  </r>
  <r>
    <s v="2019S030034"/>
    <x v="259"/>
    <d v="1899-12-30T07:50:00"/>
    <n v="7"/>
    <s v="Before 15"/>
    <s v="CALL. CORREO / PLAZA. PUERTA DEL SOL"/>
    <s v="CENTRO"/>
    <x v="0"/>
    <s v="Head-on collision"/>
    <x v="1"/>
    <s v="Driver"/>
    <x v="7"/>
    <s v="Female"/>
    <n v="5"/>
  </r>
  <r>
    <s v="2019S030489"/>
    <x v="260"/>
    <d v="1899-12-30T17:00:00"/>
    <n v="17"/>
    <s v="After 15"/>
    <s v="CALL. ALCALA / CALL. VELAZQUEZ"/>
    <s v="SALAMANCA"/>
    <x v="0"/>
    <s v="Lateral collision"/>
    <x v="1"/>
    <s v="Driver"/>
    <x v="7"/>
    <s v="Male"/>
    <n v="6"/>
  </r>
  <r>
    <s v="2019S030577"/>
    <x v="261"/>
    <d v="1899-12-30T23:00:00"/>
    <n v="23"/>
    <s v="After 15"/>
    <s v="CALL. JOSE ABASCAL"/>
    <s v="CHAMBERÍ"/>
    <x v="1"/>
    <s v="Reach"/>
    <x v="1"/>
    <s v="Driver"/>
    <x v="7"/>
    <s v="Male"/>
    <n v="7"/>
  </r>
  <r>
    <s v="2019S030726"/>
    <x v="121"/>
    <d v="1899-12-30T17:50:00"/>
    <n v="17"/>
    <s v="After 15"/>
    <s v="AVENIDA GENERAL PERÓN CON C/ ORENSE"/>
    <s v="TETUÁN"/>
    <x v="1"/>
    <s v="Head-on collision"/>
    <x v="1"/>
    <s v="Driver"/>
    <x v="7"/>
    <s v="Male"/>
    <n v="5"/>
  </r>
  <r>
    <s v="2019S031198"/>
    <x v="123"/>
    <d v="1899-12-30T21:10:00"/>
    <n v="21"/>
    <s v="After 15"/>
    <s v="CMNO. ROBLEDAL / CTRA. TELEFERICO"/>
    <s v="MONCLOA-ARAVACA"/>
    <x v="0"/>
    <s v="Fall"/>
    <x v="1"/>
    <s v="Driver"/>
    <x v="7"/>
    <s v="Male"/>
    <n v="7"/>
  </r>
  <r>
    <s v="2019S031128"/>
    <x v="123"/>
    <d v="1899-12-30T14:30:00"/>
    <n v="14"/>
    <s v="Before 15"/>
    <s v="PASEO. CASTELLANA"/>
    <s v="CHAMARTÍN"/>
    <x v="1"/>
    <s v="Reach"/>
    <x v="1"/>
    <s v="Driver"/>
    <x v="7"/>
    <s v="Male"/>
    <n v="7"/>
  </r>
  <r>
    <s v="2019S031595"/>
    <x v="125"/>
    <d v="1899-12-30T20:45:00"/>
    <n v="20"/>
    <s v="After 15"/>
    <s v="CALL. CARTAGENA"/>
    <s v="CHAMARTÍN"/>
    <x v="1"/>
    <s v="Fall"/>
    <x v="1"/>
    <s v="Driver"/>
    <x v="7"/>
    <s v="Female"/>
    <n v="6"/>
  </r>
  <r>
    <s v="2019S031523"/>
    <x v="125"/>
    <d v="1899-12-30T16:25:00"/>
    <n v="16"/>
    <s v="After 15"/>
    <s v="CALL. ALCALA / CALL. ALEJANDRO GONZALEZ"/>
    <s v="SALAMANCA"/>
    <x v="0"/>
    <s v="Lateral collision"/>
    <x v="1"/>
    <s v="Driver"/>
    <x v="7"/>
    <s v="Male"/>
    <n v="1"/>
  </r>
  <r>
    <s v="2019S031556"/>
    <x v="125"/>
    <d v="1899-12-30T12:10:00"/>
    <n v="12"/>
    <s v="Before 15"/>
    <s v="PASEO. FERNAN NUÑEZ / PASEO. REPUBLICA DE CUBA"/>
    <s v="RETIRO"/>
    <x v="0"/>
    <s v="Lateral collision"/>
    <x v="1"/>
    <s v="Driver"/>
    <x v="7"/>
    <s v="Female"/>
    <n v="7"/>
  </r>
  <r>
    <s v="2019S031556"/>
    <x v="125"/>
    <d v="1899-12-30T12:10:00"/>
    <n v="12"/>
    <s v="Before 15"/>
    <s v="PASEO. FERNAN NUÑEZ / PASEO. REPUBLICA DE CUBA"/>
    <s v="RETIRO"/>
    <x v="0"/>
    <s v="Lateral collision"/>
    <x v="1"/>
    <s v="Driver"/>
    <x v="7"/>
    <s v="Male"/>
    <n v="14"/>
  </r>
  <r>
    <s v="2019S031783"/>
    <x v="190"/>
    <d v="1899-12-30T08:26:00"/>
    <n v="8"/>
    <s v="Before 15"/>
    <s v="CALL. TERESA LOPEZ VALCARCEL"/>
    <s v="ARGANZUELA"/>
    <x v="0"/>
    <s v="Fall"/>
    <x v="1"/>
    <s v="Driver"/>
    <x v="7"/>
    <s v="Female"/>
    <n v="7"/>
  </r>
  <r>
    <s v="2019S033013"/>
    <x v="76"/>
    <d v="1899-12-30T20:45:00"/>
    <n v="20"/>
    <s v="After 15"/>
    <s v="CALL. FLAUTAS / CALL. CLARINETES"/>
    <s v="LATINA"/>
    <x v="0"/>
    <s v="Head-on collision"/>
    <x v="1"/>
    <s v="Driver"/>
    <x v="7"/>
    <s v="Male"/>
    <n v="7"/>
  </r>
  <r>
    <s v="2019S031973"/>
    <x v="126"/>
    <d v="1899-12-30T09:10:00"/>
    <n v="9"/>
    <s v="Before 15"/>
    <s v="CALL. PUERTO DE BALBARAN"/>
    <s v="PUENTE DE VALLECAS"/>
    <x v="0"/>
    <s v="Head-on collision"/>
    <x v="1"/>
    <s v="Driver"/>
    <x v="7"/>
    <s v="Male"/>
    <n v="2"/>
  </r>
  <r>
    <s v="2019S033093"/>
    <x v="78"/>
    <d v="1899-12-30T17:33:00"/>
    <n v="17"/>
    <s v="After 15"/>
    <s v="PASEO. LA HABANA"/>
    <s v="CHAMARTÍN"/>
    <x v="1"/>
    <s v="Lateral collision"/>
    <x v="1"/>
    <s v="Driver"/>
    <x v="7"/>
    <s v="Male"/>
    <n v="7"/>
  </r>
  <r>
    <s v="2019S033141"/>
    <x v="192"/>
    <d v="1899-12-30T08:40:00"/>
    <n v="8"/>
    <s v="Before 15"/>
    <s v="CALL. JUAN DE MARIANA"/>
    <s v="ARGANZUELA"/>
    <x v="0"/>
    <s v="Fall"/>
    <x v="1"/>
    <s v="Driver"/>
    <x v="7"/>
    <s v="Female"/>
    <n v="7"/>
  </r>
  <r>
    <s v="2019S033901"/>
    <x v="262"/>
    <d v="1899-12-30T09:24:00"/>
    <n v="9"/>
    <s v="Before 15"/>
    <s v="CALL. ALCALA / CALL. MARQUES DE CUBAS"/>
    <s v="CENTRO"/>
    <x v="0"/>
    <s v="Fall"/>
    <x v="1"/>
    <s v="Driver"/>
    <x v="7"/>
    <s v="Male"/>
    <n v="6"/>
  </r>
  <r>
    <s v="2019S034064"/>
    <x v="263"/>
    <d v="1899-12-30T00:38:00"/>
    <n v="0"/>
    <s v="Before 15"/>
    <s v="PLAZA. ALONSO MARTINEZ / CALL. SAGASTA"/>
    <s v="CHAMBERÍ"/>
    <x v="1"/>
    <s v="Hitting a person"/>
    <x v="1"/>
    <s v="Pedestrian"/>
    <x v="7"/>
    <s v="Male"/>
    <n v="7"/>
  </r>
  <r>
    <s v="2019S034540"/>
    <x v="264"/>
    <d v="1899-12-30T11:00:00"/>
    <n v="11"/>
    <s v="Before 15"/>
    <s v="PISTA. CRISTO DE EL PARDO"/>
    <s v="FUENCARRAL-EL PARDO"/>
    <x v="1"/>
    <s v="Fall"/>
    <x v="1"/>
    <s v="Driver"/>
    <x v="7"/>
    <s v="Male"/>
    <n v="3"/>
  </r>
  <r>
    <s v="2019S035493"/>
    <x v="196"/>
    <d v="1899-12-30T21:00:00"/>
    <n v="21"/>
    <s v="After 15"/>
    <s v="CALL. SERRANO / CALL. ARMADA ESPAÑOLA"/>
    <s v="SALAMANCA"/>
    <x v="0"/>
    <s v="Fall"/>
    <x v="3"/>
    <s v="Driver"/>
    <x v="7"/>
    <s v="Male"/>
    <n v="7"/>
  </r>
  <r>
    <s v="2019S035249"/>
    <x v="196"/>
    <d v="1899-12-30T20:00:00"/>
    <n v="20"/>
    <s v="After 15"/>
    <s v="CALL. PRINCIPE DE VERGARA"/>
    <s v="CHAMARTÍN"/>
    <x v="1"/>
    <s v="Head-on collision"/>
    <x v="3"/>
    <s v="Driver"/>
    <x v="7"/>
    <s v="Male"/>
    <n v="1"/>
  </r>
  <r>
    <s v="2019S035514"/>
    <x v="197"/>
    <d v="1899-12-30T19:30:00"/>
    <n v="19"/>
    <s v="After 15"/>
    <s v="CALL. ALCALA / CALL. MARTIRES CONCEPCIONISTAS"/>
    <s v="SALAMANCA"/>
    <x v="0"/>
    <s v="Lateral collision"/>
    <x v="1"/>
    <s v="Driver"/>
    <x v="7"/>
    <s v="Male"/>
    <s v=""/>
  </r>
  <r>
    <s v="2019S035513"/>
    <x v="197"/>
    <d v="1899-12-30T19:05:00"/>
    <n v="19"/>
    <s v="After 15"/>
    <s v="PLAZA. SANTO DOMINGO / CALL. SILVA"/>
    <s v="CENTRO"/>
    <x v="0"/>
    <s v="Fall"/>
    <x v="1"/>
    <s v="Driver"/>
    <x v="7"/>
    <s v="Male"/>
    <n v="7"/>
  </r>
  <r>
    <s v="2019S039726"/>
    <x v="198"/>
    <d v="1899-12-30T23:50:00"/>
    <n v="23"/>
    <s v="After 15"/>
    <s v="CALL. SAN MARCOS / CALL. BARBIERI"/>
    <s v="CENTRO"/>
    <x v="0"/>
    <s v="Head-on collision"/>
    <x v="1"/>
    <s v="Driver"/>
    <x v="7"/>
    <s v="Male"/>
    <s v=""/>
  </r>
  <r>
    <s v="2019S036119"/>
    <x v="8"/>
    <d v="1899-12-30T15:20:00"/>
    <n v="15"/>
    <s v="After 15"/>
    <s v="ATOCHA"/>
    <s v="CENTRO"/>
    <x v="0"/>
    <s v="Lateral collision"/>
    <x v="1"/>
    <s v="Driver"/>
    <x v="7"/>
    <s v="Male"/>
    <n v="14"/>
  </r>
  <r>
    <s v="2019S036089"/>
    <x v="8"/>
    <d v="1899-12-30T09:10:00"/>
    <n v="9"/>
    <s v="Before 15"/>
    <s v="CALL. MARTIN MUÑOZ DE LAS POSADAS"/>
    <s v="VILLA DE VALLECAS"/>
    <x v="0"/>
    <s v="Lateral collision"/>
    <x v="1"/>
    <s v="Driver"/>
    <x v="7"/>
    <s v="Male"/>
    <n v="6"/>
  </r>
  <r>
    <s v="2019S036846"/>
    <x v="203"/>
    <d v="1899-12-30T22:50:00"/>
    <n v="22"/>
    <s v="After 15"/>
    <s v="PLAZA. ALONSO MARTINEZ / CALL. SANTA ENGRACIA"/>
    <s v="CHAMBERÍ"/>
    <x v="1"/>
    <s v="Fall"/>
    <x v="3"/>
    <s v="Driver"/>
    <x v="7"/>
    <s v="Male"/>
    <n v="7"/>
  </r>
  <r>
    <s v="2019S037108"/>
    <x v="53"/>
    <d v="1899-12-30T19:30:00"/>
    <n v="19"/>
    <s v="After 15"/>
    <s v="PASEO. CHOPERA"/>
    <s v="ARGANZUELA"/>
    <x v="0"/>
    <s v="Head-on collision"/>
    <x v="4"/>
    <s v="Driver"/>
    <x v="7"/>
    <s v="Male"/>
    <n v="14"/>
  </r>
  <r>
    <s v="2019S038240"/>
    <x v="265"/>
    <d v="1899-12-30T17:15:00"/>
    <n v="17"/>
    <s v="After 15"/>
    <s v="AVDA. LLANO CASTELLANO"/>
    <s v="FUENCARRAL-EL PARDO"/>
    <x v="1"/>
    <s v="Reach"/>
    <x v="0"/>
    <s v="Driver"/>
    <x v="7"/>
    <s v="Male"/>
    <s v=""/>
  </r>
  <r>
    <s v="2019S004134"/>
    <x v="142"/>
    <d v="1899-12-30T20:20:00"/>
    <n v="20"/>
    <s v="After 15"/>
    <s v="PASEO. EL PARDO"/>
    <s v="FUENCARRAL-EL PARDO"/>
    <x v="1"/>
    <s v="Fall"/>
    <x v="1"/>
    <s v="Driver"/>
    <x v="8"/>
    <s v="Male"/>
    <n v="2"/>
  </r>
  <r>
    <s v="2019S002788"/>
    <x v="142"/>
    <d v="1899-12-30T11:10:00"/>
    <n v="11"/>
    <s v="Before 15"/>
    <s v="CALL. FLORA"/>
    <s v="CENTRO"/>
    <x v="0"/>
    <s v="Fall"/>
    <x v="1"/>
    <s v="Driver"/>
    <x v="8"/>
    <s v="Male"/>
    <n v="7"/>
  </r>
  <r>
    <s v="2019S010276"/>
    <x v="241"/>
    <d v="1899-12-30T11:30:00"/>
    <n v="11"/>
    <s v="Before 15"/>
    <s v="CALL. MARTINEZ DE LA RIVA"/>
    <s v="PUENTE DE VALLECAS"/>
    <x v="0"/>
    <s v="Lateral collision"/>
    <x v="1"/>
    <s v="Driver"/>
    <x v="8"/>
    <s v="Male"/>
    <s v=""/>
  </r>
  <r>
    <s v="2019S008627"/>
    <x v="31"/>
    <d v="1899-12-30T17:30:00"/>
    <n v="17"/>
    <s v="After 15"/>
    <s v="CALL. ALCALA"/>
    <s v="CENTRO"/>
    <x v="0"/>
    <s v="Reach"/>
    <x v="1"/>
    <s v="Driver"/>
    <x v="8"/>
    <s v="Male"/>
    <s v=""/>
  </r>
  <r>
    <s v="2019S014246"/>
    <x v="266"/>
    <d v="1899-12-30T20:05:00"/>
    <n v="20"/>
    <s v="After 15"/>
    <s v="CALL. GENERAL RICARDOS"/>
    <s v="CARABANCHEL"/>
    <x v="0"/>
    <s v="Reach"/>
    <x v="1"/>
    <s v="Driver"/>
    <x v="8"/>
    <s v="Male"/>
    <n v="2"/>
  </r>
  <r>
    <s v="2019S013198"/>
    <x v="90"/>
    <d v="1899-12-30T10:35:00"/>
    <n v="10"/>
    <s v="Before 15"/>
    <s v="CALL. PARROCO EUSEBIO CUENCA"/>
    <s v="ARGANZUELA"/>
    <x v="0"/>
    <s v="Fall"/>
    <x v="1"/>
    <s v="Driver"/>
    <x v="8"/>
    <s v="Male"/>
    <n v="5"/>
  </r>
  <r>
    <s v="2019S014153"/>
    <x v="33"/>
    <d v="1899-12-30T12:10:00"/>
    <n v="12"/>
    <s v="Before 15"/>
    <s v="RONDA. ATOCHA"/>
    <s v="ARGANZUELA"/>
    <x v="0"/>
    <s v="Fall"/>
    <x v="1"/>
    <s v="Driver"/>
    <x v="8"/>
    <s v="Male"/>
    <n v="14"/>
  </r>
  <r>
    <s v="2019S014289"/>
    <x v="57"/>
    <d v="1899-12-30T11:35:00"/>
    <n v="11"/>
    <s v="Before 15"/>
    <s v="RETIRO"/>
    <s v="RETIRO"/>
    <x v="0"/>
    <s v="Fall"/>
    <x v="1"/>
    <s v="Driver"/>
    <x v="8"/>
    <s v="Male"/>
    <n v="5"/>
  </r>
  <r>
    <s v="2019S016418"/>
    <x v="267"/>
    <d v="1899-12-30T19:00:00"/>
    <n v="19"/>
    <s v="After 15"/>
    <s v="CALL. DOLORES BARRANCO / CALL. NICOLAS SANCHEZ"/>
    <s v="USERA"/>
    <x v="0"/>
    <s v="Other"/>
    <x v="1"/>
    <s v="Driver"/>
    <x v="8"/>
    <s v="Male"/>
    <n v="7"/>
  </r>
  <r>
    <s v="2019S016220"/>
    <x v="215"/>
    <d v="1899-12-30T18:35:00"/>
    <n v="18"/>
    <s v="After 15"/>
    <s v="CALL. O'DONNELL"/>
    <s v="RETIRO"/>
    <x v="0"/>
    <s v="Head-on collision"/>
    <x v="1"/>
    <s v="Driver"/>
    <x v="8"/>
    <s v="Male"/>
    <n v="14"/>
  </r>
  <r>
    <s v="2019S017168"/>
    <x v="268"/>
    <d v="1899-12-30T08:15:00"/>
    <n v="8"/>
    <s v="Before 15"/>
    <s v="PLAZA. LEALTAD / PASEO. PRADO"/>
    <s v="FUENCARRAL-EL PARDO"/>
    <x v="1"/>
    <s v="Head-on collision"/>
    <x v="1"/>
    <s v="Driver"/>
    <x v="8"/>
    <s v="Male"/>
    <n v="7"/>
  </r>
  <r>
    <s v="2019S017942"/>
    <x v="36"/>
    <d v="1899-12-30T22:45:00"/>
    <n v="22"/>
    <s v="After 15"/>
    <s v="CALL. HORTALEZA"/>
    <s v="CENTRO"/>
    <x v="0"/>
    <s v="Hitting a person"/>
    <x v="1"/>
    <s v="Pedestrian"/>
    <x v="8"/>
    <s v="Female"/>
    <n v="2"/>
  </r>
  <r>
    <s v="2019S017393"/>
    <x v="269"/>
    <d v="1899-12-30T14:45:00"/>
    <n v="14"/>
    <s v="Before 15"/>
    <s v="AVDA. GRAN VIA DE SAN FRANCISCO"/>
    <s v="CENTRO"/>
    <x v="0"/>
    <s v="Reach"/>
    <x v="1"/>
    <s v="Driver"/>
    <x v="8"/>
    <s v="Male"/>
    <n v="7"/>
  </r>
  <r>
    <s v="2019S017448"/>
    <x v="269"/>
    <d v="1899-12-30T10:55:00"/>
    <n v="10"/>
    <s v="Before 15"/>
    <s v="CALL. FERNANDEZ DE LOS RIOS"/>
    <s v="CHAMBERÍ"/>
    <x v="1"/>
    <s v="Fall"/>
    <x v="1"/>
    <s v="Driver"/>
    <x v="8"/>
    <s v="Male"/>
    <n v="7"/>
  </r>
  <r>
    <s v="2019S017836"/>
    <x v="93"/>
    <d v="1899-12-30T16:03:00"/>
    <n v="16"/>
    <s v="After 15"/>
    <s v="RONDA. TOLEDO"/>
    <s v="ARGANZUELA"/>
    <x v="0"/>
    <s v="Fall"/>
    <x v="1"/>
    <s v="Driver"/>
    <x v="8"/>
    <s v="Male"/>
    <n v="1"/>
  </r>
  <r>
    <s v="2019S018185"/>
    <x v="270"/>
    <d v="1899-12-30T16:44:00"/>
    <n v="16"/>
    <s v="After 15"/>
    <s v="IDB. PARQUE LINEAL DEL MANZANARES"/>
    <s v="PUENTE DE VALLECAS"/>
    <x v="0"/>
    <s v="Fall"/>
    <x v="1"/>
    <s v="Driver"/>
    <x v="8"/>
    <s v="Male"/>
    <n v="2"/>
  </r>
  <r>
    <s v="2019S019391"/>
    <x v="271"/>
    <d v="1899-12-30T16:35:00"/>
    <n v="16"/>
    <s v="After 15"/>
    <s v="CUSTA. SANTO DOMINGO / CALL. FOMENTO"/>
    <s v="CENTRO"/>
    <x v="0"/>
    <s v="Fall"/>
    <x v="1"/>
    <s v="Driver"/>
    <x v="8"/>
    <s v="Male"/>
    <n v="7"/>
  </r>
  <r>
    <s v="2019S020466"/>
    <x v="251"/>
    <d v="1899-12-30T18:32:00"/>
    <n v="18"/>
    <s v="After 15"/>
    <s v="AVDA. MENENDEZ PELAYO"/>
    <s v="RETIRO"/>
    <x v="0"/>
    <s v="Lateral collision"/>
    <x v="1"/>
    <s v="Driver"/>
    <x v="8"/>
    <s v="Male"/>
    <n v="7"/>
  </r>
  <r>
    <s v="2019S021497"/>
    <x v="15"/>
    <d v="1899-12-30T17:41:00"/>
    <n v="17"/>
    <s v="After 15"/>
    <s v="PASEO. PINTOR ROSALES / PASEO. MORET"/>
    <s v="MONCLOA-ARAVACA"/>
    <x v="0"/>
    <s v="Hitting a person"/>
    <x v="1"/>
    <s v="Pedestrian"/>
    <x v="8"/>
    <s v="Female"/>
    <n v="6"/>
  </r>
  <r>
    <s v="2019S021542"/>
    <x v="252"/>
    <d v="1899-12-30T08:55:00"/>
    <n v="8"/>
    <s v="Before 15"/>
    <s v="CALL. ORENSE"/>
    <s v="TETUÁN"/>
    <x v="1"/>
    <s v="Fall"/>
    <x v="1"/>
    <s v="Driver"/>
    <x v="8"/>
    <s v="Female"/>
    <n v="6"/>
  </r>
  <r>
    <s v="2019S021808"/>
    <x v="16"/>
    <d v="1899-12-30T18:50:00"/>
    <n v="18"/>
    <s v="After 15"/>
    <s v="CALL. MALMOE"/>
    <s v="CIUDAD LINEAL"/>
    <x v="2"/>
    <s v="Head-on collision"/>
    <x v="1"/>
    <s v="Driver"/>
    <x v="8"/>
    <s v="Male"/>
    <n v="7"/>
  </r>
  <r>
    <s v="2019S021882"/>
    <x v="62"/>
    <d v="1899-12-30T17:20:00"/>
    <n v="17"/>
    <s v="After 15"/>
    <s v="CALL. MESON DE PAREDES / CALL. TRIBULETE"/>
    <s v="CENTRO"/>
    <x v="0"/>
    <s v="Lateral collision"/>
    <x v="1"/>
    <s v="Driver"/>
    <x v="8"/>
    <s v="Male"/>
    <n v="7"/>
  </r>
  <r>
    <s v="2019S022279"/>
    <x v="102"/>
    <d v="1899-12-30T12:30:00"/>
    <n v="12"/>
    <s v="Before 15"/>
    <s v="CALL. BAILEN"/>
    <s v="CENTRO"/>
    <x v="0"/>
    <s v="Hitting a person"/>
    <x v="1"/>
    <s v="Driver"/>
    <x v="8"/>
    <s v="Female"/>
    <n v="14"/>
  </r>
  <r>
    <s v="2019S022362"/>
    <x v="254"/>
    <d v="1899-12-30T09:45:00"/>
    <n v="9"/>
    <s v="Before 15"/>
    <s v="PASEO. ACACIAS"/>
    <s v="ARGANZUELA"/>
    <x v="0"/>
    <s v="Reach"/>
    <x v="1"/>
    <s v="Driver"/>
    <x v="8"/>
    <s v="Male"/>
    <n v="3"/>
  </r>
  <r>
    <s v="2019S022613"/>
    <x v="254"/>
    <d v="1899-12-30T00:22:00"/>
    <n v="0"/>
    <s v="Before 15"/>
    <s v="CALL. AYALA / CALL. VELAZQUEZ"/>
    <s v="SALAMANCA"/>
    <x v="0"/>
    <s v="Fall"/>
    <x v="1"/>
    <s v="Driver"/>
    <x v="8"/>
    <s v="Male"/>
    <n v="7"/>
  </r>
  <r>
    <s v="2019S022968"/>
    <x v="104"/>
    <d v="1899-12-30T07:50:00"/>
    <n v="7"/>
    <s v="Before 15"/>
    <s v="CALLE JOAQUIN TURINA-CALLE SITIO DE EL ESCORIAL"/>
    <s v="CARABANCHEL"/>
    <x v="0"/>
    <s v="Hitting a person"/>
    <x v="1"/>
    <s v="Pedestrian"/>
    <x v="8"/>
    <s v="Female"/>
    <n v="7"/>
  </r>
  <r>
    <s v="2019S023587"/>
    <x v="19"/>
    <d v="1899-12-30T15:07:00"/>
    <n v="15"/>
    <s v="After 15"/>
    <s v="CALL. MARQUESA DE TORRECILLA / CALL. MISTERIOS"/>
    <s v="CIUDAD LINEAL"/>
    <x v="2"/>
    <s v="Head-on collision"/>
    <x v="1"/>
    <s v="Driver"/>
    <x v="8"/>
    <s v="Female"/>
    <n v="7"/>
  </r>
  <r>
    <s v="2019S024333"/>
    <x v="166"/>
    <d v="1899-12-30T14:25:00"/>
    <n v="14"/>
    <s v="Before 15"/>
    <s v="AVDA. BETANZOS"/>
    <s v="FUENCARRAL-EL PARDO"/>
    <x v="1"/>
    <s v="Reach"/>
    <x v="1"/>
    <s v="Driver"/>
    <x v="8"/>
    <s v="Male"/>
    <n v="7"/>
  </r>
  <r>
    <s v="2019S024502"/>
    <x v="108"/>
    <d v="1899-12-30T13:05:00"/>
    <n v="13"/>
    <s v="Before 15"/>
    <s v="PASEO. JUAN ANTONIO VALLEJO-NAJERA BOTAS"/>
    <s v="ARGANZUELA"/>
    <x v="0"/>
    <s v="Fall"/>
    <x v="1"/>
    <s v="Driver"/>
    <x v="8"/>
    <s v="Male"/>
    <n v="1"/>
  </r>
  <r>
    <s v="2019S024530"/>
    <x v="167"/>
    <d v="1899-12-30T19:50:00"/>
    <n v="19"/>
    <s v="After 15"/>
    <s v="CALL. SERRANO"/>
    <s v="CHAMARTÍN"/>
    <x v="1"/>
    <s v="Fall"/>
    <x v="1"/>
    <s v="Driver"/>
    <x v="8"/>
    <s v="Female"/>
    <n v="7"/>
  </r>
  <r>
    <s v="2019S025095"/>
    <x v="110"/>
    <d v="1899-12-30T21:00:00"/>
    <n v="21"/>
    <s v="After 15"/>
    <s v="CALL. BRAVO MURILLO"/>
    <s v="TETUÁN"/>
    <x v="1"/>
    <s v="Reach"/>
    <x v="1"/>
    <s v="Driver"/>
    <x v="8"/>
    <s v="Male"/>
    <n v="2"/>
  </r>
  <r>
    <s v="2019S025226"/>
    <x v="20"/>
    <d v="1899-12-30T16:58:00"/>
    <n v="16"/>
    <s v="After 15"/>
    <s v="CALL. CONDE DE PEÑALVER / CALL. HERMOSILLA"/>
    <s v="SALAMANCA"/>
    <x v="0"/>
    <s v="Lateral collision"/>
    <x v="1"/>
    <s v="Driver"/>
    <x v="8"/>
    <s v="Male"/>
    <n v="14"/>
  </r>
  <r>
    <s v="2019S025311"/>
    <x v="20"/>
    <d v="1899-12-30T15:10:00"/>
    <n v="15"/>
    <s v="After 15"/>
    <s v="AVDA. BURGOS, 89 (RECINTO &quot;ADEQUA&quot;)"/>
    <s v="FUENCARRAL-EL PARDO"/>
    <x v="1"/>
    <s v="Fall"/>
    <x v="1"/>
    <s v="Driver"/>
    <x v="8"/>
    <s v="Male"/>
    <n v="6"/>
  </r>
  <r>
    <s v="2019S025261"/>
    <x v="20"/>
    <d v="1899-12-30T13:45:00"/>
    <n v="13"/>
    <s v="Before 15"/>
    <s v="CALL. PUERTO DE SOMPORT"/>
    <s v="FUENCARRAL-EL PARDO"/>
    <x v="1"/>
    <s v="Reach"/>
    <x v="1"/>
    <s v="Driver"/>
    <x v="8"/>
    <s v="Male"/>
    <n v="7"/>
  </r>
  <r>
    <s v="2019S025498"/>
    <x v="46"/>
    <d v="1899-12-30T19:40:00"/>
    <n v="19"/>
    <s v="After 15"/>
    <s v="CALL. BARCELO"/>
    <s v="CENTRO"/>
    <x v="0"/>
    <s v="Fall"/>
    <x v="1"/>
    <s v="Driver"/>
    <x v="8"/>
    <s v="Male"/>
    <n v="7"/>
  </r>
  <r>
    <s v="2019S025778"/>
    <x v="67"/>
    <d v="1899-12-30T19:45:00"/>
    <n v="19"/>
    <s v="After 15"/>
    <s v="CALL. BRETON DE LOS HERREROS / CALL. PONZANO"/>
    <s v="CHAMBERÍ"/>
    <x v="1"/>
    <s v="Fall"/>
    <x v="1"/>
    <s v="Driver"/>
    <x v="8"/>
    <s v="Male"/>
    <n v="7"/>
  </r>
  <r>
    <s v="2019S025780"/>
    <x v="222"/>
    <d v="1899-12-30T16:30:00"/>
    <n v="16"/>
    <s v="After 15"/>
    <s v="PASEO. FERNAN NUÑEZ"/>
    <s v="RETIRO"/>
    <x v="0"/>
    <s v="Fall"/>
    <x v="1"/>
    <s v="Driver"/>
    <x v="8"/>
    <s v="Female"/>
    <n v="2"/>
  </r>
  <r>
    <s v="2019S025815"/>
    <x v="222"/>
    <d v="1899-12-30T14:02:00"/>
    <n v="14"/>
    <s v="Before 15"/>
    <s v="CALL. SEGOVIA"/>
    <s v="ARGANZUELA"/>
    <x v="0"/>
    <s v="Head-on collision"/>
    <x v="1"/>
    <s v="Driver"/>
    <x v="8"/>
    <s v="Male"/>
    <s v=""/>
  </r>
  <r>
    <s v="2019S026865"/>
    <x v="114"/>
    <d v="1899-12-30T20:53:00"/>
    <n v="20"/>
    <s v="After 15"/>
    <s v="CALL. FUENCARRAL"/>
    <s v="CENTRO"/>
    <x v="0"/>
    <s v="Hitting a person"/>
    <x v="5"/>
    <s v="Driver"/>
    <x v="8"/>
    <s v="Male"/>
    <n v="14"/>
  </r>
  <r>
    <s v="2019S026808"/>
    <x v="114"/>
    <d v="1899-12-30T12:10:00"/>
    <n v="12"/>
    <s v="Before 15"/>
    <s v="CALL. PUERTO DE PORZUNA / CALL. CABEZA MESADA"/>
    <s v="VILLA DE VALLECAS"/>
    <x v="0"/>
    <s v="Fall"/>
    <x v="1"/>
    <s v="Driver"/>
    <x v="8"/>
    <s v="Female"/>
    <n v="7"/>
  </r>
  <r>
    <s v="2019S027278"/>
    <x v="272"/>
    <d v="1899-12-30T17:31:00"/>
    <n v="17"/>
    <s v="After 15"/>
    <s v="CALL. ALFONSO XII / CALL. CLAUDIO MOYANO"/>
    <s v="RETIRO"/>
    <x v="0"/>
    <s v="Fall"/>
    <x v="1"/>
    <s v="Driver"/>
    <x v="8"/>
    <s v="Male"/>
    <n v="1"/>
  </r>
  <r>
    <s v="2019S027992"/>
    <x v="273"/>
    <d v="1899-12-30T22:25:00"/>
    <n v="22"/>
    <s v="After 15"/>
    <s v="CALL. ARROYO DE LA MEDIA LEGUA"/>
    <s v="MORATALAZ"/>
    <x v="2"/>
    <s v="Head-on collision"/>
    <x v="1"/>
    <s v="Driver"/>
    <x v="8"/>
    <s v="Male"/>
    <n v="3"/>
  </r>
  <r>
    <s v="2019S028869"/>
    <x v="179"/>
    <d v="1899-12-30T13:20:00"/>
    <n v="13"/>
    <s v="Before 15"/>
    <s v="CALL. MARCELO USERA / CALL. SAN ANTONIO DE PADUA"/>
    <s v="USERA"/>
    <x v="0"/>
    <s v="Head-on collision"/>
    <x v="1"/>
    <s v="Driver"/>
    <x v="8"/>
    <s v="Male"/>
    <s v=""/>
  </r>
  <r>
    <s v="2019S029341"/>
    <x v="258"/>
    <d v="1899-12-30T21:40:00"/>
    <n v="21"/>
    <s v="After 15"/>
    <s v="AVDA. PABLO NERUDA"/>
    <s v="PUENTE DE VALLECAS"/>
    <x v="0"/>
    <s v="Lateral collision"/>
    <x v="1"/>
    <s v="Driver"/>
    <x v="8"/>
    <s v="Male"/>
    <n v="1"/>
  </r>
  <r>
    <s v="2019S029817"/>
    <x v="185"/>
    <d v="1899-12-30T12:00:00"/>
    <n v="12"/>
    <s v="Before 15"/>
    <s v="CALL. EMBAJADORES"/>
    <s v="ARGANZUELA"/>
    <x v="0"/>
    <s v="Head-on collision"/>
    <x v="1"/>
    <s v="Driver"/>
    <x v="8"/>
    <s v="Male"/>
    <n v="5"/>
  </r>
  <r>
    <s v="2019S029862"/>
    <x v="186"/>
    <d v="1899-12-30T11:55:00"/>
    <n v="11"/>
    <s v="Before 15"/>
    <s v="PARQUE LINEAL DEL MANZANARES"/>
    <s v="CARABANCHEL"/>
    <x v="0"/>
    <s v="Hitting a person"/>
    <x v="1"/>
    <s v="Driver"/>
    <x v="8"/>
    <s v="Male"/>
    <n v="6"/>
  </r>
  <r>
    <s v="2019S030058"/>
    <x v="187"/>
    <d v="1899-12-30T15:40:00"/>
    <n v="15"/>
    <s v="After 15"/>
    <s v="CALL. PRINCIPE DE VERGARA"/>
    <s v="CHAMARTÍN"/>
    <x v="1"/>
    <s v="Reach"/>
    <x v="1"/>
    <s v="Driver"/>
    <x v="8"/>
    <s v="Male"/>
    <n v="7"/>
  </r>
  <r>
    <s v="2019S030584"/>
    <x v="261"/>
    <d v="1899-12-30T10:10:00"/>
    <n v="10"/>
    <s v="Before 15"/>
    <s v="PASEO. VIRGEN DEL PUERTO / PASEO. VIRGEN DEL PUERTO"/>
    <s v="ARGANZUELA"/>
    <x v="0"/>
    <s v="Reach"/>
    <x v="1"/>
    <s v="Driver"/>
    <x v="8"/>
    <s v="Male"/>
    <s v=""/>
  </r>
  <r>
    <s v="2019S030725"/>
    <x v="120"/>
    <d v="1899-12-30T19:40:00"/>
    <n v="19"/>
    <s v="After 15"/>
    <s v="CALL. DULCE CHACON / AVDA. INGENIERO EMILIO HERRERA"/>
    <s v="HORTALEZA"/>
    <x v="0"/>
    <s v="Head-on collision"/>
    <x v="1"/>
    <s v="Driver"/>
    <x v="8"/>
    <s v="Male"/>
    <s v=""/>
  </r>
  <r>
    <s v="2019S030636"/>
    <x v="120"/>
    <d v="1899-12-30T17:55:00"/>
    <n v="17"/>
    <s v="After 15"/>
    <s v="CALL. DOCTOR ESQUERDO"/>
    <s v="RETIRO"/>
    <x v="0"/>
    <s v="Lateral collision"/>
    <x v="1"/>
    <s v="Driver"/>
    <x v="8"/>
    <s v="Female"/>
    <n v="2"/>
  </r>
  <r>
    <s v="2019S031351"/>
    <x v="124"/>
    <d v="1899-12-30T21:55:00"/>
    <n v="21"/>
    <s v="After 15"/>
    <s v="PASEO. DELICIAS"/>
    <s v="ARGANZUELA"/>
    <x v="0"/>
    <s v="Reach"/>
    <x v="1"/>
    <s v="Driver"/>
    <x v="8"/>
    <s v="Male"/>
    <n v="7"/>
  </r>
  <r>
    <s v="2019S031771"/>
    <x v="76"/>
    <d v="1899-12-30T12:20:00"/>
    <n v="12"/>
    <s v="Before 15"/>
    <s v="CALL. DOCTOR CORTEZO"/>
    <s v="CENTRO"/>
    <x v="0"/>
    <s v="Fall"/>
    <x v="1"/>
    <s v="Driver"/>
    <x v="8"/>
    <s v="Female"/>
    <n v="2"/>
  </r>
  <r>
    <s v="2019S032930"/>
    <x v="233"/>
    <d v="1899-12-30T20:45:00"/>
    <n v="20"/>
    <s v="After 15"/>
    <s v="AVDA. ANDALUCIA"/>
    <s v="USERA"/>
    <x v="0"/>
    <s v="Fall"/>
    <x v="1"/>
    <s v="Driver"/>
    <x v="8"/>
    <s v="Female"/>
    <n v="2"/>
  </r>
  <r>
    <s v="2019S032223"/>
    <x v="233"/>
    <d v="1899-12-30T18:36:00"/>
    <n v="18"/>
    <s v="After 15"/>
    <s v="CALL. ALBERTO AGUILERA"/>
    <s v="CHAMBERÍ"/>
    <x v="1"/>
    <s v="Fall"/>
    <x v="1"/>
    <s v="Driver"/>
    <x v="8"/>
    <s v="Male"/>
    <n v="7"/>
  </r>
  <r>
    <s v="2019S032364"/>
    <x v="51"/>
    <d v="1899-12-30T17:25:00"/>
    <n v="17"/>
    <s v="After 15"/>
    <s v="CALL. MARTINEZ IZQUIERDO"/>
    <s v="SALAMANCA"/>
    <x v="0"/>
    <s v="Fall"/>
    <x v="1"/>
    <s v="Driver"/>
    <x v="8"/>
    <s v="Male"/>
    <n v="7"/>
  </r>
  <r>
    <s v="2019S033105"/>
    <x v="78"/>
    <d v="1899-12-30T21:20:00"/>
    <n v="21"/>
    <s v="After 15"/>
    <s v="CALL. ENRIQUE LARRETA"/>
    <s v="CHAMARTÍN"/>
    <x v="1"/>
    <s v="Lateral collision"/>
    <x v="1"/>
    <s v="Driver"/>
    <x v="8"/>
    <s v="Male"/>
    <n v="7"/>
  </r>
  <r>
    <s v="2019S033112"/>
    <x v="192"/>
    <d v="1899-12-30T22:10:00"/>
    <n v="22"/>
    <s v="After 15"/>
    <s v="GTA. RUIZ JIMENEZ / CALL. ALBERTO AGUILERA"/>
    <s v="CENTRO"/>
    <x v="0"/>
    <s v="Head-on collision"/>
    <x v="1"/>
    <s v="Driver"/>
    <x v="8"/>
    <s v="Male"/>
    <n v="3"/>
  </r>
  <r>
    <s v="2019S033161"/>
    <x v="79"/>
    <d v="1899-12-30T15:15:00"/>
    <n v="15"/>
    <s v="After 15"/>
    <s v="CALL. SAN BERNARDO"/>
    <s v="CENTRO"/>
    <x v="0"/>
    <s v="Lateral collision"/>
    <x v="0"/>
    <s v="Driver"/>
    <x v="8"/>
    <s v="Male"/>
    <n v="7"/>
  </r>
  <r>
    <s v="2019S034457"/>
    <x v="194"/>
    <d v="1899-12-30T20:10:00"/>
    <n v="20"/>
    <s v="After 15"/>
    <s v="CALL. ARTURO SORIA"/>
    <s v="CIUDAD LINEAL"/>
    <x v="2"/>
    <s v="Fall"/>
    <x v="1"/>
    <s v="Driver"/>
    <x v="8"/>
    <s v="Male"/>
    <n v="7"/>
  </r>
  <r>
    <s v="2019S034960"/>
    <x v="195"/>
    <d v="1899-12-30T23:56:00"/>
    <n v="23"/>
    <s v="After 15"/>
    <s v="INS. AVENIDA DE LOS TOREROS / CALL. FRANCISCO SANTOS"/>
    <s v="SALAMANCA"/>
    <x v="0"/>
    <s v="Head-on collision"/>
    <x v="0"/>
    <s v="Driver"/>
    <x v="8"/>
    <s v="Female"/>
    <s v=""/>
  </r>
  <r>
    <s v="2019S035207"/>
    <x v="274"/>
    <d v="1899-12-30T23:40:00"/>
    <n v="23"/>
    <s v="After 15"/>
    <s v="CALL. ATOCHA"/>
    <s v="CENTRO"/>
    <x v="0"/>
    <s v="Lateral collision"/>
    <x v="1"/>
    <s v="Driver"/>
    <x v="8"/>
    <s v="Male"/>
    <n v="7"/>
  </r>
  <r>
    <s v="2019S035125"/>
    <x v="274"/>
    <d v="1899-12-30T15:20:00"/>
    <n v="15"/>
    <s v="After 15"/>
    <s v="CALL. BATALLA DEL SALADO / CALL. CACERES"/>
    <s v="ARGANZUELA"/>
    <x v="0"/>
    <s v="Head-on collision"/>
    <x v="1"/>
    <s v="Driver"/>
    <x v="8"/>
    <s v="Male"/>
    <n v="2"/>
  </r>
  <r>
    <s v="2019S035344"/>
    <x v="196"/>
    <d v="1899-12-30T13:55:00"/>
    <n v="13"/>
    <s v="Before 15"/>
    <s v="AVDA. LLANO CASTELLANO / AVDA. CARDENAL HERRERA ORIA"/>
    <s v="FUENCARRAL-EL PARDO"/>
    <x v="1"/>
    <s v="Hitting a person"/>
    <x v="1"/>
    <s v="Driver"/>
    <x v="8"/>
    <s v="Male"/>
    <n v="6"/>
  </r>
  <r>
    <s v="2019S035430"/>
    <x v="275"/>
    <d v="1899-12-30T20:48:00"/>
    <n v="20"/>
    <s v="After 15"/>
    <s v="AVDA. MENENDEZ PELAYO"/>
    <s v="RETIRO"/>
    <x v="0"/>
    <s v="Reach"/>
    <x v="1"/>
    <s v="Driver"/>
    <x v="8"/>
    <s v="Male"/>
    <n v="7"/>
  </r>
  <r>
    <s v="2019S035417"/>
    <x v="275"/>
    <d v="1899-12-30T18:10:00"/>
    <n v="18"/>
    <s v="After 15"/>
    <s v="CALL. GOYA"/>
    <s v="SALAMANCA"/>
    <x v="0"/>
    <s v="Other"/>
    <x v="1"/>
    <s v="Driver"/>
    <x v="8"/>
    <s v="Female"/>
    <s v=""/>
  </r>
  <r>
    <s v="2019S035440"/>
    <x v="197"/>
    <d v="1899-12-30T07:40:00"/>
    <n v="7"/>
    <s v="Before 15"/>
    <s v="CALL. TENIENTE CORONEL NOREÑA / CALL. TERESA LOPEZ VALCARCEL"/>
    <s v="ARGANZUELA"/>
    <x v="0"/>
    <s v="Lateral collision"/>
    <x v="1"/>
    <s v="Driver"/>
    <x v="8"/>
    <s v="Female"/>
    <n v="3"/>
  </r>
  <r>
    <s v="2019S035679"/>
    <x v="132"/>
    <d v="1899-12-30T20:20:00"/>
    <n v="20"/>
    <s v="After 15"/>
    <s v="PASEO. ESPERANZA / CALL. GARGANTILLA"/>
    <s v="ARGANZUELA"/>
    <x v="0"/>
    <s v="Reach"/>
    <x v="1"/>
    <s v="Driver"/>
    <x v="8"/>
    <s v="Female"/>
    <n v="1"/>
  </r>
  <r>
    <s v="2019S036406"/>
    <x v="200"/>
    <d v="1899-12-30T16:20:00"/>
    <n v="16"/>
    <s v="After 15"/>
    <s v="CALL. TOLEDO / PASEO. JUAN ANTONIO VALLEJO-NAJERA BOTAS"/>
    <s v="ARGANZUELA"/>
    <x v="0"/>
    <s v="Fall"/>
    <x v="3"/>
    <s v="Driver"/>
    <x v="8"/>
    <s v="Male"/>
    <n v="1"/>
  </r>
  <r>
    <s v="2019S036642"/>
    <x v="133"/>
    <d v="1899-12-30T22:45:00"/>
    <n v="22"/>
    <s v="After 15"/>
    <s v="CALL. RIVAS / CALL. BOYER"/>
    <s v="VICÁLVARO"/>
    <x v="2"/>
    <s v="Fall"/>
    <x v="1"/>
    <s v="Driver"/>
    <x v="8"/>
    <s v="Male"/>
    <n v="2"/>
  </r>
  <r>
    <s v="2019S037770"/>
    <x v="83"/>
    <d v="1899-12-30T20:25:00"/>
    <n v="20"/>
    <s v="After 15"/>
    <s v="AVDA DE LAS FUERZAS ARMADAS/ AVDA DE BUENOS AIRES"/>
    <s v="BARAJAS"/>
    <x v="2"/>
    <s v="Crash into fixed obstacle"/>
    <x v="1"/>
    <s v="Driver"/>
    <x v="8"/>
    <s v="Male"/>
    <n v="2"/>
  </r>
  <r>
    <s v="2019S038170"/>
    <x v="265"/>
    <d v="1899-12-30T19:45:00"/>
    <n v="19"/>
    <s v="After 15"/>
    <s v="CALL. PITAGORAS / PLAZA. GRECIA"/>
    <s v="SAN BLAS-CANILLEJAS"/>
    <x v="2"/>
    <s v="Reach"/>
    <x v="1"/>
    <s v="Driver"/>
    <x v="8"/>
    <s v="Male"/>
    <n v="7"/>
  </r>
  <r>
    <s v="2019S038265"/>
    <x v="265"/>
    <d v="1899-12-30T14:50:00"/>
    <n v="14"/>
    <s v="Before 15"/>
    <s v="CALL. MENDEZ ALVARO / AVDA. PLANETARIO"/>
    <s v="ARGANZUELA"/>
    <x v="0"/>
    <s v="Fall"/>
    <x v="1"/>
    <s v="Driver"/>
    <x v="8"/>
    <s v="Male"/>
    <n v="1"/>
  </r>
  <r>
    <s v="2019S038444"/>
    <x v="137"/>
    <d v="1899-12-30T12:50:00"/>
    <n v="12"/>
    <s v="Before 15"/>
    <s v="CALL. EDISON / GTA. LOPEZ DE HOYOS"/>
    <s v="CHAMARTÍN"/>
    <x v="1"/>
    <s v="Head-on collision"/>
    <x v="0"/>
    <s v="Driver"/>
    <x v="8"/>
    <s v="Female"/>
    <n v="3"/>
  </r>
  <r>
    <s v="2019S038876"/>
    <x v="276"/>
    <d v="1899-12-30T14:15:00"/>
    <n v="14"/>
    <s v="Before 15"/>
    <s v="CALL. PONZANO"/>
    <s v="CHAMBERÍ"/>
    <x v="1"/>
    <s v="Fall"/>
    <x v="1"/>
    <s v="Driver"/>
    <x v="8"/>
    <s v="Male"/>
    <n v="7"/>
  </r>
  <r>
    <s v="2019S039799"/>
    <x v="277"/>
    <d v="1899-12-30T09:45:00"/>
    <n v="9"/>
    <s v="Before 15"/>
    <s v="CALL. WALIA / CALL. ANGEL GANIVET"/>
    <s v="RETIRO"/>
    <x v="0"/>
    <s v="Fall"/>
    <x v="1"/>
    <s v="Driver"/>
    <x v="8"/>
    <s v="Male"/>
    <n v="6"/>
  </r>
  <r>
    <s v="2019S002373"/>
    <x v="140"/>
    <d v="1899-12-30T20:55:00"/>
    <n v="20"/>
    <s v="After 15"/>
    <s v="CALL. PUERTO DE LA CRUZ VERDE"/>
    <s v="ARGANZUELA"/>
    <x v="0"/>
    <s v="Hitting a person"/>
    <x v="1"/>
    <s v="Driver"/>
    <x v="9"/>
    <s v="Male"/>
    <n v="14"/>
  </r>
  <r>
    <s v="2019S002704"/>
    <x v="30"/>
    <d v="1899-12-30T13:00:00"/>
    <n v="13"/>
    <s v="Before 15"/>
    <s v="CALL. SANCHIDRIAN"/>
    <s v="LATINA"/>
    <x v="0"/>
    <s v="Reach"/>
    <x v="1"/>
    <s v="Driver"/>
    <x v="9"/>
    <s v="Male"/>
    <n v="14"/>
  </r>
  <r>
    <s v="2019S004151"/>
    <x v="54"/>
    <d v="1899-12-30T16:15:00"/>
    <n v="16"/>
    <s v="After 15"/>
    <s v="CALL. SERRANO"/>
    <s v="CHAMARTÍN"/>
    <x v="1"/>
    <s v="Reach"/>
    <x v="1"/>
    <s v="Driver"/>
    <x v="9"/>
    <s v="Female"/>
    <n v="14"/>
  </r>
  <r>
    <s v="2019S004271"/>
    <x v="278"/>
    <d v="1899-12-30T18:05:00"/>
    <n v="18"/>
    <s v="After 15"/>
    <s v="AVDA. FERMINA SEVILLANO"/>
    <s v="SAN BLAS-CANILLEJAS"/>
    <x v="2"/>
    <s v="Head-on collision"/>
    <x v="4"/>
    <s v="Driver"/>
    <x v="9"/>
    <s v="Male"/>
    <s v=""/>
  </r>
  <r>
    <s v="2019S013729"/>
    <x v="279"/>
    <d v="1899-12-30T16:26:00"/>
    <n v="16"/>
    <s v="After 15"/>
    <s v="PASEO. RECOLETOS"/>
    <s v="CENTRO"/>
    <x v="0"/>
    <s v="Fall"/>
    <x v="3"/>
    <s v="Driver"/>
    <x v="9"/>
    <s v="Male"/>
    <n v="2"/>
  </r>
  <r>
    <s v="2019S007891"/>
    <x v="86"/>
    <d v="1899-12-30T00:15:00"/>
    <n v="0"/>
    <s v="Before 15"/>
    <s v="CALL. FRANCISCO SANTOS / CALL. MARTINEZ IZQUIERDO"/>
    <s v="SALAMANCA"/>
    <x v="0"/>
    <s v="Head-on collision"/>
    <x v="3"/>
    <s v="Driver"/>
    <x v="9"/>
    <s v="Male"/>
    <n v="7"/>
  </r>
  <r>
    <s v="2019S008637"/>
    <x v="280"/>
    <d v="1899-12-30T17:00:00"/>
    <n v="17"/>
    <s v="After 15"/>
    <s v="CALL. ALTAMIRANO / PASEO. PINTOR ROSALES"/>
    <s v="MONCLOA-ARAVACA"/>
    <x v="0"/>
    <s v="Fall"/>
    <x v="1"/>
    <s v="Driver"/>
    <x v="9"/>
    <s v="Female"/>
    <n v="6"/>
  </r>
  <r>
    <s v="2019S008448"/>
    <x v="31"/>
    <d v="1899-12-30T08:05:00"/>
    <n v="8"/>
    <s v="Before 15"/>
    <s v="AVDA. LLANO CASTELLANO / AVDA. CARDENAL HERRERA ORIA"/>
    <s v="FUENCARRAL-EL PARDO"/>
    <x v="1"/>
    <s v="Hitting a person"/>
    <x v="1"/>
    <s v="Driver"/>
    <x v="9"/>
    <s v="Male"/>
    <n v="2"/>
  </r>
  <r>
    <s v="2019S010852"/>
    <x v="88"/>
    <d v="1899-12-30T17:30:00"/>
    <n v="17"/>
    <s v="After 15"/>
    <s v="CALL. SILVANO / CALL. FRANCISCO MOSQUEDA"/>
    <s v="HORTALEZA"/>
    <x v="0"/>
    <s v="Hitting a person"/>
    <x v="1"/>
    <s v="Driver"/>
    <x v="9"/>
    <s v="Male"/>
    <n v="2"/>
  </r>
  <r>
    <s v="2019S010951"/>
    <x v="281"/>
    <d v="1899-12-30T14:10:00"/>
    <n v="14"/>
    <s v="Before 15"/>
    <s v="GTA. ANGEL CAIDO"/>
    <s v="RETIRO"/>
    <x v="0"/>
    <s v="Fall"/>
    <x v="1"/>
    <s v="Driver"/>
    <x v="9"/>
    <s v="Female"/>
    <n v="6"/>
  </r>
  <r>
    <s v="2019S011338"/>
    <x v="242"/>
    <d v="1899-12-30T19:55:00"/>
    <n v="19"/>
    <s v="After 15"/>
    <s v="CALL. JOAQUIN TURINA"/>
    <s v="CARABANCHEL"/>
    <x v="0"/>
    <s v="Fall"/>
    <x v="1"/>
    <s v="Driver"/>
    <x v="9"/>
    <s v="Female"/>
    <n v="6"/>
  </r>
  <r>
    <s v="2019S013863"/>
    <x v="56"/>
    <d v="1899-12-30T08:45:00"/>
    <n v="8"/>
    <s v="Before 15"/>
    <s v="GTA. SINTRA / CALL. VIA DE DUBLIN"/>
    <s v="BARAJAS"/>
    <x v="2"/>
    <s v="Head-on collision"/>
    <x v="1"/>
    <s v="Driver"/>
    <x v="9"/>
    <s v="Male"/>
    <n v="7"/>
  </r>
  <r>
    <s v="2019S014416"/>
    <x v="245"/>
    <d v="1899-12-30T17:00:00"/>
    <n v="17"/>
    <s v="After 15"/>
    <s v="CALL. ALBAIDA"/>
    <s v="SAN BLAS-CANILLEJAS"/>
    <x v="2"/>
    <s v="Head-on collision"/>
    <x v="1"/>
    <s v="Driver"/>
    <x v="9"/>
    <s v="Female"/>
    <n v="6"/>
  </r>
  <r>
    <s v="2019S016649"/>
    <x v="282"/>
    <d v="1899-12-30T11:55:00"/>
    <n v="11"/>
    <s v="Before 15"/>
    <s v="AVDA. VICTORIA"/>
    <s v="MONCLOA-ARAVACA"/>
    <x v="0"/>
    <s v="Head-on collision"/>
    <x v="4"/>
    <s v="Driver"/>
    <x v="9"/>
    <s v="Male"/>
    <s v=""/>
  </r>
  <r>
    <s v="2019S016679"/>
    <x v="152"/>
    <d v="1899-12-30T15:32:00"/>
    <n v="15"/>
    <s v="After 15"/>
    <s v="AVDA. ENSANCHE DE VALLECAS / AVDA. LA GAVIA"/>
    <s v="VILLA DE VALLECAS"/>
    <x v="0"/>
    <s v="Other"/>
    <x v="1"/>
    <s v="Driver"/>
    <x v="9"/>
    <s v="Male"/>
    <n v="7"/>
  </r>
  <r>
    <s v="2019S016943"/>
    <x v="283"/>
    <d v="1899-12-30T12:00:00"/>
    <n v="12"/>
    <s v="Before 15"/>
    <s v="GTA. MARQUES DE VADILLO / PNTE. TOLEDO"/>
    <s v="CARABANCHEL"/>
    <x v="0"/>
    <s v="Fall"/>
    <x v="1"/>
    <s v="Driver"/>
    <x v="9"/>
    <s v="Male"/>
    <n v="6"/>
  </r>
  <r>
    <s v="2019S017304"/>
    <x v="247"/>
    <d v="1899-12-30T19:10:00"/>
    <n v="19"/>
    <s v="After 15"/>
    <s v="CALL. JOAQUIN COSTA, FRENTE Nº 6"/>
    <s v="CHAMARTÍN"/>
    <x v="1"/>
    <s v="Other"/>
    <x v="1"/>
    <s v="Driver"/>
    <x v="9"/>
    <s v="Male"/>
    <n v="7"/>
  </r>
  <r>
    <s v="2019S017391"/>
    <x v="247"/>
    <d v="1899-12-30T18:55:00"/>
    <n v="18"/>
    <s v="After 15"/>
    <s v="CALL. MANCHA"/>
    <s v="PUENTE DE VALLECAS"/>
    <x v="0"/>
    <s v="Lateral collision"/>
    <x v="1"/>
    <s v="Driver"/>
    <x v="9"/>
    <s v="Male"/>
    <n v="7"/>
  </r>
  <r>
    <s v="2019S017566"/>
    <x v="249"/>
    <d v="1899-12-30T10:15:00"/>
    <n v="10"/>
    <s v="Before 15"/>
    <s v="GTA. ERMITA DE LA VIRGEN DE LA SOLEDAD"/>
    <s v="BARAJAS"/>
    <x v="2"/>
    <s v="Reach"/>
    <x v="1"/>
    <s v="Driver"/>
    <x v="9"/>
    <s v="Male"/>
    <n v="2"/>
  </r>
  <r>
    <s v="2019S017873"/>
    <x v="94"/>
    <d v="1899-12-30T13:50:00"/>
    <n v="13"/>
    <s v="Before 15"/>
    <s v="AUTOV. M-607, +01500S"/>
    <s v="FUENCARRAL-EL PARDO"/>
    <x v="1"/>
    <s v="Head-on collision"/>
    <x v="0"/>
    <s v="Driver"/>
    <x v="9"/>
    <s v="Male"/>
    <n v="6"/>
  </r>
  <r>
    <s v="2019S018517"/>
    <x v="284"/>
    <d v="1899-12-30T17:20:00"/>
    <n v="17"/>
    <s v="After 15"/>
    <s v="CALL. ALCALA"/>
    <s v="CENTRO"/>
    <x v="0"/>
    <s v="Fall"/>
    <x v="1"/>
    <s v="Driver"/>
    <x v="9"/>
    <s v="Female"/>
    <n v="2"/>
  </r>
  <r>
    <s v="2019S018483"/>
    <x v="284"/>
    <d v="1899-12-30T08:00:00"/>
    <n v="8"/>
    <s v="Before 15"/>
    <s v="AVENIDA CANILLEJAS A VICÁLVARO CON GLORIETA M-40"/>
    <s v="SAN BLAS-CANILLEJAS"/>
    <x v="2"/>
    <s v="Head-on collision"/>
    <x v="1"/>
    <s v="Driver"/>
    <x v="9"/>
    <s v="Male"/>
    <n v="6"/>
  </r>
  <r>
    <s v="2019S019899"/>
    <x v="161"/>
    <d v="1899-12-30T07:10:00"/>
    <n v="7"/>
    <s v="Before 15"/>
    <s v="CALL. ALCALA / CALL. LOS URQUIZA"/>
    <s v="CIUDAD LINEAL"/>
    <x v="2"/>
    <s v="Hitting a person"/>
    <x v="1"/>
    <s v="Driver"/>
    <x v="9"/>
    <s v="Male"/>
    <n v="14"/>
  </r>
  <r>
    <s v="2019S020574"/>
    <x v="61"/>
    <d v="1899-12-30T14:49:00"/>
    <n v="14"/>
    <s v="Before 15"/>
    <s v="CALL. SESEÑA"/>
    <s v="LATINA"/>
    <x v="0"/>
    <s v="Hitting a person"/>
    <x v="1"/>
    <s v="Driver"/>
    <x v="9"/>
    <s v="Male"/>
    <n v="7"/>
  </r>
  <r>
    <s v="2019S020821"/>
    <x v="1"/>
    <d v="1899-12-30T15:56:00"/>
    <n v="15"/>
    <s v="After 15"/>
    <s v="AVDA. POBLADOS"/>
    <s v="CARABANCHEL"/>
    <x v="0"/>
    <s v="Head-on collision"/>
    <x v="1"/>
    <s v="Driver"/>
    <x v="9"/>
    <s v="Male"/>
    <n v="7"/>
  </r>
  <r>
    <s v="2019S021189"/>
    <x v="285"/>
    <d v="1899-12-30T11:03:00"/>
    <n v="11"/>
    <s v="Before 15"/>
    <s v="AVDA. CERRO MILANO"/>
    <s v="VILLA DE VALLECAS"/>
    <x v="0"/>
    <s v="Lateral collision"/>
    <x v="2"/>
    <s v="Driver"/>
    <x v="9"/>
    <s v="Male"/>
    <n v="14"/>
  </r>
  <r>
    <s v="2019S021302"/>
    <x v="98"/>
    <d v="1899-12-30T22:20:00"/>
    <n v="22"/>
    <s v="After 15"/>
    <s v="CALL. SEBASTIAN HERRERA"/>
    <s v="ARGANZUELA"/>
    <x v="0"/>
    <s v="Fall"/>
    <x v="1"/>
    <s v="Driver"/>
    <x v="9"/>
    <s v="Male"/>
    <n v="7"/>
  </r>
  <r>
    <s v="2019S021889"/>
    <x v="62"/>
    <d v="1899-12-30T20:40:00"/>
    <n v="20"/>
    <s v="After 15"/>
    <s v="PQUE. ENRIQUE TIERNO GALVAN"/>
    <s v="ARGANZUELA"/>
    <x v="0"/>
    <s v="Fall"/>
    <x v="1"/>
    <s v="Driver"/>
    <x v="9"/>
    <s v="Male"/>
    <n v="1"/>
  </r>
  <r>
    <s v="2019S021957"/>
    <x v="101"/>
    <d v="1899-12-30T19:20:00"/>
    <n v="19"/>
    <s v="After 15"/>
    <s v="CTRA. M-616, +00500S"/>
    <s v="FUENCARRAL-EL PARDO"/>
    <x v="1"/>
    <s v="Head-on collision"/>
    <x v="1"/>
    <s v="Driver"/>
    <x v="9"/>
    <s v="Female"/>
    <n v="2"/>
  </r>
  <r>
    <s v="2019S022010"/>
    <x v="286"/>
    <d v="1899-12-30T14:10:00"/>
    <n v="14"/>
    <s v="Before 15"/>
    <s v="PLAZA. CASTILLA / PASEO. CASTELLANA"/>
    <s v="TETUÁN"/>
    <x v="1"/>
    <s v="Head-on collision"/>
    <x v="1"/>
    <s v="Driver"/>
    <x v="9"/>
    <s v="Male"/>
    <n v="14"/>
  </r>
  <r>
    <s v="2019S022178"/>
    <x v="253"/>
    <d v="1899-12-30T08:55:00"/>
    <n v="8"/>
    <s v="Before 15"/>
    <s v="CALL. TOLEDO / CALL. CONCEPCION JERONIMA"/>
    <s v="CENTRO"/>
    <x v="0"/>
    <s v="Head-on collision"/>
    <x v="1"/>
    <s v="Driver"/>
    <x v="9"/>
    <s v="Male"/>
    <n v="2"/>
  </r>
  <r>
    <s v="2019S022327"/>
    <x v="102"/>
    <d v="1899-12-30T17:10:00"/>
    <n v="17"/>
    <s v="After 15"/>
    <s v="CALL. CONDE DE PEÑALVER"/>
    <s v="SALAMANCA"/>
    <x v="0"/>
    <s v="Reach"/>
    <x v="1"/>
    <s v="Driver"/>
    <x v="9"/>
    <s v="Male"/>
    <n v="7"/>
  </r>
  <r>
    <s v="2019S023041"/>
    <x v="17"/>
    <d v="1899-12-30T23:05:00"/>
    <n v="23"/>
    <s v="After 15"/>
    <s v="CALL. PICO DE LA MALICIOSA"/>
    <s v="PUENTE DE VALLECAS"/>
    <x v="0"/>
    <s v="Other"/>
    <x v="1"/>
    <s v="Pedestrian"/>
    <x v="9"/>
    <s v="Female"/>
    <s v=""/>
  </r>
  <r>
    <s v="2019S023869"/>
    <x v="220"/>
    <d v="1899-12-30T11:47:00"/>
    <n v="11"/>
    <s v="Before 15"/>
    <s v="CALL. VILLAVICIOSA"/>
    <s v="LATINA"/>
    <x v="0"/>
    <s v="Fall"/>
    <x v="1"/>
    <s v="Driver"/>
    <x v="9"/>
    <s v="Female"/>
    <n v="1"/>
  </r>
  <r>
    <s v="2019S023995"/>
    <x v="107"/>
    <d v="1899-12-30T08:50:00"/>
    <n v="8"/>
    <s v="Before 15"/>
    <s v="PLAZA. SAN JUAN DE LA CRUZ / PASEO. CASTELLANA"/>
    <s v="CHAMBERÍ"/>
    <x v="1"/>
    <s v="Fall"/>
    <x v="1"/>
    <s v="Driver"/>
    <x v="9"/>
    <s v="Male"/>
    <n v="6"/>
  </r>
  <r>
    <s v="2019S024373"/>
    <x v="108"/>
    <d v="1899-12-30T00:40:00"/>
    <n v="0"/>
    <s v="Before 15"/>
    <s v="PLAZA. EMPERADOR CARLOS V"/>
    <s v="CENTRO"/>
    <x v="0"/>
    <s v="Head-on collision"/>
    <x v="1"/>
    <s v="Driver"/>
    <x v="9"/>
    <s v="Male"/>
    <n v="14"/>
  </r>
  <r>
    <s v="2019S024979"/>
    <x v="110"/>
    <d v="1899-12-30T11:00:00"/>
    <n v="11"/>
    <s v="Before 15"/>
    <s v="CALL. SAN BERNARDO"/>
    <s v="CENTRO"/>
    <x v="0"/>
    <s v="Fall"/>
    <x v="1"/>
    <s v="Driver"/>
    <x v="9"/>
    <s v="Female"/>
    <n v="1"/>
  </r>
  <r>
    <s v="2019S025364"/>
    <x v="287"/>
    <d v="1899-12-30T11:15:00"/>
    <n v="11"/>
    <s v="Before 15"/>
    <s v="CALL. TORRECILLA DEL LEAL / CALL. OLMO"/>
    <s v="CENTRO"/>
    <x v="0"/>
    <s v="Head-on collision"/>
    <x v="1"/>
    <s v="Driver"/>
    <x v="9"/>
    <s v="Male"/>
    <n v="7"/>
  </r>
  <r>
    <s v="2019S025968"/>
    <x v="223"/>
    <d v="1899-12-30T18:19:00"/>
    <n v="18"/>
    <s v="After 15"/>
    <s v="AVDA. CARTAGENA DE INDIAS"/>
    <s v="VILLA DE VALLECAS"/>
    <x v="0"/>
    <s v="Head-on collision"/>
    <x v="1"/>
    <s v="Driver"/>
    <x v="9"/>
    <s v="Female"/>
    <n v="4"/>
  </r>
  <r>
    <s v="2019S026332"/>
    <x v="3"/>
    <d v="1899-12-30T22:00:00"/>
    <n v="22"/>
    <s v="After 15"/>
    <s v="AVDA. MANZANARES / PQUE. MADRID RIO"/>
    <s v="CARABANCHEL"/>
    <x v="0"/>
    <s v="Hitting a person"/>
    <x v="1"/>
    <s v="Driver"/>
    <x v="9"/>
    <s v="Male"/>
    <n v="14"/>
  </r>
  <r>
    <s v="2019S027141"/>
    <x v="69"/>
    <d v="1899-12-30T11:50:00"/>
    <n v="11"/>
    <s v="Before 15"/>
    <s v="PASEO. CASTELLANA"/>
    <s v="CHAMARTÍN"/>
    <x v="1"/>
    <s v="Lateral collision"/>
    <x v="1"/>
    <s v="Driver"/>
    <x v="9"/>
    <s v="Male"/>
    <n v="6"/>
  </r>
  <r>
    <s v="2019S027521"/>
    <x v="177"/>
    <d v="1899-12-30T10:15:00"/>
    <n v="10"/>
    <s v="Before 15"/>
    <s v="PASEO. SANTA MARIA DE LA CABEZA / CALL. FRAY LUIS DE LEON"/>
    <s v="ARGANZUELA"/>
    <x v="0"/>
    <s v="Fall"/>
    <x v="1"/>
    <s v="Driver"/>
    <x v="9"/>
    <s v="Female"/>
    <n v="7"/>
  </r>
  <r>
    <s v="2019S027887"/>
    <x v="71"/>
    <d v="1899-12-30T08:02:00"/>
    <n v="8"/>
    <s v="Before 15"/>
    <s v="CALL. FRANCISCO UMBRAL / CALL. VIA DE DUBLIN"/>
    <s v="BARAJAS"/>
    <x v="2"/>
    <s v="Head-on collision"/>
    <x v="1"/>
    <s v="Driver"/>
    <x v="9"/>
    <s v="Male"/>
    <n v="7"/>
  </r>
  <r>
    <s v="2019S027988"/>
    <x v="273"/>
    <d v="1899-12-30T19:10:00"/>
    <n v="19"/>
    <s v="After 15"/>
    <s v="CALL. LADERA DE LOS ALMENDROS / CALL. RAYA"/>
    <s v="VICÁLVARO"/>
    <x v="2"/>
    <s v="Head-on collision"/>
    <x v="1"/>
    <s v="Driver"/>
    <x v="9"/>
    <s v="Male"/>
    <n v="7"/>
  </r>
  <r>
    <s v="2019S028354"/>
    <x v="228"/>
    <d v="1899-12-30T17:05:00"/>
    <n v="17"/>
    <s v="After 15"/>
    <s v="GLORIETA SOBRE M-40"/>
    <s v="SAN BLAS-CANILLEJAS"/>
    <x v="2"/>
    <s v="Head-on collision"/>
    <x v="1"/>
    <s v="Driver"/>
    <x v="9"/>
    <s v="Male"/>
    <n v="2"/>
  </r>
  <r>
    <s v="2019S028640"/>
    <x v="230"/>
    <d v="1899-12-30T21:40:00"/>
    <n v="21"/>
    <s v="After 15"/>
    <s v="CMNO. ROBLEDAL"/>
    <s v="MONCLOA-ARAVACA"/>
    <x v="0"/>
    <s v="Head-on collision"/>
    <x v="1"/>
    <s v="Driver"/>
    <x v="9"/>
    <s v="Male"/>
    <n v="5"/>
  </r>
  <r>
    <s v="2019S028835"/>
    <x v="288"/>
    <d v="1899-12-30T20:10:00"/>
    <n v="20"/>
    <s v="After 15"/>
    <s v="CTRA. ZARZON"/>
    <s v="MONCLOA-ARAVACA"/>
    <x v="0"/>
    <s v="Hitting a person"/>
    <x v="1"/>
    <s v="Driver"/>
    <x v="9"/>
    <s v="Female"/>
    <n v="6"/>
  </r>
  <r>
    <s v="2019S029005"/>
    <x v="182"/>
    <d v="1899-12-30T20:05:00"/>
    <n v="20"/>
    <s v="After 15"/>
    <s v="PASEO. PONTONES / PASEO. MELANCOLICOS"/>
    <s v="ARGANZUELA"/>
    <x v="0"/>
    <s v="Fall"/>
    <x v="1"/>
    <s v="Driver"/>
    <x v="9"/>
    <s v="Female"/>
    <n v="1"/>
  </r>
  <r>
    <s v="2019S029210"/>
    <x v="73"/>
    <d v="1899-12-30T19:10:00"/>
    <n v="19"/>
    <s v="After 15"/>
    <s v="CAMINO EN ZONA DENOMIDADA COMO &quot;ESPACIO MÉXICO&quot;"/>
    <s v="BARAJAS"/>
    <x v="2"/>
    <s v="Crash into fixed obstacle"/>
    <x v="1"/>
    <s v="Driver"/>
    <x v="9"/>
    <s v="Male"/>
    <n v="7"/>
  </r>
  <r>
    <s v="2019S029257"/>
    <x v="258"/>
    <d v="1899-12-30T08:25:00"/>
    <n v="8"/>
    <s v="Before 15"/>
    <s v="AVDA. NUESTRA SEÑORA DE VALVANERA"/>
    <s v="LATINA"/>
    <x v="0"/>
    <s v="Reach"/>
    <x v="1"/>
    <s v="Driver"/>
    <x v="9"/>
    <s v="Male"/>
    <n v="3"/>
  </r>
  <r>
    <s v="2019S029358"/>
    <x v="49"/>
    <d v="1899-12-30T13:35:00"/>
    <n v="13"/>
    <s v="Before 15"/>
    <s v="PASEO. DELICIAS"/>
    <s v="ARGANZUELA"/>
    <x v="0"/>
    <s v="Head-on collision"/>
    <x v="1"/>
    <s v="Driver"/>
    <x v="9"/>
    <s v="Female"/>
    <n v="5"/>
  </r>
  <r>
    <s v="2019S029814"/>
    <x v="185"/>
    <d v="1899-12-30T13:00:00"/>
    <n v="13"/>
    <s v="Before 15"/>
    <s v="PASEO. INFANTA ISABEL / ESTFE. ATOCHA"/>
    <s v="RETIRO"/>
    <x v="0"/>
    <s v="Reach"/>
    <x v="1"/>
    <s v="Driver"/>
    <x v="9"/>
    <s v="Male"/>
    <n v="14"/>
  </r>
  <r>
    <s v="2019S030050"/>
    <x v="187"/>
    <d v="1899-12-30T22:15:00"/>
    <n v="22"/>
    <s v="After 15"/>
    <s v="PASEO. CASTELLANA"/>
    <s v="CHAMARTÍN"/>
    <x v="1"/>
    <s v="Lateral collision"/>
    <x v="1"/>
    <s v="Driver"/>
    <x v="9"/>
    <s v="Female"/>
    <n v="2"/>
  </r>
  <r>
    <s v="2019S030194"/>
    <x v="187"/>
    <d v="1899-12-30T07:20:00"/>
    <n v="7"/>
    <s v="Before 15"/>
    <s v="AVDA. NICETO ALCALA ZAMORA"/>
    <s v="HORTALEZA"/>
    <x v="0"/>
    <s v="Lateral collision"/>
    <x v="1"/>
    <s v="Driver"/>
    <x v="9"/>
    <s v="Female"/>
    <n v="2"/>
  </r>
  <r>
    <s v="2019S030537"/>
    <x v="289"/>
    <d v="1899-12-30T15:15:00"/>
    <n v="15"/>
    <s v="After 15"/>
    <s v="CALL. LOPE DE VEGA / PASEO. PRADO"/>
    <s v="CENTRO"/>
    <x v="0"/>
    <s v="Fall"/>
    <x v="3"/>
    <s v="Driver"/>
    <x v="9"/>
    <s v="Female"/>
    <n v="1"/>
  </r>
  <r>
    <s v="2019S030598"/>
    <x v="120"/>
    <d v="1899-12-30T10:00:00"/>
    <n v="10"/>
    <s v="Before 15"/>
    <s v="PLAZA DEL CINE CALLE VIRIDIANA"/>
    <s v="PUENTE DE VALLECAS"/>
    <x v="0"/>
    <s v="Head-on collision"/>
    <x v="1"/>
    <s v="Driver"/>
    <x v="9"/>
    <s v="Male"/>
    <n v="7"/>
  </r>
  <r>
    <s v="2019S030871"/>
    <x v="290"/>
    <d v="1899-12-30T13:40:00"/>
    <n v="13"/>
    <s v="Before 15"/>
    <s v="CALL. BRAVO MURILLO / CALL. LOPE DE HARO"/>
    <s v="TETUÁN"/>
    <x v="1"/>
    <s v="Reach"/>
    <x v="1"/>
    <s v="Driver"/>
    <x v="9"/>
    <s v="Male"/>
    <n v="2"/>
  </r>
  <r>
    <s v="2019S031772"/>
    <x v="189"/>
    <d v="1899-12-30T13:35:00"/>
    <n v="13"/>
    <s v="Before 15"/>
    <s v="CTRA. ZARZON"/>
    <s v="MONCLOA-ARAVACA"/>
    <x v="0"/>
    <s v="Fall"/>
    <x v="1"/>
    <s v="Driver"/>
    <x v="9"/>
    <s v="Male"/>
    <n v="7"/>
  </r>
  <r>
    <s v="2019S031531"/>
    <x v="125"/>
    <d v="1899-12-30T20:31:00"/>
    <n v="20"/>
    <s v="After 15"/>
    <s v="RONDA. ATOCHA"/>
    <s v="ARGANZUELA"/>
    <x v="0"/>
    <s v="Fall"/>
    <x v="1"/>
    <s v="Driver"/>
    <x v="9"/>
    <s v="Male"/>
    <n v="7"/>
  </r>
  <r>
    <s v="2019S032042"/>
    <x v="76"/>
    <d v="1899-12-30T20:05:00"/>
    <n v="20"/>
    <s v="After 15"/>
    <s v="CALL. CALDERILLA"/>
    <s v="CARABANCHEL"/>
    <x v="0"/>
    <s v="Fall"/>
    <x v="1"/>
    <s v="Driver"/>
    <x v="9"/>
    <s v="Female"/>
    <n v="6"/>
  </r>
  <r>
    <s v="2019S031989"/>
    <x v="77"/>
    <d v="1899-12-30T14:10:00"/>
    <n v="14"/>
    <s v="Before 15"/>
    <s v="CALL. SANTA ENGRACIA"/>
    <s v="CHAMBERÍ"/>
    <x v="1"/>
    <s v="Head-on collision"/>
    <x v="1"/>
    <s v="Driver"/>
    <x v="9"/>
    <s v="Male"/>
    <n v="14"/>
  </r>
  <r>
    <s v="2019S033087"/>
    <x v="126"/>
    <d v="1899-12-30T17:13:00"/>
    <n v="17"/>
    <s v="After 15"/>
    <s v="CALL. CARABIAS"/>
    <s v="LATINA"/>
    <x v="0"/>
    <s v="Hitting a person"/>
    <x v="2"/>
    <s v="Driver"/>
    <x v="9"/>
    <s v="Male"/>
    <n v="14"/>
  </r>
  <r>
    <s v="2019S032272"/>
    <x v="233"/>
    <d v="1899-12-30T11:00:00"/>
    <n v="11"/>
    <s v="Before 15"/>
    <s v="CALL. SANTA SUSANA"/>
    <s v="HORTALEZA"/>
    <x v="0"/>
    <s v="Fall"/>
    <x v="1"/>
    <s v="Driver"/>
    <x v="9"/>
    <s v="Male"/>
    <n v="2"/>
  </r>
  <r>
    <s v="2019S032125"/>
    <x v="233"/>
    <d v="1899-12-30T01:45:00"/>
    <n v="1"/>
    <s v="Before 15"/>
    <s v="GTA. SANTA MARIA DE LA CABEZA / GTA. SANTA MARIA DE LA CABEZA"/>
    <s v="ARGANZUELA"/>
    <x v="0"/>
    <s v="Hitting a person"/>
    <x v="1"/>
    <s v="Pedestrian"/>
    <x v="9"/>
    <s v="Female"/>
    <n v="7"/>
  </r>
  <r>
    <s v="2019S032353"/>
    <x v="51"/>
    <d v="1899-12-30T10:15:00"/>
    <n v="10"/>
    <s v="Before 15"/>
    <s v="CALL. AREQUIPA"/>
    <s v="HORTALEZA"/>
    <x v="0"/>
    <s v="Head-on collision"/>
    <x v="1"/>
    <s v="Driver"/>
    <x v="9"/>
    <s v="Female"/>
    <n v="7"/>
  </r>
  <r>
    <s v="2019S032645"/>
    <x v="127"/>
    <d v="1899-12-30T18:00:00"/>
    <n v="18"/>
    <s v="After 15"/>
    <s v="CALL. ALCALA"/>
    <s v="CENTRO"/>
    <x v="0"/>
    <s v="Lateral collision"/>
    <x v="1"/>
    <s v="Driver"/>
    <x v="9"/>
    <s v="Male"/>
    <n v="6"/>
  </r>
  <r>
    <s v="2019S032970"/>
    <x v="128"/>
    <d v="1899-12-30T10:05:00"/>
    <n v="10"/>
    <s v="Before 15"/>
    <s v="CALL. SAMARIA / AVDA. NAZARET"/>
    <s v="RETIRO"/>
    <x v="0"/>
    <s v="Fall"/>
    <x v="1"/>
    <s v="Driver"/>
    <x v="9"/>
    <s v="Male"/>
    <n v="2"/>
  </r>
  <r>
    <s v="2019S033173"/>
    <x v="79"/>
    <d v="1899-12-30T16:00:00"/>
    <n v="16"/>
    <s v="After 15"/>
    <s v="PASEO. RECOLETOS"/>
    <s v="CENTRO"/>
    <x v="0"/>
    <s v="Reach"/>
    <x v="1"/>
    <s v="Driver"/>
    <x v="9"/>
    <s v="Male"/>
    <n v="7"/>
  </r>
  <r>
    <s v="2019S033221"/>
    <x v="79"/>
    <d v="1899-12-30T07:05:00"/>
    <n v="7"/>
    <s v="Before 15"/>
    <s v="AVDA. MORATALAZ / PLAZA. CORREGIDOR ALONSO DE AGUILAR"/>
    <s v="MORATALAZ"/>
    <x v="2"/>
    <s v="Head-on collision"/>
    <x v="3"/>
    <s v="Driver"/>
    <x v="9"/>
    <s v="Female"/>
    <n v="7"/>
  </r>
  <r>
    <s v="2019S033325"/>
    <x v="234"/>
    <d v="1899-12-30T15:25:00"/>
    <n v="15"/>
    <s v="After 15"/>
    <s v="CALL. SERRANO"/>
    <s v="CHAMARTÍN"/>
    <x v="1"/>
    <s v="Reach"/>
    <x v="1"/>
    <s v="Driver"/>
    <x v="9"/>
    <s v="Male"/>
    <n v="14"/>
  </r>
  <r>
    <s v="2019S033273"/>
    <x v="234"/>
    <d v="1899-12-30T08:15:00"/>
    <n v="8"/>
    <s v="Before 15"/>
    <s v="CALL. BRAVO MURILLO"/>
    <s v="TETUÁN"/>
    <x v="1"/>
    <s v="Fall"/>
    <x v="3"/>
    <s v="Driver"/>
    <x v="9"/>
    <s v="Male"/>
    <n v="6"/>
  </r>
  <r>
    <s v="2019S033517"/>
    <x v="52"/>
    <d v="1899-12-30T11:00:00"/>
    <n v="11"/>
    <s v="Before 15"/>
    <s v="CALL. ANTONIA CALVO / CALL. ALHAMBRA"/>
    <s v="LATINA"/>
    <x v="0"/>
    <s v="Lateral collision"/>
    <x v="1"/>
    <s v="Driver"/>
    <x v="9"/>
    <s v="Female"/>
    <n v="7"/>
  </r>
  <r>
    <s v="2019S033563"/>
    <x v="80"/>
    <d v="1899-12-30T15:25:00"/>
    <n v="15"/>
    <s v="After 15"/>
    <s v="CALL. O'DONNELL / AVDA. MENENDEZ PELAYO"/>
    <s v="RETIRO"/>
    <x v="0"/>
    <s v="Hitting a person"/>
    <x v="1"/>
    <s v="Pedestrian"/>
    <x v="9"/>
    <s v="Male"/>
    <n v="7"/>
  </r>
  <r>
    <s v="2019S036636"/>
    <x v="291"/>
    <d v="1899-12-30T09:35:00"/>
    <n v="9"/>
    <s v="Before 15"/>
    <s v="CALL. CANTALEJO"/>
    <s v="FUENCARRAL-EL PARDO"/>
    <x v="1"/>
    <s v="Fall"/>
    <x v="1"/>
    <s v="Driver"/>
    <x v="9"/>
    <s v="Male"/>
    <n v="6"/>
  </r>
  <r>
    <s v="2019S038470"/>
    <x v="238"/>
    <d v="1899-12-30T20:00:00"/>
    <n v="20"/>
    <s v="After 15"/>
    <s v="GTA. PINTOR SOROLLA / CALL. ELOY GONZALO"/>
    <s v="CHAMBERÍ"/>
    <x v="1"/>
    <s v="Fall"/>
    <x v="1"/>
    <s v="Driver"/>
    <x v="9"/>
    <s v="Male"/>
    <n v="2"/>
  </r>
  <r>
    <s v="2019S038773"/>
    <x v="292"/>
    <d v="1899-12-30T11:25:00"/>
    <n v="11"/>
    <s v="Before 15"/>
    <s v="CTRA. ZARZON / CTRA. RODAJOS"/>
    <s v="MONCLOA-ARAVACA"/>
    <x v="0"/>
    <s v="Hitting a person"/>
    <x v="1"/>
    <s v="Driver"/>
    <x v="9"/>
    <s v="Male"/>
    <n v="14"/>
  </r>
  <r>
    <s v="2019S038869"/>
    <x v="277"/>
    <d v="1899-12-30T07:45:00"/>
    <n v="7"/>
    <s v="Before 15"/>
    <s v="CALL. RICARDO ORTIZ"/>
    <s v="CIUDAD LINEAL"/>
    <x v="2"/>
    <s v="Head-on collision"/>
    <x v="3"/>
    <s v="Driver"/>
    <x v="9"/>
    <s v="Male"/>
    <n v="1"/>
  </r>
  <r>
    <s v="2019S002882"/>
    <x v="293"/>
    <d v="1899-12-30T20:30:00"/>
    <n v="20"/>
    <s v="After 15"/>
    <s v="PASEO. JUAN ANTONIO VALLEJO-NAJERA BOTAS / CALL. GASOMETRO"/>
    <s v="ARGANZUELA"/>
    <x v="0"/>
    <s v="Fall"/>
    <x v="1"/>
    <s v="Driver"/>
    <x v="10"/>
    <s v="Male"/>
    <n v="2"/>
  </r>
  <r>
    <s v="2019S003277"/>
    <x v="142"/>
    <d v="1899-12-30T16:30:00"/>
    <n v="16"/>
    <s v="After 15"/>
    <s v="CALL. SANTA GENOVEVA / PLAZA. AGUSTIN GONZALEZ"/>
    <s v="CIUDAD LINEAL"/>
    <x v="2"/>
    <s v="Lateral collision"/>
    <x v="1"/>
    <s v="Driver"/>
    <x v="10"/>
    <s v="Female"/>
    <n v="14"/>
  </r>
  <r>
    <s v="2019S004769"/>
    <x v="278"/>
    <d v="1899-12-30T07:55:00"/>
    <n v="7"/>
    <s v="Before 15"/>
    <s v="CALL. GENOVA"/>
    <s v="CENTRO"/>
    <x v="0"/>
    <s v="Fall"/>
    <x v="1"/>
    <s v="Driver"/>
    <x v="10"/>
    <s v="Male"/>
    <n v="2"/>
  </r>
  <r>
    <s v="2019S007920"/>
    <x v="241"/>
    <d v="1899-12-30T11:07:00"/>
    <n v="11"/>
    <s v="Before 15"/>
    <s v="CALL. MARCELO USERA / CALL. MANUEL NOYA"/>
    <s v="USERA"/>
    <x v="0"/>
    <s v="Hitting a person"/>
    <x v="1"/>
    <s v="Driver"/>
    <x v="10"/>
    <s v="Female"/>
    <n v="14"/>
  </r>
  <r>
    <s v="2019S008489"/>
    <x v="31"/>
    <d v="1899-12-30T10:25:00"/>
    <n v="10"/>
    <s v="Before 15"/>
    <s v="CALL. JUAN BRAVO"/>
    <s v="SALAMANCA"/>
    <x v="0"/>
    <s v="Head-on collision"/>
    <x v="1"/>
    <s v="Driver"/>
    <x v="10"/>
    <s v="Male"/>
    <n v="2"/>
  </r>
  <r>
    <s v="2019S009731"/>
    <x v="146"/>
    <d v="1899-12-30T22:30:00"/>
    <n v="22"/>
    <s v="After 15"/>
    <s v="CALL. ALCALA"/>
    <s v="CENTRO"/>
    <x v="0"/>
    <s v="Fall"/>
    <x v="2"/>
    <s v="Driver"/>
    <x v="10"/>
    <s v="Female"/>
    <n v="7"/>
  </r>
  <r>
    <s v="2019S010855"/>
    <x v="89"/>
    <d v="1899-12-30T18:00:00"/>
    <n v="18"/>
    <s v="After 15"/>
    <s v="AUTOV. M-40 CON AVDA. DOCTOR GARCIA TAPIA"/>
    <s v="MORATALAZ"/>
    <x v="2"/>
    <s v="Reach"/>
    <x v="1"/>
    <s v="Driver"/>
    <x v="10"/>
    <s v="Male"/>
    <n v="7"/>
  </r>
  <r>
    <s v="2019S012186"/>
    <x v="294"/>
    <d v="1899-12-30T11:57:00"/>
    <n v="11"/>
    <s v="Before 15"/>
    <s v="CALL. IGLESIAS EXTRAMUROS / AVDA. PESETA"/>
    <s v="LATINA"/>
    <x v="0"/>
    <s v="Head-on collision"/>
    <x v="1"/>
    <s v="Driver"/>
    <x v="10"/>
    <s v="Male"/>
    <n v="7"/>
  </r>
  <r>
    <s v="2019S013751"/>
    <x v="55"/>
    <d v="1899-12-30T10:25:00"/>
    <n v="10"/>
    <s v="Before 15"/>
    <s v="PASEO. FERNAN NUÑEZ / PASEO. VENEZUELA"/>
    <s v="RETIRO"/>
    <x v="0"/>
    <s v="Fall"/>
    <x v="1"/>
    <s v="Driver"/>
    <x v="10"/>
    <s v="Male"/>
    <n v="6"/>
  </r>
  <r>
    <s v="2019S013999"/>
    <x v="33"/>
    <d v="1899-12-30T13:00:00"/>
    <n v="13"/>
    <s v="Before 15"/>
    <s v="CALL. MODESTO LAFUENTE"/>
    <s v="CHAMBERÍ"/>
    <x v="1"/>
    <s v="Fall"/>
    <x v="1"/>
    <s v="Driver"/>
    <x v="10"/>
    <s v="Male"/>
    <n v="7"/>
  </r>
  <r>
    <s v="2019S013972"/>
    <x v="149"/>
    <d v="1899-12-30T04:00:00"/>
    <n v="4"/>
    <s v="Before 15"/>
    <s v="PASEO. PRADO"/>
    <s v="CENTRO"/>
    <x v="0"/>
    <s v="Fall"/>
    <x v="1"/>
    <s v="Driver"/>
    <x v="10"/>
    <s v="Male"/>
    <n v="7"/>
  </r>
  <r>
    <s v="2019S016975"/>
    <x v="153"/>
    <d v="1899-12-30T14:10:00"/>
    <n v="14"/>
    <s v="Before 15"/>
    <s v="PASEO. LA HABANA / CALL. SANTIAGO BERNABEU"/>
    <s v="CHAMARTÍN"/>
    <x v="1"/>
    <s v="Head-on collision"/>
    <x v="1"/>
    <s v="Driver"/>
    <x v="10"/>
    <s v="Male"/>
    <n v="7"/>
  </r>
  <r>
    <s v="2019S017589"/>
    <x v="248"/>
    <d v="1899-12-30T20:50:00"/>
    <n v="20"/>
    <s v="After 15"/>
    <s v="AVDA. RAFAELA YBARRA"/>
    <s v="USERA"/>
    <x v="0"/>
    <s v="Lateral collision"/>
    <x v="4"/>
    <s v="Driver"/>
    <x v="10"/>
    <s v="Male"/>
    <s v=""/>
  </r>
  <r>
    <s v="2019S017586"/>
    <x v="248"/>
    <d v="1899-12-30T17:50:00"/>
    <n v="17"/>
    <s v="After 15"/>
    <s v="AVDA. MIRAFLORES"/>
    <s v="MONCLOA-ARAVACA"/>
    <x v="0"/>
    <s v="Reach"/>
    <x v="1"/>
    <s v="Driver"/>
    <x v="10"/>
    <s v="Male"/>
    <n v="2"/>
  </r>
  <r>
    <s v="2019S017848"/>
    <x v="93"/>
    <d v="1899-12-30T18:00:00"/>
    <n v="18"/>
    <s v="After 15"/>
    <s v="JUNTO A HUERTA DE LA PARTIDA"/>
    <s v="MONCLOA-ARAVACA"/>
    <x v="0"/>
    <s v="Head-on collision"/>
    <x v="1"/>
    <s v="Driver"/>
    <x v="10"/>
    <s v="Male"/>
    <n v="14"/>
  </r>
  <r>
    <s v="2019S019332"/>
    <x v="158"/>
    <d v="1899-12-30T18:30:00"/>
    <n v="18"/>
    <s v="After 15"/>
    <s v="PASEO. EXTREMADURA"/>
    <s v="LATINA"/>
    <x v="0"/>
    <s v="Fall"/>
    <x v="1"/>
    <s v="Driver"/>
    <x v="10"/>
    <s v="Male"/>
    <n v="7"/>
  </r>
  <r>
    <s v="2019S020144"/>
    <x v="95"/>
    <d v="1899-12-30T12:55:00"/>
    <n v="12"/>
    <s v="Before 15"/>
    <s v="AVDA. COMUNIDADES / AVDA. DEMOCRACIA"/>
    <s v="VICÁLVARO"/>
    <x v="2"/>
    <s v="Head-on collision"/>
    <x v="1"/>
    <s v="Driver"/>
    <x v="10"/>
    <s v="Male"/>
    <n v="7"/>
  </r>
  <r>
    <s v="2019S020459"/>
    <x v="251"/>
    <d v="1899-12-30T07:40:00"/>
    <n v="7"/>
    <s v="Before 15"/>
    <s v="CALL. ALCALA"/>
    <s v="CENTRO"/>
    <x v="0"/>
    <s v="Reach"/>
    <x v="1"/>
    <s v="Driver"/>
    <x v="10"/>
    <s v="Male"/>
    <n v="2"/>
  </r>
  <r>
    <s v="2019S020547"/>
    <x v="39"/>
    <d v="1899-12-30T11:35:00"/>
    <n v="11"/>
    <s v="Before 15"/>
    <s v="CALL. ALCALA / PALAC. CIBELES"/>
    <s v="RETIRO"/>
    <x v="0"/>
    <s v="Head-on collision"/>
    <x v="1"/>
    <s v="Driver"/>
    <x v="10"/>
    <s v="Male"/>
    <n v="7"/>
  </r>
  <r>
    <s v="2019S020721"/>
    <x v="1"/>
    <d v="1899-12-30T15:30:00"/>
    <n v="15"/>
    <s v="After 15"/>
    <s v="AVDA. ASTURIAS"/>
    <s v="TETUÁN"/>
    <x v="1"/>
    <s v="Fall"/>
    <x v="1"/>
    <s v="Driver"/>
    <x v="10"/>
    <s v="Male"/>
    <n v="2"/>
  </r>
  <r>
    <s v="2019S020683"/>
    <x v="1"/>
    <d v="1899-12-30T01:20:00"/>
    <n v="1"/>
    <s v="Before 15"/>
    <s v="CALL. ALCALA"/>
    <s v="CENTRO"/>
    <x v="0"/>
    <s v="Crash into fixed obstacle"/>
    <x v="1"/>
    <s v="Driver"/>
    <x v="10"/>
    <s v="Male"/>
    <n v="7"/>
  </r>
  <r>
    <s v="2019S021095"/>
    <x v="285"/>
    <d v="1899-12-30T20:00:00"/>
    <n v="20"/>
    <s v="After 15"/>
    <s v="CALL. GABRIELA MISTRAL"/>
    <s v="FUENCARRAL-EL PARDO"/>
    <x v="1"/>
    <s v="Fall"/>
    <x v="1"/>
    <s v="Driver"/>
    <x v="10"/>
    <s v="Male"/>
    <n v="2"/>
  </r>
  <r>
    <s v="2019S021189"/>
    <x v="285"/>
    <d v="1899-12-30T11:03:00"/>
    <n v="11"/>
    <s v="Before 15"/>
    <s v="AVDA. CERRO MILANO"/>
    <s v="VILLA DE VALLECAS"/>
    <x v="0"/>
    <s v="Lateral collision"/>
    <x v="2"/>
    <s v="Driver"/>
    <x v="10"/>
    <s v="Male"/>
    <n v="1"/>
  </r>
  <r>
    <s v="2019S021343"/>
    <x v="98"/>
    <d v="1899-12-30T16:25:00"/>
    <n v="16"/>
    <s v="After 15"/>
    <s v="PASEO. PRADO"/>
    <s v="CENTRO"/>
    <x v="0"/>
    <s v="Fall"/>
    <x v="1"/>
    <s v="Driver"/>
    <x v="10"/>
    <s v="Male"/>
    <n v="7"/>
  </r>
  <r>
    <s v="2019S021486"/>
    <x v="100"/>
    <d v="1899-12-30T10:45:00"/>
    <n v="10"/>
    <s v="Before 15"/>
    <s v="AVDA. LOGROÑO / AUTOV. M-40"/>
    <s v="BARAJAS"/>
    <x v="2"/>
    <s v="Head-on collision"/>
    <x v="1"/>
    <s v="Driver"/>
    <x v="10"/>
    <s v="Male"/>
    <n v="14"/>
  </r>
  <r>
    <s v="2019S022320"/>
    <x v="102"/>
    <d v="1899-12-30T19:13:00"/>
    <n v="19"/>
    <s v="After 15"/>
    <s v="AVDA. LOS ROSALES / CTRA. M-301"/>
    <s v="VILLAVERDE"/>
    <x v="0"/>
    <s v="Other"/>
    <x v="1"/>
    <s v="Driver"/>
    <x v="10"/>
    <s v="Male"/>
    <n v="7"/>
  </r>
  <r>
    <s v="2019S023844"/>
    <x v="2"/>
    <d v="1899-12-30T22:16:00"/>
    <n v="22"/>
    <s v="After 15"/>
    <s v="CALL. JORGE JUAN / CALL. FERNAN GONZALEZ"/>
    <s v="SALAMANCA"/>
    <x v="0"/>
    <s v="Head-on collision"/>
    <x v="1"/>
    <s v="Driver"/>
    <x v="10"/>
    <s v="Male"/>
    <n v="7"/>
  </r>
  <r>
    <s v="2019S025143"/>
    <x v="111"/>
    <d v="1899-12-30T07:57:00"/>
    <n v="7"/>
    <s v="Before 15"/>
    <s v="IDB. PARQUE LINEAL DEL MANZANARES"/>
    <s v="PUENTE DE VALLECAS"/>
    <x v="0"/>
    <s v="Head-on collision"/>
    <x v="1"/>
    <s v="Driver"/>
    <x v="10"/>
    <s v="Male"/>
    <n v="7"/>
  </r>
  <r>
    <s v="2019S025402"/>
    <x v="66"/>
    <d v="1899-12-30T20:30:00"/>
    <n v="20"/>
    <s v="After 15"/>
    <s v="CALL. MONASTERIO DE OSEIRA, 17B (ANILLO VERDE, 58)"/>
    <s v="FUENCARRAL-EL PARDO"/>
    <x v="1"/>
    <s v="Fall"/>
    <x v="1"/>
    <s v="Driver"/>
    <x v="10"/>
    <s v="Male"/>
    <n v="2"/>
  </r>
  <r>
    <s v="2019S025582"/>
    <x v="287"/>
    <d v="1899-12-30T21:55:00"/>
    <n v="21"/>
    <s v="After 15"/>
    <s v="AVDA. MARQUES DE CORBERA / CALL. POETA BLAS DE OTERO"/>
    <s v="CIUDAD LINEAL"/>
    <x v="2"/>
    <s v="Fall"/>
    <x v="1"/>
    <s v="Driver"/>
    <x v="10"/>
    <s v="Female"/>
    <n v="7"/>
  </r>
  <r>
    <s v="2019S025619"/>
    <x v="113"/>
    <d v="1899-12-30T09:10:00"/>
    <n v="9"/>
    <s v="Before 15"/>
    <s v="HORTALEZA"/>
    <s v="CENTRO"/>
    <x v="0"/>
    <s v="Fall"/>
    <x v="1"/>
    <s v="Driver"/>
    <x v="10"/>
    <s v="Male"/>
    <n v="1"/>
  </r>
  <r>
    <s v="2019S026337"/>
    <x v="224"/>
    <d v="1899-12-30T16:35:00"/>
    <n v="16"/>
    <s v="After 15"/>
    <s v="CALL. HERMANOS CARPI / AVDA. PEÑA PRIETA"/>
    <s v="PUENTE DE VALLECAS"/>
    <x v="0"/>
    <s v="Head-on collision"/>
    <x v="1"/>
    <s v="Driver"/>
    <x v="10"/>
    <s v="Male"/>
    <n v="2"/>
  </r>
  <r>
    <s v="2019S026666"/>
    <x v="173"/>
    <d v="1899-12-30T18:10:00"/>
    <n v="18"/>
    <s v="After 15"/>
    <s v="CALLE GOYA CON CALLE GENERAL PARDIÑAS"/>
    <s v="SALAMANCA"/>
    <x v="0"/>
    <s v="Fall"/>
    <x v="1"/>
    <s v="Driver"/>
    <x v="10"/>
    <s v="Male"/>
    <n v="7"/>
  </r>
  <r>
    <s v="2019S026865"/>
    <x v="114"/>
    <d v="1899-12-30T20:53:00"/>
    <n v="20"/>
    <s v="After 15"/>
    <s v="CALL. FUENCARRAL"/>
    <s v="CENTRO"/>
    <x v="0"/>
    <s v="Hitting a person"/>
    <x v="5"/>
    <s v="Pedestrian"/>
    <x v="10"/>
    <s v="Female"/>
    <s v=""/>
  </r>
  <r>
    <s v="2019S026842"/>
    <x v="115"/>
    <d v="1899-12-30T08:15:00"/>
    <n v="8"/>
    <s v="Before 15"/>
    <s v="CALL. MANCHA"/>
    <s v="PUENTE DE VALLECAS"/>
    <x v="0"/>
    <s v="Reach"/>
    <x v="1"/>
    <s v="Driver"/>
    <x v="10"/>
    <s v="Male"/>
    <s v=""/>
  </r>
  <r>
    <s v="2019S027325"/>
    <x v="69"/>
    <d v="1899-12-30T12:35:00"/>
    <n v="12"/>
    <s v="Before 15"/>
    <s v="AVDA. DEMOCRACIA / AUTOV. A-3"/>
    <s v="VICÁLVARO"/>
    <x v="2"/>
    <s v="Head-on collision"/>
    <x v="1"/>
    <s v="Driver"/>
    <x v="10"/>
    <s v="Male"/>
    <n v="14"/>
  </r>
  <r>
    <s v="2019S027303"/>
    <x v="295"/>
    <d v="1899-12-30T12:40:00"/>
    <n v="12"/>
    <s v="Before 15"/>
    <s v="CALL. ALFONSO XII / CALL. CASADO DEL ALISAL"/>
    <s v="RETIRO"/>
    <x v="0"/>
    <s v="Head-on collision"/>
    <x v="1"/>
    <s v="Driver"/>
    <x v="10"/>
    <s v="Male"/>
    <s v=""/>
  </r>
  <r>
    <s v="2019S027599"/>
    <x v="226"/>
    <d v="1899-12-30T11:35:00"/>
    <n v="11"/>
    <s v="Before 15"/>
    <s v="CALL. MEJIA LEQUERICA / CALL. SAGASTA"/>
    <s v="CENTRO"/>
    <x v="0"/>
    <s v="Head-on collision"/>
    <x v="1"/>
    <s v="Driver"/>
    <x v="10"/>
    <s v="Female"/>
    <n v="1"/>
  </r>
  <r>
    <s v="2019S028515"/>
    <x v="229"/>
    <d v="1899-12-30T13:15:00"/>
    <n v="13"/>
    <s v="Before 15"/>
    <s v="CALL. ARROYO BELINCOSO"/>
    <s v="MORATALAZ"/>
    <x v="2"/>
    <s v="Lateral collision"/>
    <x v="1"/>
    <s v="Driver"/>
    <x v="10"/>
    <s v="Male"/>
    <n v="7"/>
  </r>
  <r>
    <s v="2019S028666"/>
    <x v="180"/>
    <d v="1899-12-30T06:10:00"/>
    <n v="6"/>
    <s v="Before 15"/>
    <s v="CALL. BRAVO MURILLO / CALL. VIRIATO"/>
    <s v="CHAMBERÍ"/>
    <x v="1"/>
    <s v="Other"/>
    <x v="1"/>
    <s v="Driver"/>
    <x v="10"/>
    <s v="Male"/>
    <n v="6"/>
  </r>
  <r>
    <s v="2019S028878"/>
    <x v="181"/>
    <d v="1899-12-30T20:40:00"/>
    <n v="20"/>
    <s v="After 15"/>
    <s v="PASEO. ERMITA DEL SANTO"/>
    <s v="CARABANCHEL"/>
    <x v="0"/>
    <s v="Hitting a person"/>
    <x v="1"/>
    <s v="Pedestrian"/>
    <x v="10"/>
    <s v="Female"/>
    <n v="6"/>
  </r>
  <r>
    <s v="2019S028983"/>
    <x v="183"/>
    <d v="1899-12-30T10:50:00"/>
    <n v="10"/>
    <s v="Before 15"/>
    <s v="CALL. FUENTE CARRANTONA"/>
    <s v="MORATALAZ"/>
    <x v="2"/>
    <s v="Head-on collision"/>
    <x v="1"/>
    <s v="Driver"/>
    <x v="10"/>
    <s v="Male"/>
    <n v="7"/>
  </r>
  <r>
    <s v="2019S029650"/>
    <x v="184"/>
    <d v="1899-12-30T15:50:00"/>
    <n v="15"/>
    <s v="After 15"/>
    <s v="CALL. CAMINO VIEJO DE VILLAVERDE / CALL. UNIDAD"/>
    <s v="USERA"/>
    <x v="0"/>
    <s v="Lateral collision"/>
    <x v="4"/>
    <s v="Driver"/>
    <x v="10"/>
    <s v="Male"/>
    <s v=""/>
  </r>
  <r>
    <s v="2019S029626"/>
    <x v="6"/>
    <d v="1899-12-30T18:05:00"/>
    <n v="18"/>
    <s v="After 15"/>
    <s v="CALL. ARTURO SORIA / CALL. ASUNCION PEREZ VIZCAINO"/>
    <s v="CIUDAD LINEAL"/>
    <x v="2"/>
    <s v="Lateral collision"/>
    <x v="1"/>
    <s v="Driver"/>
    <x v="10"/>
    <s v="Male"/>
    <n v="2"/>
  </r>
  <r>
    <s v="2019S029873"/>
    <x v="74"/>
    <d v="1899-12-30T12:50:00"/>
    <n v="12"/>
    <s v="Before 15"/>
    <s v="CALL. DON RAMON DE LA CRUZ"/>
    <s v="SALAMANCA"/>
    <x v="0"/>
    <s v="Hitting a person"/>
    <x v="1"/>
    <s v="Driver"/>
    <x v="10"/>
    <s v="Male"/>
    <n v="14"/>
  </r>
  <r>
    <s v="2019S030159"/>
    <x v="259"/>
    <d v="1899-12-30T17:25:00"/>
    <n v="17"/>
    <s v="After 15"/>
    <s v="CALL. MESENA"/>
    <s v="HORTALEZA"/>
    <x v="0"/>
    <s v="Fall"/>
    <x v="1"/>
    <s v="Driver"/>
    <x v="10"/>
    <s v="Female"/>
    <n v="7"/>
  </r>
  <r>
    <s v="2019S030261"/>
    <x v="231"/>
    <d v="1899-12-30T21:35:00"/>
    <n v="21"/>
    <s v="After 15"/>
    <s v="PASEO DE MIGUELA DEL BURGO (FRENTE CASANARE 6)"/>
    <s v="HORTALEZA"/>
    <x v="0"/>
    <s v="Fall"/>
    <x v="1"/>
    <s v="Driver"/>
    <x v="10"/>
    <s v="Male"/>
    <n v="7"/>
  </r>
  <r>
    <s v="2019S030804"/>
    <x v="120"/>
    <d v="1899-12-30T17:23:00"/>
    <n v="17"/>
    <s v="After 15"/>
    <s v="CALL. MATILDE GAYO"/>
    <s v="USERA"/>
    <x v="0"/>
    <s v="Fall"/>
    <x v="1"/>
    <s v="Driver"/>
    <x v="10"/>
    <s v="Female"/>
    <n v="6"/>
  </r>
  <r>
    <s v="2019S030697"/>
    <x v="121"/>
    <d v="1899-12-30T13:15:00"/>
    <n v="13"/>
    <s v="Before 15"/>
    <s v="AVDA. ENTREVIAS / CALL. PADRE LLANOS"/>
    <s v="PUENTE DE VALLECAS"/>
    <x v="0"/>
    <s v="Head-on collision"/>
    <x v="1"/>
    <s v="Driver"/>
    <x v="10"/>
    <s v="Male"/>
    <n v="2"/>
  </r>
  <r>
    <s v="2019S030947"/>
    <x v="290"/>
    <d v="1899-12-30T12:00:00"/>
    <n v="12"/>
    <s v="Before 15"/>
    <s v="CARRETERA DE FUENCARRAL A ALCOBENDAS KM-0"/>
    <s v="FUENCARRAL-EL PARDO"/>
    <x v="1"/>
    <s v="Fall"/>
    <x v="1"/>
    <s v="Driver"/>
    <x v="10"/>
    <s v="Male"/>
    <n v="6"/>
  </r>
  <r>
    <s v="2019S031193"/>
    <x v="123"/>
    <d v="1899-12-30T19:40:00"/>
    <n v="19"/>
    <s v="After 15"/>
    <s v="CALL. FUENTE CARRANTONA"/>
    <s v="MORATALAZ"/>
    <x v="2"/>
    <s v="Head-on collision"/>
    <x v="1"/>
    <s v="Driver"/>
    <x v="10"/>
    <s v="Male"/>
    <n v="7"/>
  </r>
  <r>
    <s v="2019S031356"/>
    <x v="25"/>
    <d v="1899-12-30T20:05:00"/>
    <n v="20"/>
    <s v="After 15"/>
    <s v="CALL. O'DONNELL"/>
    <s v="RETIRO"/>
    <x v="0"/>
    <s v="Hitting a person"/>
    <x v="1"/>
    <s v="Driver"/>
    <x v="10"/>
    <s v="Male"/>
    <n v="14"/>
  </r>
  <r>
    <s v="2019S031324"/>
    <x v="25"/>
    <d v="1899-12-30T11:22:00"/>
    <n v="11"/>
    <s v="Before 15"/>
    <s v="CALL. LAS NAVAS DE BUITRAGO / CALL. BERZOSA DE LOZOYA"/>
    <s v="VILLAVERDE"/>
    <x v="0"/>
    <s v="Head-on collision"/>
    <x v="1"/>
    <s v="Driver"/>
    <x v="10"/>
    <s v="Male"/>
    <n v="3"/>
  </r>
  <r>
    <s v="2019S031721"/>
    <x v="190"/>
    <d v="1899-12-30T20:00:00"/>
    <n v="20"/>
    <s v="After 15"/>
    <s v="CALL. AMOS DE ESCALANTE"/>
    <s v="CIUDAD LINEAL"/>
    <x v="2"/>
    <s v="Hitting a person"/>
    <x v="1"/>
    <s v="Pedestrian"/>
    <x v="10"/>
    <s v="Female"/>
    <n v="3"/>
  </r>
  <r>
    <s v="2019S033087"/>
    <x v="126"/>
    <d v="1899-12-30T17:13:00"/>
    <n v="17"/>
    <s v="After 15"/>
    <s v="CALL. CARABIAS"/>
    <s v="LATINA"/>
    <x v="0"/>
    <s v="Hitting a person"/>
    <x v="2"/>
    <s v="Pedestrian"/>
    <x v="10"/>
    <s v="Male"/>
    <n v="1"/>
  </r>
  <r>
    <s v="2019S032233"/>
    <x v="296"/>
    <d v="1899-12-30T17:00:00"/>
    <n v="17"/>
    <s v="After 15"/>
    <s v="CALL. GOYA / CALL. SERRANO"/>
    <s v="SALAMANCA"/>
    <x v="0"/>
    <s v="Hitting a person"/>
    <x v="1"/>
    <s v="Driver"/>
    <x v="10"/>
    <s v="Male"/>
    <n v="7"/>
  </r>
  <r>
    <s v="2019S032233"/>
    <x v="296"/>
    <d v="1899-12-30T17:00:00"/>
    <n v="17"/>
    <s v="After 15"/>
    <s v="CALL. GOYA / CALL. SERRANO"/>
    <s v="SALAMANCA"/>
    <x v="0"/>
    <s v="Hitting a person"/>
    <x v="1"/>
    <s v="Pedestrian"/>
    <x v="10"/>
    <s v="Female"/>
    <n v="7"/>
  </r>
  <r>
    <s v="2019S033074"/>
    <x v="78"/>
    <d v="1899-12-30T19:05:00"/>
    <n v="19"/>
    <s v="After 15"/>
    <s v="CALL. SAGASTA / CALL. FRANCISCO DE ROJAS"/>
    <s v="CHAMBERÍ"/>
    <x v="1"/>
    <s v="Head-on collision"/>
    <x v="1"/>
    <s v="Driver"/>
    <x v="10"/>
    <s v="Male"/>
    <n v="14"/>
  </r>
  <r>
    <s v="2019S034202"/>
    <x v="193"/>
    <d v="1899-12-30T17:25:00"/>
    <n v="17"/>
    <s v="After 15"/>
    <s v="AVDA. CANILLEJAS A VICALVARO / CALL. SANTA TECLA"/>
    <s v="SAN BLAS-CANILLEJAS"/>
    <x v="2"/>
    <s v="Fall"/>
    <x v="1"/>
    <s v="Driver"/>
    <x v="10"/>
    <s v="Male"/>
    <n v="6"/>
  </r>
  <r>
    <s v="2019S034331"/>
    <x v="297"/>
    <d v="1899-12-30T10:00:00"/>
    <n v="10"/>
    <s v="Before 15"/>
    <s v="RONDA. SEGOVIA / CALL. SEGOVIA"/>
    <s v="CENTRO"/>
    <x v="0"/>
    <s v="Reach"/>
    <x v="1"/>
    <s v="Driver"/>
    <x v="10"/>
    <s v="Female"/>
    <n v="7"/>
  </r>
  <r>
    <s v="2019S037705"/>
    <x v="83"/>
    <d v="1899-12-30T05:55:00"/>
    <n v="5"/>
    <s v="Before 15"/>
    <s v="AVDA. BETANZOS"/>
    <s v="FUENCARRAL-EL PARDO"/>
    <x v="1"/>
    <s v="Head-on collision"/>
    <x v="3"/>
    <s v="Driver"/>
    <x v="10"/>
    <s v="Male"/>
    <n v="1"/>
  </r>
  <r>
    <s v="2019S038464"/>
    <x v="137"/>
    <d v="1899-12-30T18:40:00"/>
    <n v="18"/>
    <s v="After 15"/>
    <s v="CALL. EMBAJADORES / CALL. RICARDO GOIZUETA"/>
    <s v="ARGANZUELA"/>
    <x v="0"/>
    <s v="Hitting a person"/>
    <x v="1"/>
    <s v="Driver"/>
    <x v="10"/>
    <s v="Male"/>
    <n v="14"/>
  </r>
  <r>
    <s v="2019S039179"/>
    <x v="138"/>
    <d v="1899-12-30T22:00:00"/>
    <n v="22"/>
    <s v="After 15"/>
    <s v="CALL. MARQUES DE VALDEIGLESIAS"/>
    <s v="CENTRO"/>
    <x v="0"/>
    <s v="Hitting a person"/>
    <x v="1"/>
    <s v="Pedestrian"/>
    <x v="10"/>
    <s v="Male"/>
    <n v="7"/>
  </r>
  <r>
    <s v="2019S039179"/>
    <x v="138"/>
    <d v="1899-12-30T22:00:00"/>
    <n v="22"/>
    <s v="After 15"/>
    <s v="CALL. MARQUES DE VALDEIGLESIAS"/>
    <s v="CENTRO"/>
    <x v="0"/>
    <s v="Hitting a person"/>
    <x v="1"/>
    <s v="Pedestrian"/>
    <x v="10"/>
    <s v="Female"/>
    <n v="14"/>
  </r>
  <r>
    <s v="2019S039475"/>
    <x v="298"/>
    <d v="1899-12-30T13:35:00"/>
    <n v="13"/>
    <s v="Before 15"/>
    <s v="CALL. CANTALEJO / CALL. ARROYOFRESNO"/>
    <s v="FUENCARRAL-EL PARDO"/>
    <x v="1"/>
    <s v="Fall"/>
    <x v="1"/>
    <s v="Driver"/>
    <x v="10"/>
    <s v="Male"/>
    <n v="6"/>
  </r>
  <r>
    <s v="2019S003749"/>
    <x v="240"/>
    <d v="1899-12-30T15:20:00"/>
    <n v="15"/>
    <s v="After 15"/>
    <s v="PLAZA. CONDE DEL VALLE DE SUCHIL"/>
    <s v="CHAMBERÍ"/>
    <x v="1"/>
    <s v="Fall"/>
    <x v="1"/>
    <s v="Driver"/>
    <x v="11"/>
    <s v="Female"/>
    <n v="7"/>
  </r>
  <r>
    <s v="2019S005036"/>
    <x v="212"/>
    <d v="1899-12-30T11:15:00"/>
    <n v="11"/>
    <s v="Before 15"/>
    <s v="CALL. BRAVO MURILLO / CALL. PENSAMIENTO"/>
    <s v="TETUÁN"/>
    <x v="1"/>
    <s v="Hitting a person"/>
    <x v="1"/>
    <s v="Driver"/>
    <x v="11"/>
    <s v="Male"/>
    <n v="14"/>
  </r>
  <r>
    <s v="2019S005036"/>
    <x v="212"/>
    <d v="1899-12-30T11:15:00"/>
    <n v="11"/>
    <s v="Before 15"/>
    <s v="CALL. BRAVO MURILLO / CALL. PENSAMIENTO"/>
    <s v="TETUÁN"/>
    <x v="1"/>
    <s v="Hitting a person"/>
    <x v="1"/>
    <s v="Pedestrian"/>
    <x v="11"/>
    <s v="Female"/>
    <n v="7"/>
  </r>
  <r>
    <s v="2019S006478"/>
    <x v="299"/>
    <d v="1899-12-30T18:00:00"/>
    <n v="18"/>
    <s v="After 15"/>
    <s v="CALL. MENDEZ ALVARO / CALL. TITAN"/>
    <s v="ARGANZUELA"/>
    <x v="0"/>
    <s v="Fall"/>
    <x v="1"/>
    <s v="Driver"/>
    <x v="11"/>
    <s v="Male"/>
    <n v="14"/>
  </r>
  <r>
    <s v="2019S010360"/>
    <x v="88"/>
    <d v="1899-12-30T14:25:00"/>
    <n v="14"/>
    <s v="Before 15"/>
    <s v="CALL. CONDE DE PEÑALVER"/>
    <s v="SALAMANCA"/>
    <x v="0"/>
    <s v="Reach"/>
    <x v="1"/>
    <s v="Driver"/>
    <x v="11"/>
    <s v="Female"/>
    <n v="2"/>
  </r>
  <r>
    <s v="2019S013812"/>
    <x v="55"/>
    <d v="1899-12-30T18:40:00"/>
    <n v="18"/>
    <s v="After 15"/>
    <s v="PASEO. GENERAL MARTINEZ CAMPOS / CALL. MODESTO LAFUENTE"/>
    <s v="CHAMBERÍ"/>
    <x v="1"/>
    <s v="Reach"/>
    <x v="1"/>
    <s v="Driver"/>
    <x v="11"/>
    <s v="Male"/>
    <n v="7"/>
  </r>
  <r>
    <s v="2019S014196"/>
    <x v="91"/>
    <d v="1899-12-30T23:25:00"/>
    <n v="23"/>
    <s v="After 15"/>
    <s v="PLAZA. EMPERADOR CARLOS V"/>
    <s v="CENTRO"/>
    <x v="0"/>
    <s v="Lateral collision"/>
    <x v="1"/>
    <s v="Driver"/>
    <x v="11"/>
    <s v="Male"/>
    <n v="7"/>
  </r>
  <r>
    <s v="2019S015228"/>
    <x v="34"/>
    <d v="1899-12-30T14:58:00"/>
    <n v="14"/>
    <s v="Before 15"/>
    <s v="CALL. SANTA ADELA"/>
    <s v="HORTALEZA"/>
    <x v="0"/>
    <s v="Head-on collision"/>
    <x v="1"/>
    <s v="Driver"/>
    <x v="11"/>
    <s v="Male"/>
    <n v="3"/>
  </r>
  <r>
    <s v="2019S015228"/>
    <x v="34"/>
    <d v="1899-12-30T14:58:00"/>
    <n v="14"/>
    <s v="Before 15"/>
    <s v="CALL. SANTA ADELA"/>
    <s v="HORTALEZA"/>
    <x v="0"/>
    <s v="Head-on collision"/>
    <x v="1"/>
    <s v="Driver"/>
    <x v="11"/>
    <s v="Male"/>
    <n v="14"/>
  </r>
  <r>
    <s v="2019S016463"/>
    <x v="215"/>
    <d v="1899-12-30T12:30:00"/>
    <n v="12"/>
    <s v="Before 15"/>
    <s v="AVDA. NICETO ALCALA ZAMORA / CALL. JULIO CASARES"/>
    <s v="HORTALEZA"/>
    <x v="0"/>
    <s v="Reach"/>
    <x v="1"/>
    <s v="Driver"/>
    <x v="11"/>
    <s v="Male"/>
    <n v="6"/>
  </r>
  <r>
    <s v="2019S017986"/>
    <x v="215"/>
    <d v="1899-12-30T01:20:00"/>
    <n v="1"/>
    <s v="Before 15"/>
    <s v="CALL. LUIS DE GONGORA / CALL. GRAVINA"/>
    <s v="CENTRO"/>
    <x v="0"/>
    <s v="Fall"/>
    <x v="1"/>
    <s v="Driver"/>
    <x v="11"/>
    <s v="Male"/>
    <n v="7"/>
  </r>
  <r>
    <s v="2019S018901"/>
    <x v="35"/>
    <d v="1899-12-30T12:00:00"/>
    <n v="12"/>
    <s v="Before 15"/>
    <s v="AVDA. MANZANARES"/>
    <s v="USERA"/>
    <x v="0"/>
    <s v="Hitting a person"/>
    <x v="1"/>
    <s v="Driver"/>
    <x v="11"/>
    <s v="Male"/>
    <n v="7"/>
  </r>
  <r>
    <s v="2019S017808"/>
    <x v="35"/>
    <d v="1899-12-30T11:50:00"/>
    <n v="11"/>
    <s v="Before 15"/>
    <s v="PQUE. MADRID RIO, +00700E"/>
    <s v="USERA"/>
    <x v="0"/>
    <s v="Hitting a person"/>
    <x v="1"/>
    <s v="Driver"/>
    <x v="11"/>
    <s v="Male"/>
    <n v="7"/>
  </r>
  <r>
    <s v="2019S017608"/>
    <x v="249"/>
    <d v="1899-12-30T19:50:00"/>
    <n v="19"/>
    <s v="After 15"/>
    <s v="AVDA. SECUNDINO ZUAZO / CALL. CESAR CORT BOTI"/>
    <s v="HORTALEZA"/>
    <x v="0"/>
    <s v="Head-on collision"/>
    <x v="1"/>
    <s v="Driver"/>
    <x v="11"/>
    <s v="Male"/>
    <n v="3"/>
  </r>
  <r>
    <s v="2019S019536"/>
    <x v="160"/>
    <d v="1899-12-30T09:30:00"/>
    <n v="9"/>
    <s v="Before 15"/>
    <s v="CALL. GOBELAS / CALL. GUECHO"/>
    <s v="MONCLOA-ARAVACA"/>
    <x v="0"/>
    <s v="Head-on collision"/>
    <x v="3"/>
    <s v="Driver"/>
    <x v="11"/>
    <s v="Male"/>
    <n v="2"/>
  </r>
  <r>
    <s v="2019S019885"/>
    <x v="95"/>
    <d v="1899-12-30T13:40:00"/>
    <n v="13"/>
    <s v="Before 15"/>
    <s v="AVDA. RAFAELA YBARRA"/>
    <s v="USERA"/>
    <x v="0"/>
    <s v="Reach"/>
    <x v="4"/>
    <s v="Driver"/>
    <x v="11"/>
    <s v="Male"/>
    <n v="14"/>
  </r>
  <r>
    <s v="2019S019899"/>
    <x v="161"/>
    <d v="1899-12-30T07:10:00"/>
    <n v="7"/>
    <s v="Before 15"/>
    <s v="CALL. ALCALA / CALL. LOS URQUIZA"/>
    <s v="CIUDAD LINEAL"/>
    <x v="2"/>
    <s v="Hitting a person"/>
    <x v="1"/>
    <s v="Pedestrian"/>
    <x v="11"/>
    <s v="Female"/>
    <n v="2"/>
  </r>
  <r>
    <s v="2019S020247"/>
    <x v="300"/>
    <d v="1899-12-30T09:39:00"/>
    <n v="9"/>
    <s v="Before 15"/>
    <s v="BULEV. JOSE PRAT / CALL. HACIENDA DE PAVONES"/>
    <s v="VICÁLVARO"/>
    <x v="2"/>
    <s v="Hitting a person"/>
    <x v="1"/>
    <s v="Driver"/>
    <x v="11"/>
    <s v="Male"/>
    <n v="14"/>
  </r>
  <r>
    <s v="2019S020247"/>
    <x v="300"/>
    <d v="1899-12-30T09:39:00"/>
    <n v="9"/>
    <s v="Before 15"/>
    <s v="BULEV. JOSE PRAT / CALL. HACIENDA DE PAVONES"/>
    <s v="VICÁLVARO"/>
    <x v="2"/>
    <s v="Hitting a person"/>
    <x v="1"/>
    <s v="Pedestrian"/>
    <x v="11"/>
    <s v="Female"/>
    <n v="2"/>
  </r>
  <r>
    <s v="2019S020803"/>
    <x v="1"/>
    <d v="1899-12-30T09:50:00"/>
    <n v="9"/>
    <s v="Before 15"/>
    <s v="CALL. ARROYO FONTARRON"/>
    <s v="MORATALAZ"/>
    <x v="2"/>
    <s v="Head-on collision"/>
    <x v="4"/>
    <s v="Driver"/>
    <x v="11"/>
    <s v="Male"/>
    <s v=""/>
  </r>
  <r>
    <s v="2019S022484"/>
    <x v="254"/>
    <d v="1899-12-30T18:40:00"/>
    <n v="18"/>
    <s v="After 15"/>
    <s v="CALL. ATOCHA / CALL. SANTO TOMAS"/>
    <s v="CENTRO"/>
    <x v="0"/>
    <s v="Fall"/>
    <x v="1"/>
    <s v="Driver"/>
    <x v="11"/>
    <s v="Female"/>
    <n v="2"/>
  </r>
  <r>
    <s v="2019S022810"/>
    <x v="63"/>
    <d v="1899-12-30T12:55:00"/>
    <n v="12"/>
    <s v="Before 15"/>
    <s v="SENDA CICLABLE-AV.ROSALES-CARRET.VILLAV. A VALLECA"/>
    <s v="VILLAVERDE"/>
    <x v="0"/>
    <s v="Hitting a person"/>
    <x v="1"/>
    <s v="Driver"/>
    <x v="11"/>
    <s v="Male"/>
    <n v="7"/>
  </r>
  <r>
    <s v="2019S023273"/>
    <x v="64"/>
    <d v="1899-12-30T15:45:00"/>
    <n v="15"/>
    <s v="After 15"/>
    <s v="CALL. OCA / CALL. GENERAL RICARDOS"/>
    <s v="CARABANCHEL"/>
    <x v="0"/>
    <s v="Reach"/>
    <x v="1"/>
    <s v="Driver"/>
    <x v="11"/>
    <s v="Male"/>
    <n v="7"/>
  </r>
  <r>
    <s v="2019S023173"/>
    <x v="64"/>
    <d v="1899-12-30T12:45:00"/>
    <n v="12"/>
    <s v="Before 15"/>
    <s v="AVDA. RAFAEL ALBERTI / CALL. EXTREMEÑOS"/>
    <s v="PUENTE DE VALLECAS"/>
    <x v="0"/>
    <s v="Fall"/>
    <x v="1"/>
    <s v="Driver"/>
    <x v="11"/>
    <s v="Male"/>
    <n v="1"/>
  </r>
  <r>
    <s v="2019S024197"/>
    <x v="301"/>
    <d v="1899-12-30T12:30:00"/>
    <n v="12"/>
    <s v="Before 15"/>
    <s v="PQUE. VALDEBERNARDO"/>
    <s v="VICÁLVARO"/>
    <x v="2"/>
    <s v="Fall"/>
    <x v="1"/>
    <s v="Driver"/>
    <x v="11"/>
    <s v="Male"/>
    <n v="2"/>
  </r>
  <r>
    <s v="2019S024639"/>
    <x v="221"/>
    <d v="1899-12-30T09:15:00"/>
    <n v="9"/>
    <s v="Before 15"/>
    <s v="PASEO. PONTONES / CALL. COBOS DE SEGOVIA"/>
    <s v="ARGANZUELA"/>
    <x v="0"/>
    <s v="Head-on collision"/>
    <x v="1"/>
    <s v="Driver"/>
    <x v="11"/>
    <s v="Male"/>
    <n v="5"/>
  </r>
  <r>
    <s v="2019S025266"/>
    <x v="20"/>
    <d v="1899-12-30T14:00:00"/>
    <n v="14"/>
    <s v="Before 15"/>
    <s v="CALL. DIEGO DE LEON / CALL. GENERAL PARDIÑAS"/>
    <s v="SALAMANCA"/>
    <x v="0"/>
    <s v="Fall"/>
    <x v="1"/>
    <s v="Driver"/>
    <x v="11"/>
    <s v="Male"/>
    <n v="2"/>
  </r>
  <r>
    <s v="2019S025758"/>
    <x v="222"/>
    <d v="1899-12-30T07:55:00"/>
    <n v="7"/>
    <s v="Before 15"/>
    <s v="AVDA. LOS ROSALES"/>
    <s v="VILLAVERDE"/>
    <x v="0"/>
    <s v="Head-on collision"/>
    <x v="1"/>
    <s v="Driver"/>
    <x v="11"/>
    <s v="Male"/>
    <n v="2"/>
  </r>
  <r>
    <s v="2019S026663"/>
    <x v="173"/>
    <d v="1899-12-30T18:45:00"/>
    <n v="18"/>
    <s v="After 15"/>
    <s v="CUSTA. VEGA"/>
    <s v="CENTRO"/>
    <x v="0"/>
    <s v="Fall"/>
    <x v="1"/>
    <s v="Driver"/>
    <x v="11"/>
    <s v="Male"/>
    <n v="6"/>
  </r>
  <r>
    <s v="2019S026885"/>
    <x v="115"/>
    <d v="1899-12-30T19:00:00"/>
    <n v="19"/>
    <s v="After 15"/>
    <s v="CUSTA. VEGA"/>
    <s v="CENTRO"/>
    <x v="0"/>
    <s v="Fall"/>
    <x v="1"/>
    <s v="Driver"/>
    <x v="11"/>
    <s v="Male"/>
    <n v="2"/>
  </r>
  <r>
    <s v="2019S027418"/>
    <x v="116"/>
    <d v="1899-12-30T19:05:00"/>
    <n v="19"/>
    <s v="After 15"/>
    <s v="CALL. SANTA MARIA LA REAL DE NIEVA"/>
    <s v="ARGANZUELA"/>
    <x v="0"/>
    <s v="Head-on collision"/>
    <x v="1"/>
    <s v="Driver"/>
    <x v="11"/>
    <s v="Male"/>
    <n v="1"/>
  </r>
  <r>
    <s v="2019S028005"/>
    <x v="273"/>
    <d v="1899-12-30T11:10:00"/>
    <n v="11"/>
    <s v="Before 15"/>
    <s v="CTRA. COLMENAR VIEJO"/>
    <s v="CHAMARTÍN"/>
    <x v="1"/>
    <s v="Fall"/>
    <x v="1"/>
    <s v="Driver"/>
    <x v="11"/>
    <s v="Male"/>
    <n v="6"/>
  </r>
  <r>
    <s v="2019S028597"/>
    <x v="230"/>
    <d v="1899-12-30T18:32:00"/>
    <n v="18"/>
    <s v="After 15"/>
    <s v="PASEO. REPUBLICA DE CUBA"/>
    <s v="RETIRO"/>
    <x v="0"/>
    <s v="Head-on collision"/>
    <x v="1"/>
    <s v="Driver"/>
    <x v="11"/>
    <s v="Male"/>
    <n v="5"/>
  </r>
  <r>
    <s v="2019S030259"/>
    <x v="231"/>
    <d v="1899-12-30T20:00:00"/>
    <n v="20"/>
    <s v="After 15"/>
    <s v="AVDA. NICETO ALCALA ZAMORA / AUTOV. M-11"/>
    <s v="HORTALEZA"/>
    <x v="0"/>
    <s v="Head-on collision"/>
    <x v="1"/>
    <s v="Driver"/>
    <x v="11"/>
    <s v="Male"/>
    <n v="7"/>
  </r>
  <r>
    <s v="2019S030131"/>
    <x v="231"/>
    <d v="1899-12-30T13:15:00"/>
    <n v="13"/>
    <s v="Before 15"/>
    <s v="CALL. ALCALA"/>
    <s v="CENTRO"/>
    <x v="0"/>
    <s v="Fall"/>
    <x v="1"/>
    <s v="Driver"/>
    <x v="11"/>
    <s v="Female"/>
    <n v="6"/>
  </r>
  <r>
    <s v="2019S030124"/>
    <x v="231"/>
    <d v="1899-12-30T12:04:00"/>
    <n v="12"/>
    <s v="Before 15"/>
    <s v="SAN MAXIMILIANO 49"/>
    <s v="CIUDAD LINEAL"/>
    <x v="2"/>
    <s v="Hitting a person"/>
    <x v="1"/>
    <s v="Driver"/>
    <x v="11"/>
    <s v="Male"/>
    <n v="7"/>
  </r>
  <r>
    <s v="2019S031101"/>
    <x v="75"/>
    <d v="1899-12-30T21:39:00"/>
    <n v="21"/>
    <s v="After 15"/>
    <s v="CALL. PRINCESA / CALL. MARQUES DE URQUIJO"/>
    <s v="MONCLOA-ARAVACA"/>
    <x v="0"/>
    <s v="Fall"/>
    <x v="1"/>
    <s v="Driver"/>
    <x v="11"/>
    <s v="Male"/>
    <n v="6"/>
  </r>
  <r>
    <s v="2019S031955"/>
    <x v="76"/>
    <d v="1899-12-30T23:05:00"/>
    <n v="23"/>
    <s v="After 15"/>
    <s v="CALL. ARQUITECTO SANCHEZ ARCAS"/>
    <s v="MONCLOA-ARAVACA"/>
    <x v="0"/>
    <s v="Head-on collision"/>
    <x v="1"/>
    <s v="Driver"/>
    <x v="11"/>
    <s v="Male"/>
    <n v="7"/>
  </r>
  <r>
    <s v="2019S032928"/>
    <x v="76"/>
    <d v="1899-12-30T20:45:00"/>
    <n v="20"/>
    <s v="After 15"/>
    <s v="CALL. GUAREÑA / PLAZA. DISTRITO LATINA"/>
    <s v="LATINA"/>
    <x v="0"/>
    <s v="Fall"/>
    <x v="1"/>
    <s v="Driver"/>
    <x v="11"/>
    <s v="Male"/>
    <n v="1"/>
  </r>
  <r>
    <s v="2019S032300"/>
    <x v="233"/>
    <d v="1899-12-30T16:10:00"/>
    <n v="16"/>
    <s v="After 15"/>
    <s v="GTA. SANTUARIO DE TISCAR"/>
    <s v="FUENCARRAL-EL PARDO"/>
    <x v="1"/>
    <s v="Fall"/>
    <x v="1"/>
    <s v="Driver"/>
    <x v="11"/>
    <s v="Male"/>
    <n v="2"/>
  </r>
  <r>
    <s v="2019S032184"/>
    <x v="233"/>
    <d v="1899-12-30T07:15:00"/>
    <n v="7"/>
    <s v="Before 15"/>
    <s v="CALL. ARZOBISPO MORCILLO"/>
    <s v="FUENCARRAL-EL PARDO"/>
    <x v="1"/>
    <s v="Head-on collision"/>
    <x v="1"/>
    <s v="Driver"/>
    <x v="11"/>
    <s v="Male"/>
    <n v="7"/>
  </r>
  <r>
    <s v="2019S032737"/>
    <x v="302"/>
    <d v="1899-12-30T08:10:00"/>
    <n v="8"/>
    <s v="Before 15"/>
    <s v="CALL. LOPEZ DE HOYOS / CALL. CARTAGENA"/>
    <s v="CHAMARTÍN"/>
    <x v="1"/>
    <s v="Reach"/>
    <x v="1"/>
    <s v="Driver"/>
    <x v="11"/>
    <s v="Male"/>
    <n v="5"/>
  </r>
  <r>
    <s v="2019S033141"/>
    <x v="192"/>
    <d v="1899-12-30T08:40:00"/>
    <n v="8"/>
    <s v="Before 15"/>
    <s v="CALL. JUAN DE MARIANA"/>
    <s v="ARGANZUELA"/>
    <x v="0"/>
    <s v="Fall"/>
    <x v="1"/>
    <s v="Pedestrian"/>
    <x v="11"/>
    <s v="Male"/>
    <n v="14"/>
  </r>
  <r>
    <s v="2019S033678"/>
    <x v="235"/>
    <d v="1899-12-30T09:00:00"/>
    <n v="9"/>
    <s v="Before 15"/>
    <s v="CALL. JUANITA CRUZ / CALL. GLORIA FUERTES"/>
    <s v="FUENCARRAL-EL PARDO"/>
    <x v="1"/>
    <s v="Fall"/>
    <x v="1"/>
    <s v="Driver"/>
    <x v="11"/>
    <s v="Male"/>
    <n v="6"/>
  </r>
  <r>
    <s v="2019S034269"/>
    <x v="263"/>
    <d v="1899-12-30T17:20:00"/>
    <n v="17"/>
    <s v="After 15"/>
    <s v="CALL. ALCALA"/>
    <s v="CENTRO"/>
    <x v="0"/>
    <s v="Fall"/>
    <x v="0"/>
    <s v="Driver"/>
    <x v="11"/>
    <s v="Male"/>
    <n v="6"/>
  </r>
  <r>
    <s v="2019S035065"/>
    <x v="303"/>
    <d v="1899-12-30T20:40:00"/>
    <n v="20"/>
    <s v="After 15"/>
    <s v="CALL. TOSCANA / AVDA. GUADALAJARA"/>
    <s v="SAN BLAS-CANILLEJAS"/>
    <x v="2"/>
    <s v="Head-on collision"/>
    <x v="3"/>
    <s v="Driver"/>
    <x v="11"/>
    <s v="Female"/>
    <n v="7"/>
  </r>
  <r>
    <s v="2019S036005"/>
    <x v="82"/>
    <d v="1899-12-30T12:00:00"/>
    <n v="12"/>
    <s v="Before 15"/>
    <s v="AVDA. PORTUGAL / PQUE. MADRID RIO"/>
    <s v="LATINA"/>
    <x v="0"/>
    <s v="Hitting a person"/>
    <x v="1"/>
    <s v="Pedestrian"/>
    <x v="11"/>
    <s v="Male"/>
    <n v="1"/>
  </r>
  <r>
    <s v="2019S036789"/>
    <x v="202"/>
    <d v="1899-12-30T13:50:00"/>
    <n v="13"/>
    <s v="Before 15"/>
    <s v="CALL. ZAOREJAS"/>
    <s v="BARAJAS"/>
    <x v="2"/>
    <s v="Fall"/>
    <x v="1"/>
    <s v="Driver"/>
    <x v="11"/>
    <s v="Male"/>
    <s v=""/>
  </r>
  <r>
    <s v="2019S036862"/>
    <x v="203"/>
    <d v="1899-12-30T12:25:00"/>
    <n v="12"/>
    <s v="Before 15"/>
    <s v="GTA. OLGA RAMOS"/>
    <s v="FUENCARRAL-EL PARDO"/>
    <x v="1"/>
    <s v="Head-on collision"/>
    <x v="3"/>
    <s v="Driver"/>
    <x v="11"/>
    <s v="Male"/>
    <n v="6"/>
  </r>
  <r>
    <s v="2019S038816"/>
    <x v="276"/>
    <d v="1899-12-30T17:10:00"/>
    <n v="17"/>
    <s v="After 15"/>
    <s v="CALL. TOLEDO"/>
    <s v="CENTRO"/>
    <x v="0"/>
    <s v="Fall"/>
    <x v="0"/>
    <s v="Driver"/>
    <x v="11"/>
    <s v="Male"/>
    <n v="7"/>
  </r>
  <r>
    <s v="2019S039796"/>
    <x v="277"/>
    <d v="1899-12-30T11:40:00"/>
    <n v="11"/>
    <s v="Before 15"/>
    <s v="CALL. ANGEL GANIVET"/>
    <s v="RETIRO"/>
    <x v="0"/>
    <s v="Fall"/>
    <x v="3"/>
    <s v="Driver"/>
    <x v="11"/>
    <s v="Female"/>
    <n v="7"/>
  </r>
  <r>
    <s v="2019S018901"/>
    <x v="35"/>
    <d v="1899-12-30T12:00:00"/>
    <n v="12"/>
    <s v="Before 15"/>
    <s v="AVDA. MANZANARES"/>
    <s v="USERA"/>
    <x v="0"/>
    <s v="Hitting a person"/>
    <x v="1"/>
    <s v="Pedestrian"/>
    <x v="12"/>
    <s v="Male"/>
    <n v="7"/>
  </r>
  <r>
    <s v="2019S017808"/>
    <x v="35"/>
    <d v="1899-12-30T11:50:00"/>
    <n v="11"/>
    <s v="Before 15"/>
    <s v="PQUE. MADRID RIO, +00700E"/>
    <s v="USERA"/>
    <x v="0"/>
    <s v="Hitting a person"/>
    <x v="1"/>
    <s v="Pedestrian"/>
    <x v="12"/>
    <s v="Male"/>
    <n v="7"/>
  </r>
  <r>
    <s v="2019S022944"/>
    <x v="18"/>
    <d v="1899-12-30T19:50:00"/>
    <n v="19"/>
    <s v="After 15"/>
    <s v="CALL. CASTILLO DE MADRIGAL DE LAS ALTAS TORRES"/>
    <s v="SAN BLAS-CANILLEJAS"/>
    <x v="2"/>
    <s v="Lateral collision"/>
    <x v="1"/>
    <s v="Driver"/>
    <x v="12"/>
    <s v="Male"/>
    <n v="7"/>
  </r>
  <r>
    <s v="2019S028597"/>
    <x v="230"/>
    <d v="1899-12-30T18:32:00"/>
    <n v="18"/>
    <s v="After 15"/>
    <s v="PASEO. REPUBLICA DE CUBA"/>
    <s v="RETIRO"/>
    <x v="0"/>
    <s v="Head-on collision"/>
    <x v="1"/>
    <s v="Driver"/>
    <x v="12"/>
    <s v="Male"/>
    <n v="14"/>
  </r>
  <r>
    <s v="2019S028835"/>
    <x v="288"/>
    <d v="1899-12-30T20:10:00"/>
    <n v="20"/>
    <s v="After 15"/>
    <s v="CTRA. ZARZON"/>
    <s v="MONCLOA-ARAVACA"/>
    <x v="0"/>
    <s v="Hitting a person"/>
    <x v="1"/>
    <s v="Pedestrian"/>
    <x v="12"/>
    <s v="Male"/>
    <n v="14"/>
  </r>
  <r>
    <s v="2019S028878"/>
    <x v="181"/>
    <d v="1899-12-30T20:40:00"/>
    <n v="20"/>
    <s v="After 15"/>
    <s v="PASEO. ERMITA DEL SANTO"/>
    <s v="CARABANCHEL"/>
    <x v="0"/>
    <s v="Hitting a person"/>
    <x v="1"/>
    <s v="Driver"/>
    <x v="12"/>
    <s v="Male"/>
    <n v="14"/>
  </r>
  <r>
    <s v="2019S030627"/>
    <x v="261"/>
    <d v="1899-12-30T20:05:00"/>
    <n v="20"/>
    <s v="After 15"/>
    <s v="CALL. MARROQUINA"/>
    <s v="MORATALAZ"/>
    <x v="2"/>
    <s v="Hitting a person"/>
    <x v="1"/>
    <s v="Driver"/>
    <x v="12"/>
    <s v="Male"/>
    <n v="14"/>
  </r>
  <r>
    <s v="2019S033177"/>
    <x v="26"/>
    <d v="1899-12-30T19:35:00"/>
    <n v="19"/>
    <s v="After 15"/>
    <s v="CALL. ESCALONA"/>
    <s v="LATINA"/>
    <x v="0"/>
    <s v="Reach"/>
    <x v="1"/>
    <s v="Driver"/>
    <x v="12"/>
    <s v="Male"/>
    <n v="7"/>
  </r>
  <r>
    <s v="2019S035344"/>
    <x v="196"/>
    <d v="1899-12-30T13:55:00"/>
    <n v="13"/>
    <s v="Before 15"/>
    <s v="AVDA. LLANO CASTELLANO / AVDA. CARDENAL HERRERA ORIA"/>
    <s v="FUENCARRAL-EL PARDO"/>
    <x v="1"/>
    <s v="Hitting a person"/>
    <x v="1"/>
    <s v="Pedestrian"/>
    <x v="12"/>
    <s v="Female"/>
    <n v="7"/>
  </r>
  <r>
    <s v="2019S005101"/>
    <x v="278"/>
    <d v="1899-12-30T13:00:00"/>
    <n v="13"/>
    <s v="Before 15"/>
    <s v="CALL. VILLABLANCA"/>
    <s v="VICÁLVARO"/>
    <x v="2"/>
    <s v="Head-on collision"/>
    <x v="1"/>
    <s v="Driver"/>
    <x v="13"/>
    <s v="Male"/>
    <n v="2"/>
  </r>
  <r>
    <s v="2019S017988"/>
    <x v="270"/>
    <d v="1899-12-30T14:40:00"/>
    <n v="14"/>
    <s v="Before 15"/>
    <s v="AVDA. DOCTOR GARCIA TAPIA"/>
    <s v="MORATALAZ"/>
    <x v="2"/>
    <s v="Reach"/>
    <x v="1"/>
    <s v="Driver"/>
    <x v="13"/>
    <s v="Male"/>
    <s v=""/>
  </r>
  <r>
    <s v="2019S018545"/>
    <x v="0"/>
    <d v="1899-12-30T12:20:00"/>
    <n v="12"/>
    <s v="Before 15"/>
    <s v="AVDA. MANZANARES"/>
    <s v="USERA"/>
    <x v="0"/>
    <s v="Hitting a person"/>
    <x v="0"/>
    <s v="Driver"/>
    <x v="13"/>
    <s v="Male"/>
    <n v="7"/>
  </r>
  <r>
    <s v="2019S019263"/>
    <x v="304"/>
    <d v="1899-12-30T17:05:00"/>
    <n v="17"/>
    <s v="After 15"/>
    <s v="PQUE. JUAN CARLOS I"/>
    <s v="BARAJAS"/>
    <x v="2"/>
    <s v="Hitting an animal"/>
    <x v="0"/>
    <s v="Driver"/>
    <x v="13"/>
    <s v="Male"/>
    <n v="2"/>
  </r>
  <r>
    <s v="2019S021951"/>
    <x v="16"/>
    <d v="1899-12-30T20:17:00"/>
    <n v="20"/>
    <s v="After 15"/>
    <s v="CALL. ISLA DE YESO"/>
    <s v="FUENCARRAL-EL PARDO"/>
    <x v="1"/>
    <s v="Fall"/>
    <x v="1"/>
    <s v="Driver"/>
    <x v="13"/>
    <s v="Male"/>
    <n v="2"/>
  </r>
  <r>
    <s v="2019S022605"/>
    <x v="103"/>
    <d v="1899-12-30T17:35:00"/>
    <n v="17"/>
    <s v="After 15"/>
    <s v="CALL. SANTA POLA"/>
    <s v="MONCLOA-ARAVACA"/>
    <x v="0"/>
    <s v="Reach"/>
    <x v="1"/>
    <s v="Driver"/>
    <x v="13"/>
    <s v="Male"/>
    <n v="7"/>
  </r>
  <r>
    <s v="2019S022596"/>
    <x v="103"/>
    <d v="1899-12-30T17:05:00"/>
    <n v="17"/>
    <s v="After 15"/>
    <s v="CALL. SANTA ENGRACIA"/>
    <s v="CHAMBERÍ"/>
    <x v="1"/>
    <s v="Hitting a person"/>
    <x v="1"/>
    <s v="Pedestrian"/>
    <x v="13"/>
    <s v="Female"/>
    <n v="7"/>
  </r>
  <r>
    <s v="2019S025589"/>
    <x v="112"/>
    <d v="1899-12-30T20:56:00"/>
    <n v="20"/>
    <s v="After 15"/>
    <s v="CALL. PLAYA DE LA CALETA"/>
    <s v="BARAJAS"/>
    <x v="2"/>
    <s v="Fall"/>
    <x v="1"/>
    <s v="Driver"/>
    <x v="13"/>
    <s v="Male"/>
    <n v="14"/>
  </r>
  <r>
    <s v="2019S029624"/>
    <x v="305"/>
    <d v="1899-12-30T13:45:00"/>
    <n v="13"/>
    <s v="Before 15"/>
    <s v="AVDA. POBLADOS / AUTOV. A-42"/>
    <s v="CARABANCHEL"/>
    <x v="0"/>
    <s v="Head-on collision"/>
    <x v="1"/>
    <s v="Driver"/>
    <x v="13"/>
    <s v="Male"/>
    <n v="1"/>
  </r>
  <r>
    <s v="2019S029873"/>
    <x v="74"/>
    <d v="1899-12-30T12:50:00"/>
    <n v="12"/>
    <s v="Before 15"/>
    <s v="CALL. DON RAMON DE LA CRUZ"/>
    <s v="SALAMANCA"/>
    <x v="0"/>
    <s v="Hitting a person"/>
    <x v="1"/>
    <s v="Pedestrian"/>
    <x v="13"/>
    <s v="Female"/>
    <n v="7"/>
  </r>
  <r>
    <s v="2019S030551"/>
    <x v="260"/>
    <d v="1899-12-30T15:50:00"/>
    <n v="15"/>
    <s v="After 15"/>
    <s v="PASEO. FLORIDA"/>
    <s v="MONCLOA-ARAVACA"/>
    <x v="0"/>
    <s v="Other"/>
    <x v="1"/>
    <s v="Driver"/>
    <x v="13"/>
    <s v="Male"/>
    <n v="7"/>
  </r>
  <r>
    <s v="2019S031868"/>
    <x v="77"/>
    <d v="1899-12-30T09:20:00"/>
    <n v="9"/>
    <s v="Before 15"/>
    <s v="AVDA. OPORTO / CALL. CAMINO VIEJO DE LEGANES"/>
    <s v="CARABANCHEL"/>
    <x v="0"/>
    <s v="Head-on collision"/>
    <x v="1"/>
    <s v="Driver"/>
    <x v="13"/>
    <s v="Male"/>
    <n v="14"/>
  </r>
  <r>
    <s v="2019S033481"/>
    <x v="52"/>
    <d v="1899-12-30T13:20:00"/>
    <n v="13"/>
    <s v="Before 15"/>
    <s v="AVDA. CANILLEJAS A VICALVARO / CALL. SANTA TECLA"/>
    <s v="SAN BLAS-CANILLEJAS"/>
    <x v="2"/>
    <s v="Fall"/>
    <x v="0"/>
    <s v="Driver"/>
    <x v="13"/>
    <s v="Male"/>
    <n v="5"/>
  </r>
  <r>
    <s v="2019S033740"/>
    <x v="235"/>
    <d v="1899-12-30T22:00:00"/>
    <n v="22"/>
    <s v="After 15"/>
    <s v="CALL. FUENCARRAL"/>
    <s v="CENTRO"/>
    <x v="0"/>
    <s v="Head-on collision"/>
    <x v="3"/>
    <s v="Driver"/>
    <x v="13"/>
    <s v="Male"/>
    <n v="7"/>
  </r>
  <r>
    <s v="2019S033668"/>
    <x v="235"/>
    <d v="1899-12-30T19:55:00"/>
    <n v="19"/>
    <s v="After 15"/>
    <s v="PLAZA. CRONOS / CALL. INOCENTA DE MESA"/>
    <s v="SAN BLAS-CANILLEJAS"/>
    <x v="2"/>
    <s v="Head-on collision"/>
    <x v="3"/>
    <s v="Driver"/>
    <x v="13"/>
    <s v="Male"/>
    <n v="7"/>
  </r>
  <r>
    <s v="2019S035582"/>
    <x v="132"/>
    <d v="1899-12-30T14:30:00"/>
    <n v="14"/>
    <s v="Before 15"/>
    <s v="AVDA. PEÑA PRIETA / CALL. PICO ALMANZOR"/>
    <s v="PUENTE DE VALLECAS"/>
    <x v="0"/>
    <s v="Head-on collision"/>
    <x v="1"/>
    <s v="Driver"/>
    <x v="13"/>
    <s v="Male"/>
    <n v="7"/>
  </r>
  <r>
    <s v="2019S038464"/>
    <x v="137"/>
    <d v="1899-12-30T18:40:00"/>
    <n v="18"/>
    <s v="After 15"/>
    <s v="CALL. EMBAJADORES / CALL. RICARDO GOIZUETA"/>
    <s v="ARGANZUELA"/>
    <x v="0"/>
    <s v="Hitting a person"/>
    <x v="1"/>
    <s v="Pedestrian"/>
    <x v="13"/>
    <s v="Female"/>
    <n v="6"/>
  </r>
  <r>
    <s v="2019S038567"/>
    <x v="137"/>
    <d v="1899-12-30T15:20:00"/>
    <n v="15"/>
    <s v="After 15"/>
    <s v="PASEO. MELANCOLICOS / PASEO. PONTONES"/>
    <s v="ARGANZUELA"/>
    <x v="0"/>
    <s v="Fall"/>
    <x v="0"/>
    <s v="Driver"/>
    <x v="13"/>
    <s v="Female"/>
    <n v="7"/>
  </r>
  <r>
    <s v="2019S039474"/>
    <x v="277"/>
    <d v="1899-12-30T10:30:00"/>
    <n v="10"/>
    <s v="Before 15"/>
    <s v="CALL. BOLSA / CALL. BOLSA"/>
    <s v="CENTRO"/>
    <x v="0"/>
    <s v="Fall"/>
    <x v="3"/>
    <s v="Driver"/>
    <x v="13"/>
    <s v="Female"/>
    <n v="2"/>
  </r>
  <r>
    <s v="2019S000641"/>
    <x v="210"/>
    <d v="1899-12-30T13:35:00"/>
    <n v="13"/>
    <s v="Before 15"/>
    <s v="CALL. CAÑON DEL RIO LOBOS"/>
    <s v="MORATALAZ"/>
    <x v="2"/>
    <s v="Head-on collision"/>
    <x v="1"/>
    <s v="Driver"/>
    <x v="14"/>
    <s v="Male"/>
    <n v="7"/>
  </r>
  <r>
    <s v="2019S005062"/>
    <x v="306"/>
    <d v="1899-12-30T15:38:00"/>
    <n v="15"/>
    <s v="After 15"/>
    <s v="AVDA. ALBUFERA"/>
    <s v="PUENTE DE VALLECAS"/>
    <x v="0"/>
    <s v="Head-on collision"/>
    <x v="1"/>
    <s v="Driver"/>
    <x v="14"/>
    <s v="Male"/>
    <n v="14"/>
  </r>
  <r>
    <s v="2019S016752"/>
    <x v="153"/>
    <d v="1899-12-30T14:15:00"/>
    <n v="14"/>
    <s v="Before 15"/>
    <s v="CALL. ATOCHA"/>
    <s v="CENTRO"/>
    <x v="0"/>
    <s v="Hitting a person"/>
    <x v="1"/>
    <s v="Pedestrian"/>
    <x v="14"/>
    <s v="Female"/>
    <n v="2"/>
  </r>
  <r>
    <s v="2019S018494"/>
    <x v="284"/>
    <d v="1899-12-30T08:35:00"/>
    <n v="8"/>
    <s v="Before 15"/>
    <s v="PASEO. FERNAN NUÑEZ"/>
    <s v="RETIRO"/>
    <x v="0"/>
    <s v="Hitting a person"/>
    <x v="1"/>
    <s v="Driver"/>
    <x v="14"/>
    <s v="Male"/>
    <n v="14"/>
  </r>
  <r>
    <s v="2019S019124"/>
    <x v="307"/>
    <d v="1899-12-30T19:00:00"/>
    <n v="19"/>
    <s v="After 15"/>
    <s v="CALL. DOCTOR TOLOSA LATOUR"/>
    <s v="USERA"/>
    <x v="0"/>
    <s v="Lateral collision"/>
    <x v="1"/>
    <s v="Driver"/>
    <x v="14"/>
    <s v="Female"/>
    <n v="6"/>
  </r>
  <r>
    <s v="2019S020574"/>
    <x v="61"/>
    <d v="1899-12-30T14:49:00"/>
    <n v="14"/>
    <s v="Before 15"/>
    <s v="CALL. SESEÑA"/>
    <s v="LATINA"/>
    <x v="0"/>
    <s v="Hitting a person"/>
    <x v="1"/>
    <s v="Pedestrian"/>
    <x v="14"/>
    <s v="Male"/>
    <n v="7"/>
  </r>
  <r>
    <s v="2019S021283"/>
    <x v="1"/>
    <d v="1899-12-30T11:40:00"/>
    <n v="11"/>
    <s v="Before 15"/>
    <s v="MADRID RIO"/>
    <s v="CARABANCHEL"/>
    <x v="0"/>
    <s v="Reach"/>
    <x v="1"/>
    <s v="Driver"/>
    <x v="14"/>
    <s v="Male"/>
    <n v="14"/>
  </r>
  <r>
    <s v="2019S020921"/>
    <x v="285"/>
    <d v="1899-12-30T19:50:00"/>
    <n v="19"/>
    <s v="After 15"/>
    <s v="PASEO. PLATANOS / PASEO. PUERTA DEL ANGEL"/>
    <s v="MONCLOA-ARAVACA"/>
    <x v="0"/>
    <s v="Crash into fixed obstacle"/>
    <x v="1"/>
    <s v="Driver"/>
    <x v="14"/>
    <s v="Male"/>
    <n v="2"/>
  </r>
  <r>
    <s v="2019S021744"/>
    <x v="62"/>
    <d v="1899-12-30T07:15:00"/>
    <n v="7"/>
    <s v="Before 15"/>
    <s v="CALL. O'DONNELL"/>
    <s v="RETIRO"/>
    <x v="0"/>
    <s v="Head-on collision"/>
    <x v="1"/>
    <s v="Driver"/>
    <x v="14"/>
    <s v="Male"/>
    <n v="3"/>
  </r>
  <r>
    <s v="2019S023320"/>
    <x v="43"/>
    <d v="1899-12-30T14:20:00"/>
    <n v="14"/>
    <s v="Before 15"/>
    <s v="CALL. ARROYO DEL MONTE / PLAZA. PRADERA DEL SALCERAL"/>
    <s v="FUENCARRAL-EL PARDO"/>
    <x v="1"/>
    <s v="Fall"/>
    <x v="1"/>
    <s v="Driver"/>
    <x v="14"/>
    <s v="Male"/>
    <n v="6"/>
  </r>
  <r>
    <s v="2019S023455"/>
    <x v="44"/>
    <d v="1899-12-30T09:45:00"/>
    <n v="9"/>
    <s v="Before 15"/>
    <s v="CALL. SAN EPIFANIO"/>
    <s v="ARGANZUELA"/>
    <x v="0"/>
    <s v="Fall"/>
    <x v="1"/>
    <s v="Driver"/>
    <x v="14"/>
    <s v="Female"/>
    <s v=""/>
  </r>
  <r>
    <s v="2019S023692"/>
    <x v="105"/>
    <d v="1899-12-30T18:30:00"/>
    <n v="18"/>
    <s v="After 15"/>
    <s v="CALL. IRUN / CALL. CADARSO"/>
    <s v="MONCLOA-ARAVACA"/>
    <x v="0"/>
    <s v="Fall"/>
    <x v="1"/>
    <s v="Driver"/>
    <x v="14"/>
    <s v="Male"/>
    <n v="6"/>
  </r>
  <r>
    <s v="2019S024502"/>
    <x v="108"/>
    <d v="1899-12-30T13:05:00"/>
    <n v="13"/>
    <s v="Before 15"/>
    <s v="PASEO. JUAN ANTONIO VALLEJO-NAJERA BOTAS"/>
    <s v="ARGANZUELA"/>
    <x v="0"/>
    <s v="Fall"/>
    <x v="1"/>
    <s v="Pedestrian"/>
    <x v="14"/>
    <s v="Female"/>
    <n v="14"/>
  </r>
  <r>
    <s v="2019S025622"/>
    <x v="113"/>
    <d v="1899-12-30T09:20:00"/>
    <n v="9"/>
    <s v="Before 15"/>
    <s v="CMNO. CRUCES / POLIG. ALUCHE-AVENIDA DE LOS POBLADOS"/>
    <s v="CARABANCHEL"/>
    <x v="0"/>
    <s v="Head-on collision"/>
    <x v="1"/>
    <s v="Driver"/>
    <x v="14"/>
    <s v="Male"/>
    <n v="6"/>
  </r>
  <r>
    <s v="2019S027071"/>
    <x v="308"/>
    <d v="1899-12-30T11:05:00"/>
    <n v="11"/>
    <s v="Before 15"/>
    <s v="EN CARRIL BICI"/>
    <s v="SAN BLAS-CANILLEJAS"/>
    <x v="2"/>
    <s v="Fall"/>
    <x v="1"/>
    <s v="Driver"/>
    <x v="14"/>
    <s v="Male"/>
    <s v=""/>
  </r>
  <r>
    <s v="2019S028983"/>
    <x v="183"/>
    <d v="1899-12-30T10:50:00"/>
    <n v="10"/>
    <s v="Before 15"/>
    <s v="CALL. FUENTE CARRANTONA"/>
    <s v="MORATALAZ"/>
    <x v="2"/>
    <s v="Head-on collision"/>
    <x v="1"/>
    <s v="Driver"/>
    <x v="14"/>
    <s v="Male"/>
    <n v="7"/>
  </r>
  <r>
    <s v="2019S030632"/>
    <x v="120"/>
    <d v="1899-12-30T15:20:00"/>
    <n v="15"/>
    <s v="After 15"/>
    <s v="CALL. MAYOR"/>
    <s v="CENTRO"/>
    <x v="0"/>
    <s v="Hitting a person"/>
    <x v="1"/>
    <s v="Pedestrian"/>
    <x v="14"/>
    <s v="Male"/>
    <n v="2"/>
  </r>
  <r>
    <s v="2019S030783"/>
    <x v="121"/>
    <d v="1899-12-30T10:40:00"/>
    <n v="10"/>
    <s v="Before 15"/>
    <s v="PASEO. ACACIAS"/>
    <s v="ARGANZUELA"/>
    <x v="0"/>
    <s v="Hitting a person"/>
    <x v="1"/>
    <s v="Pedestrian"/>
    <x v="14"/>
    <s v="Female"/>
    <s v=""/>
  </r>
  <r>
    <s v="2019S032355"/>
    <x v="309"/>
    <d v="1899-12-30T12:08:00"/>
    <n v="12"/>
    <s v="Before 15"/>
    <s v="PASEO. YESERIAS"/>
    <s v="ARGANZUELA"/>
    <x v="0"/>
    <s v="Head-on collision"/>
    <x v="1"/>
    <s v="Driver"/>
    <x v="14"/>
    <s v="Male"/>
    <n v="3"/>
  </r>
  <r>
    <s v="2019S037676"/>
    <x v="205"/>
    <d v="1899-12-30T21:10:00"/>
    <n v="21"/>
    <s v="After 15"/>
    <s v="CALL. PRINCIPE DE VERGARA / CALL. LOPEZ DE HOYOS"/>
    <s v="CHAMARTÍN"/>
    <x v="1"/>
    <s v="Head-on collision"/>
    <x v="1"/>
    <s v="Driver"/>
    <x v="14"/>
    <s v="Female"/>
    <n v="7"/>
  </r>
  <r>
    <s v="2019S039131"/>
    <x v="138"/>
    <d v="1899-12-30T12:10:00"/>
    <n v="12"/>
    <s v="Before 15"/>
    <s v="CALL. VILLAAMIL"/>
    <s v="TETUÁN"/>
    <x v="1"/>
    <s v="Hitting a person"/>
    <x v="1"/>
    <s v="Pedestrian"/>
    <x v="14"/>
    <s v="Female"/>
    <n v="2"/>
  </r>
  <r>
    <s v="2019S039483"/>
    <x v="310"/>
    <d v="1899-12-30T11:21:00"/>
    <n v="11"/>
    <s v="Before 15"/>
    <s v="CALL. BARQUILLO"/>
    <s v="CENTRO"/>
    <x v="0"/>
    <s v="Fall"/>
    <x v="1"/>
    <s v="Driver"/>
    <x v="14"/>
    <s v="Male"/>
    <n v="5"/>
  </r>
  <r>
    <s v="2019S000036"/>
    <x v="311"/>
    <d v="1899-12-30T20:45:00"/>
    <n v="20"/>
    <s v="After 15"/>
    <s v="AVDA. GRAN VIA DE HORTALEZA / GTA. LUIS ROSALES"/>
    <s v="HORTALEZA"/>
    <x v="0"/>
    <s v="Head-on collision"/>
    <x v="1"/>
    <s v="Driver"/>
    <x v="15"/>
    <s v="Male"/>
    <n v="3"/>
  </r>
  <r>
    <s v="2019S007920"/>
    <x v="241"/>
    <d v="1899-12-30T11:07:00"/>
    <n v="11"/>
    <s v="Before 15"/>
    <s v="CALL. MARCELO USERA / CALL. MANUEL NOYA"/>
    <s v="USERA"/>
    <x v="0"/>
    <s v="Hitting a person"/>
    <x v="1"/>
    <s v="Pedestrian"/>
    <x v="15"/>
    <s v="Female"/>
    <n v="7"/>
  </r>
  <r>
    <s v="2019S017801"/>
    <x v="246"/>
    <d v="1899-12-30T10:00:00"/>
    <n v="10"/>
    <s v="Before 15"/>
    <s v="CALL. REGUERA DE TOMATEROS"/>
    <s v="PUENTE DE VALLECAS"/>
    <x v="0"/>
    <s v="Fall"/>
    <x v="1"/>
    <s v="Driver"/>
    <x v="15"/>
    <s v="Male"/>
    <n v="6"/>
  </r>
  <r>
    <s v="2019S017644"/>
    <x v="249"/>
    <d v="1899-12-30T13:35:00"/>
    <n v="13"/>
    <s v="Before 15"/>
    <s v="CALL. JUAN DUQUE / CALL. MORENO NIETO"/>
    <s v="ARGANZUELA"/>
    <x v="0"/>
    <s v="Lateral collision"/>
    <x v="1"/>
    <s v="Driver"/>
    <x v="15"/>
    <s v="Male"/>
    <n v="7"/>
  </r>
  <r>
    <s v="2019S018494"/>
    <x v="284"/>
    <d v="1899-12-30T08:35:00"/>
    <n v="8"/>
    <s v="Before 15"/>
    <s v="PASEO. FERNAN NUÑEZ"/>
    <s v="RETIRO"/>
    <x v="0"/>
    <s v="Hitting a person"/>
    <x v="1"/>
    <s v="Pedestrian"/>
    <x v="15"/>
    <s v="Female"/>
    <n v="7"/>
  </r>
  <r>
    <s v="2019S022279"/>
    <x v="102"/>
    <d v="1899-12-30T12:30:00"/>
    <n v="12"/>
    <s v="Before 15"/>
    <s v="CALL. BAILEN"/>
    <s v="CENTRO"/>
    <x v="0"/>
    <s v="Hitting a person"/>
    <x v="1"/>
    <s v="Pedestrian"/>
    <x v="15"/>
    <s v="Female"/>
    <n v="7"/>
  </r>
  <r>
    <s v="2019S024946"/>
    <x v="169"/>
    <d v="1899-12-30T08:38:00"/>
    <n v="8"/>
    <s v="Before 15"/>
    <s v="CALL. LEONOR LOPEZ DE CORDOBA / AUTOV. M-40"/>
    <s v="FUENCARRAL-EL PARDO"/>
    <x v="1"/>
    <s v="Lateral collision"/>
    <x v="1"/>
    <s v="Driver"/>
    <x v="15"/>
    <s v="Male"/>
    <n v="7"/>
  </r>
  <r>
    <s v="2019S027825"/>
    <x v="256"/>
    <d v="1899-12-30T11:30:00"/>
    <n v="11"/>
    <s v="Before 15"/>
    <s v="CARRIL BICI INTERIOR PARQUE LINEAL DEL MANZANARES"/>
    <s v="VILLAVERDE"/>
    <x v="0"/>
    <s v="Fall"/>
    <x v="1"/>
    <s v="Driver"/>
    <x v="15"/>
    <s v="Male"/>
    <n v="5"/>
  </r>
  <r>
    <s v="2019S030311"/>
    <x v="119"/>
    <d v="1899-12-30T11:50:00"/>
    <n v="11"/>
    <s v="Before 15"/>
    <s v="CALL. CERRO DEL MURMULLO"/>
    <s v="VILLA DE VALLECAS"/>
    <x v="0"/>
    <s v="Fall"/>
    <x v="0"/>
    <s v="Driver"/>
    <x v="15"/>
    <s v="Male"/>
    <n v="7"/>
  </r>
  <r>
    <s v="2019S030398"/>
    <x v="119"/>
    <d v="1899-12-30T11:30:00"/>
    <n v="11"/>
    <s v="Before 15"/>
    <s v="GTA. ANGEL CAIDO / CALL. FERNAN NUÑEZ"/>
    <s v="RETIRO"/>
    <x v="0"/>
    <s v="Hitting a person"/>
    <x v="1"/>
    <s v="Pedestrian"/>
    <x v="15"/>
    <s v="Female"/>
    <n v="6"/>
  </r>
  <r>
    <s v="2019S031114"/>
    <x v="75"/>
    <d v="1899-12-30T17:35:00"/>
    <n v="17"/>
    <s v="After 15"/>
    <s v="PLAZA. PUERTA DEL SOL"/>
    <s v="CENTRO"/>
    <x v="0"/>
    <s v="Hitting a person"/>
    <x v="1"/>
    <s v="Pedestrian"/>
    <x v="15"/>
    <s v="Female"/>
    <n v="7"/>
  </r>
  <r>
    <s v="2019S031356"/>
    <x v="25"/>
    <d v="1899-12-30T20:05:00"/>
    <n v="20"/>
    <s v="After 15"/>
    <s v="CALL. O'DONNELL"/>
    <s v="RETIRO"/>
    <x v="0"/>
    <s v="Hitting a person"/>
    <x v="1"/>
    <s v="Pedestrian"/>
    <x v="15"/>
    <s v="Female"/>
    <n v="6"/>
  </r>
  <r>
    <s v="2019S033730"/>
    <x v="7"/>
    <d v="1899-12-30T11:10:00"/>
    <n v="11"/>
    <s v="Before 15"/>
    <s v="CALL. FERNANDEZ DE LA HOZ / CALL. GENERAL ARRANDO"/>
    <s v="CHAMBERÍ"/>
    <x v="1"/>
    <s v="Fall"/>
    <x v="3"/>
    <s v="Pedestrian"/>
    <x v="15"/>
    <s v="Female"/>
    <n v="7"/>
  </r>
  <r>
    <s v="2019S034854"/>
    <x v="236"/>
    <d v="1899-12-30T15:49:00"/>
    <n v="15"/>
    <s v="After 15"/>
    <s v="AVDA. DOCTOR GARCIA TAPIA / CALL. MARROQUINA"/>
    <s v="MORATALAZ"/>
    <x v="2"/>
    <s v="Fall"/>
    <x v="1"/>
    <s v="Driver"/>
    <x v="15"/>
    <s v="Female"/>
    <n v="1"/>
  </r>
  <r>
    <s v="2019S034836"/>
    <x v="312"/>
    <d v="1899-12-30T13:10:00"/>
    <n v="13"/>
    <s v="Before 15"/>
    <s v="AVDA. CANILLEJAS A VICALVARO"/>
    <s v="SAN BLAS-CANILLEJAS"/>
    <x v="2"/>
    <s v="Fall"/>
    <x v="1"/>
    <s v="Driver"/>
    <x v="15"/>
    <s v="Male"/>
    <n v="7"/>
  </r>
  <r>
    <s v="2019S036951"/>
    <x v="202"/>
    <d v="1899-12-30T12:30:00"/>
    <n v="12"/>
    <s v="Before 15"/>
    <s v="PASEO. PLATANOS / PASEO. ROBLEDAL"/>
    <s v="MONCLOA-ARAVACA"/>
    <x v="0"/>
    <s v="Head-on collision"/>
    <x v="1"/>
    <s v="Driver"/>
    <x v="15"/>
    <s v="Male"/>
    <n v="7"/>
  </r>
  <r>
    <s v="2019S018655"/>
    <x v="158"/>
    <d v="1899-12-30T14:15:00"/>
    <n v="14"/>
    <s v="Before 15"/>
    <s v="CALL. BARCO"/>
    <s v="CENTRO"/>
    <x v="0"/>
    <s v="Fall"/>
    <x v="1"/>
    <s v="Pedestrian"/>
    <x v="16"/>
    <s v="Male"/>
    <n v="14"/>
  </r>
  <r>
    <s v="2019S022596"/>
    <x v="103"/>
    <d v="1899-12-30T17:05:00"/>
    <n v="17"/>
    <s v="After 15"/>
    <s v="CALL. SANTA ENGRACIA"/>
    <s v="CHAMBERÍ"/>
    <x v="1"/>
    <s v="Hitting a person"/>
    <x v="1"/>
    <s v="Driver"/>
    <x v="16"/>
    <s v=""/>
    <s v=""/>
  </r>
  <r>
    <s v="2019S023732"/>
    <x v="2"/>
    <d v="1899-12-30T21:35:00"/>
    <n v="21"/>
    <s v="After 15"/>
    <s v="CALL. JACOMETREZO"/>
    <s v="CENTRO"/>
    <x v="0"/>
    <s v="Hitting a person"/>
    <x v="1"/>
    <s v="Driver"/>
    <x v="16"/>
    <s v=""/>
    <s v=""/>
  </r>
  <r>
    <s v="2019S024294"/>
    <x v="166"/>
    <d v="1899-12-30T10:30:00"/>
    <n v="10"/>
    <s v="Before 15"/>
    <s v="AVDA. MONASTERIO DE EL ESCORIAL / AVDA. SANTUARIO DE VALVERDE"/>
    <s v="FUENCARRAL-EL PARDO"/>
    <x v="1"/>
    <s v="Crash into fixed obstacle"/>
    <x v="1"/>
    <s v="Driver"/>
    <x v="16"/>
    <s v=""/>
    <s v=""/>
  </r>
  <r>
    <s v="2019S024417"/>
    <x v="313"/>
    <d v="1899-12-30T17:27:00"/>
    <n v="17"/>
    <s v="After 15"/>
    <s v="CALL. SAN TELESFORO"/>
    <s v="CIUDAD LINEAL"/>
    <x v="2"/>
    <s v="Crash into fixed obstacle"/>
    <x v="1"/>
    <s v="Driver"/>
    <x v="16"/>
    <s v=""/>
    <s v=""/>
  </r>
  <r>
    <s v="2019S025299"/>
    <x v="110"/>
    <d v="1899-12-30T23:00:00"/>
    <n v="23"/>
    <s v="After 15"/>
    <s v="CALL. MARCELO USERA"/>
    <s v="USERA"/>
    <x v="0"/>
    <s v="Hitting a person"/>
    <x v="1"/>
    <s v="Driver"/>
    <x v="16"/>
    <s v=""/>
    <s v=""/>
  </r>
  <r>
    <s v="2019S025453"/>
    <x v="46"/>
    <d v="1899-12-30T01:20:00"/>
    <n v="1"/>
    <s v="Before 15"/>
    <s v="CALL. CASINO / CALL. SANTIAGO EL VERDE"/>
    <s v="CENTRO"/>
    <x v="0"/>
    <s v="Lateral collision"/>
    <x v="4"/>
    <s v="Driver"/>
    <x v="16"/>
    <s v=""/>
    <s v=""/>
  </r>
  <r>
    <s v="2019S027484"/>
    <x v="4"/>
    <d v="1899-12-30T20:10:00"/>
    <n v="20"/>
    <s v="After 15"/>
    <s v="PQUE. MADRID RIO, +00300E"/>
    <s v="LATINA"/>
    <x v="0"/>
    <s v="Hitting a person"/>
    <x v="1"/>
    <s v="Driver"/>
    <x v="16"/>
    <s v=""/>
    <s v=""/>
  </r>
  <r>
    <s v="2019S027834"/>
    <x v="70"/>
    <d v="1899-12-30T16:33:00"/>
    <n v="16"/>
    <s v="After 15"/>
    <s v="CALL. LOPEZ DE HOYOS"/>
    <s v="CHAMARTÍN"/>
    <x v="1"/>
    <s v="Fall"/>
    <x v="1"/>
    <s v="Driver"/>
    <x v="16"/>
    <s v=""/>
    <s v=""/>
  </r>
  <r>
    <s v="2019S029101"/>
    <x v="5"/>
    <d v="1899-12-30T14:45:00"/>
    <n v="14"/>
    <s v="Before 15"/>
    <s v="PASEO. ALBERTO PALACIOS"/>
    <s v="VILLAVERDE"/>
    <x v="0"/>
    <s v="Hitting a person"/>
    <x v="1"/>
    <s v="Driver"/>
    <x v="16"/>
    <s v=""/>
    <s v=""/>
  </r>
  <r>
    <s v="2019S031116"/>
    <x v="75"/>
    <d v="1899-12-30T21:15:00"/>
    <n v="21"/>
    <s v="After 15"/>
    <s v="PQUE. MADRID RIO, FAROLA 26-10"/>
    <s v="ARGANZUELA"/>
    <x v="0"/>
    <s v="Head-on collision"/>
    <x v="1"/>
    <s v="Driver"/>
    <x v="16"/>
    <s v=""/>
    <s v=""/>
  </r>
  <r>
    <s v="2019S031237"/>
    <x v="124"/>
    <d v="1899-12-30T09:25:00"/>
    <n v="9"/>
    <s v="Before 15"/>
    <s v="AVDA. GENERAL PERON / CALL. JULIAN BESTEIRO"/>
    <s v="TETUÁN"/>
    <x v="1"/>
    <s v="Head-on collision"/>
    <x v="1"/>
    <s v="Driver"/>
    <x v="16"/>
    <s v=""/>
    <s v=""/>
  </r>
  <r>
    <s v="2019S033667"/>
    <x v="235"/>
    <d v="1899-12-30T20:00:00"/>
    <n v="20"/>
    <s v="After 15"/>
    <s v="PASEO. PRADO"/>
    <s v="CENTRO"/>
    <x v="0"/>
    <s v="Reach"/>
    <x v="3"/>
    <s v="Driver"/>
    <x v="16"/>
    <s v=""/>
    <s v=""/>
  </r>
  <r>
    <s v="2019S034153"/>
    <x v="263"/>
    <d v="1899-12-30T22:15:00"/>
    <n v="22"/>
    <s v="After 15"/>
    <s v="CALL. LOPEZ DE HOYOS"/>
    <s v="CHAMARTÍN"/>
    <x v="1"/>
    <s v="Fall"/>
    <x v="1"/>
    <s v="Driver"/>
    <x v="16"/>
    <s v=""/>
    <s v=""/>
  </r>
  <r>
    <s v="2019S034064"/>
    <x v="263"/>
    <d v="1899-12-30T00:38:00"/>
    <n v="0"/>
    <s v="Before 15"/>
    <s v="PLAZA. ALONSO MARTINEZ / CALL. SAGASTA"/>
    <s v="CHAMBERÍ"/>
    <x v="1"/>
    <s v="Hitting a person"/>
    <x v="1"/>
    <s v="Driver"/>
    <x v="16"/>
    <s v="Male"/>
    <s v=""/>
  </r>
  <r>
    <s v="2019S038818"/>
    <x v="276"/>
    <d v="1899-12-30T15:00:00"/>
    <n v="15"/>
    <s v="After 15"/>
    <s v="GTA. RUIZ JIMENEZ"/>
    <s v="CHAMBERÍ"/>
    <x v="1"/>
    <s v="Other"/>
    <x v="4"/>
    <s v="Driver"/>
    <x v="16"/>
    <s v="Male"/>
    <s v=""/>
  </r>
  <r>
    <s v="2019S039131"/>
    <x v="138"/>
    <d v="1899-12-30T12:10:00"/>
    <n v="12"/>
    <s v="Before 15"/>
    <s v="CALL. VILLAAMIL"/>
    <s v="TETUÁN"/>
    <x v="1"/>
    <s v="Hitting a person"/>
    <x v="1"/>
    <s v="Driver"/>
    <x v="16"/>
    <s v=""/>
    <n v="2"/>
  </r>
  <r>
    <s v="2019S039769"/>
    <x v="314"/>
    <d v="1899-12-30T15:30:00"/>
    <n v="15"/>
    <s v="After 15"/>
    <s v="PASEO. ACACIAS / PLAZA. ORTEGA Y MUNILLA"/>
    <s v="ARGANZUELA"/>
    <x v="0"/>
    <s v="Head-on collision"/>
    <x v="4"/>
    <s v="Driver"/>
    <x v="16"/>
    <s v=""/>
    <s v=""/>
  </r>
  <r>
    <s v="2019S016549"/>
    <x v="152"/>
    <d v="1899-12-30T10:30:00"/>
    <n v="10"/>
    <s v="Before 15"/>
    <s v="PASEO. ERMITA DEL SANTO / GTA. PUENTE DE SEGOVIA"/>
    <s v="CHAMARTÍN"/>
    <x v="1"/>
    <s v="Hitting a person"/>
    <x v="1"/>
    <s v="Pedestrian"/>
    <x v="17"/>
    <s v="Female"/>
    <n v="7"/>
  </r>
  <r>
    <s v="2019S021108"/>
    <x v="163"/>
    <d v="1899-12-30T15:15:00"/>
    <n v="15"/>
    <s v="After 15"/>
    <s v="CALL. HACIENDA DE PAVONES / CALL. LUIS DE HOYOS SAINZ"/>
    <s v="MORATALAZ"/>
    <x v="2"/>
    <s v="Reach"/>
    <x v="1"/>
    <s v="Driver"/>
    <x v="17"/>
    <s v="Male"/>
    <n v="1"/>
  </r>
  <r>
    <s v="2019S021607"/>
    <x v="252"/>
    <d v="1899-12-30T14:30:00"/>
    <n v="14"/>
    <s v="Before 15"/>
    <s v="CALL. PALOMARES / CALL. JUAN PEÑALVER"/>
    <s v="VILLAVERDE"/>
    <x v="0"/>
    <s v="Hitting a person"/>
    <x v="1"/>
    <s v="Pedestrian"/>
    <x v="17"/>
    <s v="Male"/>
    <n v="5"/>
  </r>
  <r>
    <s v="2019S022289"/>
    <x v="42"/>
    <d v="1899-12-30T16:47:00"/>
    <n v="16"/>
    <s v="After 15"/>
    <s v="AVDA. VIRGEN DEL CARMEN"/>
    <s v="HORTALEZA"/>
    <x v="0"/>
    <s v="Hitting a person"/>
    <x v="1"/>
    <s v="Pedestrian"/>
    <x v="17"/>
    <s v="Female"/>
    <n v="7"/>
  </r>
  <r>
    <s v="2019S022289"/>
    <x v="42"/>
    <d v="1899-12-30T16:47:00"/>
    <n v="16"/>
    <s v="After 15"/>
    <s v="AVDA. VIRGEN DEL CARMEN"/>
    <s v="HORTALEZA"/>
    <x v="0"/>
    <s v="Hitting a person"/>
    <x v="1"/>
    <s v="Pedestrian"/>
    <x v="17"/>
    <s v="Female"/>
    <n v="7"/>
  </r>
  <r>
    <s v="2019S022358"/>
    <x v="102"/>
    <d v="1899-12-30T10:20:00"/>
    <n v="10"/>
    <s v="Before 15"/>
    <s v="GTA. PUENTE DE SEGOVIA / PNTE. SEGOVIA"/>
    <s v="LATINA"/>
    <x v="0"/>
    <s v="Head-on collision"/>
    <x v="1"/>
    <s v="Driver"/>
    <x v="17"/>
    <s v="Male"/>
    <n v="7"/>
  </r>
  <r>
    <s v="2019S025299"/>
    <x v="110"/>
    <d v="1899-12-30T23:00:00"/>
    <n v="23"/>
    <s v="After 15"/>
    <s v="CALL. MARCELO USERA"/>
    <s v="USERA"/>
    <x v="0"/>
    <s v="Hitting a person"/>
    <x v="1"/>
    <s v="Pedestrian"/>
    <x v="17"/>
    <s v="Female"/>
    <n v="1"/>
  </r>
  <r>
    <s v="2019S026471"/>
    <x v="4"/>
    <d v="1899-12-30T11:43:00"/>
    <n v="11"/>
    <s v="Before 15"/>
    <s v="AVDA. ALBUFERA / CALL. JOSE PAULETE"/>
    <s v="PUENTE DE VALLECAS"/>
    <x v="0"/>
    <s v="Lateral collision"/>
    <x v="1"/>
    <s v="Driver"/>
    <x v="17"/>
    <s v="Male"/>
    <n v="7"/>
  </r>
  <r>
    <s v="2019S027815"/>
    <x v="70"/>
    <d v="1899-12-30T12:35:00"/>
    <n v="12"/>
    <s v="Before 15"/>
    <s v="CALL. CLAUDIO MOYANO"/>
    <s v="RETIRO"/>
    <x v="0"/>
    <s v="Hitting a person"/>
    <x v="1"/>
    <s v="Pedestrian"/>
    <x v="17"/>
    <s v="Male"/>
    <n v="6"/>
  </r>
  <r>
    <s v="2019S028042"/>
    <x v="273"/>
    <d v="1899-12-30T21:30:00"/>
    <n v="21"/>
    <s v="After 15"/>
    <s v="AVDA. HOSPITALIDAD"/>
    <s v="LATINA"/>
    <x v="0"/>
    <s v="Fall"/>
    <x v="1"/>
    <s v="Driver"/>
    <x v="17"/>
    <s v="Male"/>
    <n v="2"/>
  </r>
  <r>
    <s v="2019S029946"/>
    <x v="74"/>
    <d v="1899-12-30T18:35:00"/>
    <n v="18"/>
    <s v="After 15"/>
    <s v="PLAZA DE ORIENTE"/>
    <s v="CENTRO"/>
    <x v="0"/>
    <s v="Hitting a person"/>
    <x v="1"/>
    <s v="Pedestrian"/>
    <x v="17"/>
    <s v="Male"/>
    <n v="2"/>
  </r>
  <r>
    <s v="2019S030124"/>
    <x v="231"/>
    <d v="1899-12-30T12:04:00"/>
    <n v="12"/>
    <s v="Before 15"/>
    <s v="SAN MAXIMILIANO 49"/>
    <s v="CIUDAD LINEAL"/>
    <x v="2"/>
    <s v="Hitting a person"/>
    <x v="1"/>
    <s v="Pedestrian"/>
    <x v="17"/>
    <s v="Female"/>
    <n v="2"/>
  </r>
  <r>
    <s v="2019S030118"/>
    <x v="231"/>
    <d v="1899-12-30T11:00:00"/>
    <n v="11"/>
    <s v="Before 15"/>
    <s v="CALL. CARRION DE LOS CONDES"/>
    <s v="HORTALEZA"/>
    <x v="0"/>
    <s v="Hitting a person"/>
    <x v="1"/>
    <s v="Pedestrian"/>
    <x v="17"/>
    <s v="Female"/>
    <n v="1"/>
  </r>
  <r>
    <s v="2019S030627"/>
    <x v="261"/>
    <d v="1899-12-30T20:05:00"/>
    <n v="20"/>
    <s v="After 15"/>
    <s v="CALL. MARROQUINA"/>
    <s v="MORATALAZ"/>
    <x v="2"/>
    <s v="Hitting a person"/>
    <x v="1"/>
    <s v="Pedestrian"/>
    <x v="17"/>
    <s v="Male"/>
    <n v="7"/>
  </r>
  <r>
    <s v="2019S030757"/>
    <x v="121"/>
    <d v="1899-12-30T17:25:00"/>
    <n v="17"/>
    <s v="After 15"/>
    <s v="CALL. GRAN VIA / PLAZA. CALLAO"/>
    <s v="CENTRO"/>
    <x v="0"/>
    <s v="Lateral collision"/>
    <x v="1"/>
    <s v="Driver"/>
    <x v="17"/>
    <s v="Female"/>
    <n v="7"/>
  </r>
  <r>
    <s v="2019S038773"/>
    <x v="292"/>
    <d v="1899-12-30T11:25:00"/>
    <n v="11"/>
    <s v="Before 15"/>
    <s v="CTRA. ZARZON / CTRA. RODAJOS"/>
    <s v="MONCLOA-ARAVACA"/>
    <x v="0"/>
    <s v="Hitting a person"/>
    <x v="1"/>
    <s v="Pedestrian"/>
    <x v="17"/>
    <s v="Male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D0418-A2C3-482E-B584-0BF523D87E60}" name="PivotTable9" cacheId="4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Months" colHeaderCaption="Gender">
  <location ref="A2:C16" firstHeaderRow="1" firstDataRow="2" firstDataCol="1"/>
  <pivotFields count="19">
    <pivotField dataField="1" showAll="0"/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0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9">
        <item x="3"/>
        <item x="4"/>
        <item x="6"/>
        <item x="8"/>
        <item x="9"/>
        <item x="10"/>
        <item x="11"/>
        <item x="13"/>
        <item x="14"/>
        <item x="0"/>
        <item x="1"/>
        <item x="2"/>
        <item x="5"/>
        <item x="7"/>
        <item x="12"/>
        <item x="15"/>
        <item x="17"/>
        <item x="16"/>
        <item t="default"/>
      </items>
    </pivotField>
    <pivotField axis="axisCol" showAll="0">
      <items count="4">
        <item h="1" x="2"/>
        <item x="1"/>
        <item x="0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8">
        <item x="2"/>
        <item x="3"/>
        <item x="4"/>
        <item x="5"/>
        <item x="6"/>
        <item x="1"/>
        <item x="0"/>
        <item t="default"/>
      </items>
    </pivotField>
  </pivotFields>
  <rowFields count="2">
    <field x="17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4"/>
  </colFields>
  <colItems count="2">
    <i>
      <x v="1"/>
    </i>
    <i>
      <x v="2"/>
    </i>
  </colItems>
  <dataFields count="1">
    <dataField name="% of increase" fld="0" subtotal="count" showDataAs="percentDiff" baseField="17" baseItem="1048828" numFmtId="10"/>
  </dataFields>
  <formats count="13">
    <format dxfId="90">
      <pivotArea collapsedLevelsAreSubtotals="1" fieldPosition="0">
        <references count="1">
          <reference field="17" count="1">
            <x v="1"/>
          </reference>
        </references>
      </pivotArea>
    </format>
    <format dxfId="89">
      <pivotArea collapsedLevelsAreSubtotals="1" fieldPosition="0">
        <references count="1">
          <reference field="17" count="1">
            <x v="2"/>
          </reference>
        </references>
      </pivotArea>
    </format>
    <format dxfId="88">
      <pivotArea collapsedLevelsAreSubtotals="1" fieldPosition="0">
        <references count="1">
          <reference field="17" count="1">
            <x v="3"/>
          </reference>
        </references>
      </pivotArea>
    </format>
    <format dxfId="87">
      <pivotArea collapsedLevelsAreSubtotals="1" fieldPosition="0">
        <references count="1">
          <reference field="17" count="1">
            <x v="4"/>
          </reference>
        </references>
      </pivotArea>
    </format>
    <format dxfId="86">
      <pivotArea collapsedLevelsAreSubtotals="1" fieldPosition="0">
        <references count="1">
          <reference field="17" count="1">
            <x v="5"/>
          </reference>
        </references>
      </pivotArea>
    </format>
    <format dxfId="85">
      <pivotArea collapsedLevelsAreSubtotals="1" fieldPosition="0">
        <references count="1">
          <reference field="17" count="1">
            <x v="6"/>
          </reference>
        </references>
      </pivotArea>
    </format>
    <format dxfId="84">
      <pivotArea collapsedLevelsAreSubtotals="1" fieldPosition="0">
        <references count="1">
          <reference field="17" count="1">
            <x v="7"/>
          </reference>
        </references>
      </pivotArea>
    </format>
    <format dxfId="83">
      <pivotArea collapsedLevelsAreSubtotals="1" fieldPosition="0">
        <references count="1">
          <reference field="17" count="1">
            <x v="8"/>
          </reference>
        </references>
      </pivotArea>
    </format>
    <format dxfId="82">
      <pivotArea collapsedLevelsAreSubtotals="1" fieldPosition="0">
        <references count="1">
          <reference field="17" count="1">
            <x v="9"/>
          </reference>
        </references>
      </pivotArea>
    </format>
    <format dxfId="81">
      <pivotArea collapsedLevelsAreSubtotals="1" fieldPosition="0">
        <references count="1">
          <reference field="17" count="1">
            <x v="10"/>
          </reference>
        </references>
      </pivotArea>
    </format>
    <format dxfId="80">
      <pivotArea collapsedLevelsAreSubtotals="1" fieldPosition="0">
        <references count="1">
          <reference field="17" count="1">
            <x v="11"/>
          </reference>
        </references>
      </pivotArea>
    </format>
    <format dxfId="79">
      <pivotArea collapsedLevelsAreSubtotals="1" fieldPosition="0">
        <references count="1">
          <reference field="17" count="1">
            <x v="12"/>
          </reference>
        </references>
      </pivotArea>
    </format>
    <format dxfId="78">
      <pivotArea dataOnly="0" labelOnly="1" fieldPosition="0">
        <references count="1">
          <reference field="14" count="0"/>
        </references>
      </pivotArea>
    </format>
  </formats>
  <conditionalFormats count="2">
    <conditionalFormat priority="1">
      <pivotAreas count="11"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2"/>
            </reference>
            <reference field="17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2"/>
            </reference>
            <reference field="17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2"/>
            </reference>
            <reference field="17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2"/>
            </reference>
            <reference field="17" count="1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2"/>
            </reference>
            <reference field="17" count="1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2"/>
            </reference>
            <reference field="17" count="1"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2"/>
            </reference>
            <reference field="17" count="1">
              <x v="8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2"/>
            </reference>
            <reference field="17" count="1">
              <x v="9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2"/>
            </reference>
            <reference field="17" count="1">
              <x v="1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2"/>
            </reference>
            <reference field="17" count="1">
              <x v="1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2"/>
            </reference>
            <reference field="17" count="1">
              <x v="12"/>
            </reference>
          </references>
        </pivotArea>
      </pivotAreas>
    </conditionalFormat>
    <conditionalFormat priority="2">
      <pivotAreas count="11"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1"/>
            </reference>
            <reference field="17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1"/>
            </reference>
            <reference field="17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1"/>
            </reference>
            <reference field="17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1"/>
            </reference>
            <reference field="17" count="1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1"/>
            </reference>
            <reference field="17" count="1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1"/>
            </reference>
            <reference field="17" count="1"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1"/>
            </reference>
            <reference field="17" count="1">
              <x v="8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1"/>
            </reference>
            <reference field="17" count="1">
              <x v="9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1"/>
            </reference>
            <reference field="17" count="1">
              <x v="1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1"/>
            </reference>
            <reference field="17" count="1">
              <x v="1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1"/>
            </reference>
            <reference field="17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2CDC2-645A-4E9F-87FA-EB59D7AF6B76}" name="PivotTable9" cacheId="4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Age Range" colHeaderCaption="Type of accident">
  <location ref="A3:H11" firstHeaderRow="1" firstDataRow="2" firstDataCol="1" rowPageCount="1" colPageCount="1"/>
  <pivotFields count="19">
    <pivotField dataField="1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0" showAll="0"/>
    <pivotField numFmtId="165" showAll="0"/>
    <pivotField showAll="0"/>
    <pivotField showAll="0"/>
    <pivotField axis="axisPage" multipleItemSelectionAllowed="1" showAll="0">
      <items count="23">
        <item h="1" x="11"/>
        <item h="1" x="20"/>
        <item x="1"/>
        <item h="1" x="2"/>
        <item h="1" x="14"/>
        <item h="1" x="15"/>
        <item h="1" x="8"/>
        <item h="1" x="10"/>
        <item h="1" x="7"/>
        <item h="1" x="3"/>
        <item h="1" x="9"/>
        <item h="1" x="12"/>
        <item h="1" x="17"/>
        <item h="1" x="16"/>
        <item h="1" x="18"/>
        <item h="1" x="13"/>
        <item h="1" x="5"/>
        <item x="0"/>
        <item h="1" x="21"/>
        <item h="1" x="6"/>
        <item h="1" x="4"/>
        <item h="1" x="19"/>
        <item t="default"/>
      </items>
    </pivotField>
    <pivotField showAll="0"/>
    <pivotField showAll="0"/>
    <pivotField showAll="0"/>
    <pivotField axis="axisCol" showAll="0">
      <items count="10">
        <item x="6"/>
        <item x="4"/>
        <item x="2"/>
        <item x="0"/>
        <item x="8"/>
        <item x="3"/>
        <item x="7"/>
        <item x="5"/>
        <item x="1"/>
        <item t="default"/>
      </items>
    </pivotField>
    <pivotField showAll="0"/>
    <pivotField showAll="0"/>
    <pivotField showAll="0">
      <items count="19">
        <item x="0"/>
        <item x="12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7"/>
        <item h="1" x="16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8">
        <item n="LESS THAN 18 YEARS OLD" x="1"/>
        <item n="From 18 to 29" x="2"/>
        <item n="From 30 to 39" x="3"/>
        <item n="From 40 to 49" x="4"/>
        <item n="From 50 to 59" x="5"/>
        <item n="60 or more" x="6"/>
        <item h="1" x="0"/>
        <item t="default"/>
      </items>
    </pivotField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5"/>
    </i>
    <i>
      <x v="7"/>
    </i>
    <i>
      <x v="8"/>
    </i>
  </colItems>
  <pageFields count="1">
    <pageField fld="6" hier="-1"/>
  </pageFields>
  <dataFields count="1">
    <dataField name="% of accidents" fld="0" subtotal="count" showDataAs="percentOfCol" baseField="0" baseItem="0" numFmtId="9"/>
  </dataFields>
  <formats count="3">
    <format dxfId="77">
      <pivotArea outline="0" collapsedLevelsAreSubtotals="1" fieldPosition="0"/>
    </format>
    <format dxfId="76">
      <pivotArea outline="0" collapsedLevelsAreSubtotals="1" fieldPosition="0"/>
    </format>
    <format dxfId="75">
      <pivotArea dataOnly="0" labelOnly="1" fieldPosition="0">
        <references count="1">
          <reference field="10" count="7">
            <x v="0"/>
            <x v="1"/>
            <x v="2"/>
            <x v="3"/>
            <x v="5"/>
            <x v="7"/>
            <x v="8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8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DE0F4-A58E-4B72-BFBF-4B50D0B0D619}" name="PivotTable9" cacheId="4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olHeaderCaption="Moment of the day">
  <location ref="A2:C25" firstHeaderRow="1" firstDataRow="2" firstDataCol="1"/>
  <pivotFields count="19">
    <pivotField dataField="1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0" showAll="0"/>
    <pivotField numFmtId="165" showAll="0"/>
    <pivotField axis="axisCol" showAll="0">
      <items count="5">
        <item m="1" x="2"/>
        <item m="1" x="3"/>
        <item x="0"/>
        <item x="1"/>
        <item t="default"/>
      </items>
    </pivotField>
    <pivotField showAll="0"/>
    <pivotField axis="axisRow" showAll="0">
      <items count="23">
        <item x="11"/>
        <item x="20"/>
        <item x="1"/>
        <item x="2"/>
        <item x="14"/>
        <item x="15"/>
        <item x="8"/>
        <item x="10"/>
        <item x="7"/>
        <item x="3"/>
        <item x="9"/>
        <item x="12"/>
        <item x="17"/>
        <item x="16"/>
        <item x="18"/>
        <item x="13"/>
        <item x="5"/>
        <item x="0"/>
        <item x="21"/>
        <item x="6"/>
        <item x="4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9">
        <item x="3"/>
        <item x="4"/>
        <item x="6"/>
        <item x="8"/>
        <item x="9"/>
        <item x="10"/>
        <item x="11"/>
        <item x="13"/>
        <item x="14"/>
        <item x="0"/>
        <item x="1"/>
        <item x="2"/>
        <item x="5"/>
        <item x="7"/>
        <item x="12"/>
        <item x="15"/>
        <item x="17"/>
        <item x="16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8">
        <item x="2"/>
        <item x="3"/>
        <item x="4"/>
        <item x="5"/>
        <item x="6"/>
        <item x="1"/>
        <item x="0"/>
        <item t="default"/>
      </items>
    </pivotField>
  </pivotFields>
  <rowFields count="1">
    <field x="6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4"/>
  </colFields>
  <colItems count="2">
    <i>
      <x v="2"/>
    </i>
    <i>
      <x v="3"/>
    </i>
  </colItems>
  <dataFields count="1">
    <dataField name="% of accidents" fld="0" subtotal="count" showDataAs="percentOfRow" baseField="0" baseItem="0" numFmtId="9"/>
  </dataFields>
  <formats count="2">
    <format dxfId="74">
      <pivotArea outline="0" collapsedLevelsAreSubtotals="1" fieldPosition="0"/>
    </format>
    <format dxfId="73">
      <pivotArea outline="0" collapsedLevelsAreSubtotals="1" fieldPosition="0"/>
    </format>
  </formats>
  <conditionalFormats count="2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2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19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18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17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16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15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14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13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12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11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10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9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8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7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6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5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4"/>
            </reference>
          </references>
        </pivotArea>
      </pivotAreas>
    </conditionalFormat>
    <conditionalFormat priority="1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3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2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1"/>
            </reference>
          </references>
        </pivotArea>
      </pivotAreas>
    </conditionalFormat>
    <conditionalFormat type="all" priority="2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E4AB4-ACDB-4A40-B3D2-A6594FE951A4}" name="PivotTable9" cacheId="4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C10" firstHeaderRow="1" firstDataRow="2" firstDataCol="1"/>
  <pivotFields count="16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0" showAll="0"/>
    <pivotField numFmtId="165" showAll="0"/>
    <pivotField showAll="0"/>
    <pivotField showAll="0"/>
    <pivotField showAll="0"/>
    <pivotField axis="axisCol" showAll="0">
      <items count="4">
        <item h="1" x="0"/>
        <item x="2"/>
        <item x="1"/>
        <item t="default"/>
      </items>
    </pivotField>
    <pivotField showAll="0"/>
    <pivotField axis="axisRow" showAll="0">
      <items count="8">
        <item x="1"/>
        <item x="0"/>
        <item x="6"/>
        <item x="5"/>
        <item x="3"/>
        <item x="2"/>
        <item h="1" x="4"/>
        <item t="default"/>
      </items>
    </pivotField>
    <pivotField showAll="0"/>
    <pivotField showAll="0">
      <items count="19">
        <item x="3"/>
        <item x="4"/>
        <item x="6"/>
        <item x="8"/>
        <item x="9"/>
        <item x="10"/>
        <item x="11"/>
        <item x="13"/>
        <item x="14"/>
        <item x="0"/>
        <item x="1"/>
        <item x="2"/>
        <item x="5"/>
        <item x="7"/>
        <item x="12"/>
        <item x="15"/>
        <item x="17"/>
        <item x="16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8">
        <item x="2"/>
        <item x="3"/>
        <item x="4"/>
        <item x="5"/>
        <item x="6"/>
        <item x="1"/>
        <item x="0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">
    <i>
      <x v="1"/>
    </i>
    <i>
      <x v="2"/>
    </i>
  </colItems>
  <dataFields count="1">
    <dataField name="Average of LESIVITY" fld="13" subtotal="average" baseField="9" baseItem="2" numFmtId="2"/>
  </dataFields>
  <formats count="11">
    <format dxfId="72">
      <pivotArea outline="0" collapsedLevelsAreSubtotals="1" fieldPosition="0"/>
    </format>
    <format dxfId="71">
      <pivotArea outline="0" collapsedLevelsAreSubtotals="1" fieldPosition="0"/>
    </format>
    <format dxfId="70">
      <pivotArea collapsedLevelsAreSubtotals="1" fieldPosition="0">
        <references count="1">
          <reference field="9" count="1">
            <x v="1"/>
          </reference>
        </references>
      </pivotArea>
    </format>
    <format dxfId="69">
      <pivotArea dataOnly="0" labelOnly="1" fieldPosition="0">
        <references count="1">
          <reference field="9" count="1">
            <x v="1"/>
          </reference>
        </references>
      </pivotArea>
    </format>
    <format dxfId="68">
      <pivotArea collapsedLevelsAreSubtotals="1" fieldPosition="0">
        <references count="1">
          <reference field="9" count="1">
            <x v="4"/>
          </reference>
        </references>
      </pivotArea>
    </format>
    <format dxfId="67">
      <pivotArea dataOnly="0" labelOnly="1" fieldPosition="0">
        <references count="1">
          <reference field="9" count="1">
            <x v="4"/>
          </reference>
        </references>
      </pivotArea>
    </format>
    <format dxfId="66">
      <pivotArea collapsedLevelsAreSubtotals="1" fieldPosition="0">
        <references count="2">
          <reference field="7" count="1" selected="0">
            <x v="1"/>
          </reference>
          <reference field="9" count="2">
            <x v="2"/>
            <x v="3"/>
          </reference>
        </references>
      </pivotArea>
    </format>
    <format dxfId="65">
      <pivotArea dataOnly="0" labelOnly="1" fieldPosition="0">
        <references count="1">
          <reference field="9" count="2">
            <x v="2"/>
            <x v="3"/>
          </reference>
        </references>
      </pivotArea>
    </format>
    <format dxfId="64">
      <pivotArea collapsedLevelsAreSubtotals="1" fieldPosition="0">
        <references count="1">
          <reference field="9" count="4">
            <x v="1"/>
            <x v="2"/>
            <x v="3"/>
            <x v="4"/>
          </reference>
        </references>
      </pivotArea>
    </format>
    <format dxfId="63">
      <pivotArea dataOnly="0" labelOnly="1" fieldPosition="0">
        <references count="1">
          <reference field="9" count="4">
            <x v="1"/>
            <x v="2"/>
            <x v="3"/>
            <x v="4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2"/>
  <sheetViews>
    <sheetView showGridLines="0" tabSelected="1" zoomScaleNormal="100" zoomScalePageLayoutView="124" workbookViewId="0"/>
  </sheetViews>
  <sheetFormatPr defaultColWidth="10.85546875" defaultRowHeight="15" x14ac:dyDescent="0.25"/>
  <cols>
    <col min="1" max="1" width="12" bestFit="1" customWidth="1"/>
    <col min="2" max="2" width="10.42578125" bestFit="1" customWidth="1"/>
    <col min="3" max="3" width="6.28515625" bestFit="1" customWidth="1"/>
    <col min="4" max="4" width="6.28515625" style="16" bestFit="1" customWidth="1"/>
    <col min="5" max="5" width="14" style="16" bestFit="1" customWidth="1"/>
    <col min="6" max="6" width="73.28515625" bestFit="1" customWidth="1"/>
    <col min="7" max="7" width="22.28515625" style="16" bestFit="1" customWidth="1"/>
    <col min="8" max="8" width="12.140625" style="16" bestFit="1" customWidth="1"/>
    <col min="9" max="9" width="23.140625" bestFit="1" customWidth="1"/>
    <col min="10" max="10" width="10.28515625" bestFit="1" customWidth="1"/>
    <col min="11" max="11" width="10.5703125" bestFit="1" customWidth="1"/>
    <col min="12" max="12" width="22.28515625" bestFit="1" customWidth="1"/>
    <col min="13" max="13" width="7.5703125" bestFit="1" customWidth="1"/>
    <col min="14" max="14" width="8.42578125" style="18" bestFit="1" customWidth="1"/>
    <col min="15" max="15" width="12.28515625" style="16" bestFit="1" customWidth="1"/>
  </cols>
  <sheetData>
    <row r="1" spans="1:15" s="2" customFormat="1" x14ac:dyDescent="0.25">
      <c r="A1" s="1" t="s">
        <v>1431</v>
      </c>
      <c r="B1" s="1" t="s">
        <v>1432</v>
      </c>
      <c r="C1" s="1" t="s">
        <v>1433</v>
      </c>
      <c r="D1" s="14" t="s">
        <v>1504</v>
      </c>
      <c r="E1" s="14" t="s">
        <v>1508</v>
      </c>
      <c r="F1" s="1" t="s">
        <v>1434</v>
      </c>
      <c r="G1" s="14" t="s">
        <v>1479</v>
      </c>
      <c r="H1" s="14" t="s">
        <v>1516</v>
      </c>
      <c r="I1" s="1" t="s">
        <v>1435</v>
      </c>
      <c r="J1" s="1" t="s">
        <v>1436</v>
      </c>
      <c r="K1" s="1" t="s">
        <v>1437</v>
      </c>
      <c r="L1" s="1" t="s">
        <v>1438</v>
      </c>
      <c r="M1" s="1" t="s">
        <v>1439</v>
      </c>
      <c r="N1" s="1" t="s">
        <v>1440</v>
      </c>
      <c r="O1" s="14"/>
    </row>
    <row r="2" spans="1:15" x14ac:dyDescent="0.25">
      <c r="A2" t="s">
        <v>363</v>
      </c>
      <c r="B2" s="7">
        <v>43563</v>
      </c>
      <c r="C2" s="4">
        <v>0.51388888888888895</v>
      </c>
      <c r="D2" s="15">
        <f>HOUR(C2)</f>
        <v>12</v>
      </c>
      <c r="E2" s="15" t="str">
        <f>IF(D2&lt;15,"Before 15","After 15")</f>
        <v>Before 15</v>
      </c>
      <c r="F2" t="s">
        <v>272</v>
      </c>
      <c r="G2" s="16" t="str">
        <f>VLOOKUP(F2,DISTRICTS!B$2:C$626,2,FALSE)</f>
        <v>USERA</v>
      </c>
      <c r="H2" s="16" t="str">
        <f>IFERROR(VLOOKUP(G2,'areas for question 4'!A$2:B$10,2,FALSE),"")</f>
        <v/>
      </c>
      <c r="I2" t="s">
        <v>1443</v>
      </c>
      <c r="J2" t="s">
        <v>1454</v>
      </c>
      <c r="K2" t="s">
        <v>1458</v>
      </c>
      <c r="L2" t="s">
        <v>1459</v>
      </c>
      <c r="M2" t="s">
        <v>1477</v>
      </c>
      <c r="N2" s="18">
        <v>7</v>
      </c>
    </row>
    <row r="3" spans="1:15" x14ac:dyDescent="0.25">
      <c r="A3" t="s">
        <v>445</v>
      </c>
      <c r="B3" s="7">
        <v>43595</v>
      </c>
      <c r="C3" s="4">
        <v>0.4861111111111111</v>
      </c>
      <c r="D3" s="15">
        <f t="shared" ref="D3:D66" si="0">HOUR(C3)</f>
        <v>11</v>
      </c>
      <c r="E3" s="15" t="str">
        <f t="shared" ref="E3:E66" si="1">IF(D3&lt;15,"Before 15","After 15")</f>
        <v>Before 15</v>
      </c>
      <c r="F3" t="s">
        <v>446</v>
      </c>
      <c r="G3" s="16" t="str">
        <f>VLOOKUP(F3,DISTRICTS!B$2:C$626,2,FALSE)</f>
        <v>CARABANCHEL</v>
      </c>
      <c r="H3" s="16" t="str">
        <f>IFERROR(VLOOKUP(G3,'areas for question 4'!A$2:B$10,2,FALSE),"")</f>
        <v/>
      </c>
      <c r="I3" t="s">
        <v>1441</v>
      </c>
      <c r="J3" t="s">
        <v>1450</v>
      </c>
      <c r="K3" t="s">
        <v>1457</v>
      </c>
      <c r="L3" t="s">
        <v>1459</v>
      </c>
      <c r="M3" t="s">
        <v>1477</v>
      </c>
      <c r="N3" s="18">
        <v>14</v>
      </c>
    </row>
    <row r="4" spans="1:15" x14ac:dyDescent="0.25">
      <c r="A4" t="s">
        <v>620</v>
      </c>
      <c r="B4" s="7">
        <v>43629</v>
      </c>
      <c r="C4" s="4">
        <v>0.89930555555555547</v>
      </c>
      <c r="D4" s="15">
        <f t="shared" si="0"/>
        <v>21</v>
      </c>
      <c r="E4" s="15" t="str">
        <f t="shared" si="1"/>
        <v>After 15</v>
      </c>
      <c r="F4" t="s">
        <v>621</v>
      </c>
      <c r="G4" s="16" t="str">
        <f>VLOOKUP(F4,DISTRICTS!B$2:C$626,2,FALSE)</f>
        <v>CENTRO</v>
      </c>
      <c r="H4" s="16" t="str">
        <f>IFERROR(VLOOKUP(G4,'areas for question 4'!A$2:B$10,2,FALSE),"")</f>
        <v/>
      </c>
      <c r="I4" t="s">
        <v>1443</v>
      </c>
      <c r="J4" t="s">
        <v>1450</v>
      </c>
      <c r="K4" t="s">
        <v>1458</v>
      </c>
      <c r="L4" t="s">
        <v>1459</v>
      </c>
      <c r="M4" t="s">
        <v>1478</v>
      </c>
      <c r="N4" s="18">
        <v>2</v>
      </c>
    </row>
    <row r="5" spans="1:15" x14ac:dyDescent="0.25">
      <c r="A5" t="s">
        <v>773</v>
      </c>
      <c r="B5" s="7">
        <v>43659</v>
      </c>
      <c r="C5" s="4">
        <v>0.91666666666666663</v>
      </c>
      <c r="D5" s="15">
        <f t="shared" si="0"/>
        <v>22</v>
      </c>
      <c r="E5" s="15" t="str">
        <f t="shared" si="1"/>
        <v>After 15</v>
      </c>
      <c r="F5" t="s">
        <v>774</v>
      </c>
      <c r="G5" s="16" t="str">
        <f>VLOOKUP(F5,DISTRICTS!B$2:C$626,2,FALSE)</f>
        <v>CARABANCHEL</v>
      </c>
      <c r="H5" s="16" t="str">
        <f>IFERROR(VLOOKUP(G5,'areas for question 4'!A$2:B$10,2,FALSE),"")</f>
        <v/>
      </c>
      <c r="I5" t="s">
        <v>1443</v>
      </c>
      <c r="J5" t="s">
        <v>1450</v>
      </c>
      <c r="K5" t="s">
        <v>1458</v>
      </c>
      <c r="L5" t="s">
        <v>1459</v>
      </c>
      <c r="M5" t="s">
        <v>1477</v>
      </c>
      <c r="N5" s="18">
        <v>1</v>
      </c>
    </row>
    <row r="6" spans="1:15" x14ac:dyDescent="0.25">
      <c r="A6" t="s">
        <v>791</v>
      </c>
      <c r="B6" s="7">
        <v>43663</v>
      </c>
      <c r="C6" s="4">
        <v>0.84027777777777779</v>
      </c>
      <c r="D6" s="15">
        <f t="shared" si="0"/>
        <v>20</v>
      </c>
      <c r="E6" s="15" t="str">
        <f t="shared" si="1"/>
        <v>After 15</v>
      </c>
      <c r="F6" t="s">
        <v>792</v>
      </c>
      <c r="G6" s="16" t="str">
        <f>VLOOKUP(F6,DISTRICTS!B$2:C$626,2,FALSE)</f>
        <v>LATINA</v>
      </c>
      <c r="H6" s="16" t="str">
        <f>IFERROR(VLOOKUP(G6,'areas for question 4'!A$2:B$10,2,FALSE),"")</f>
        <v/>
      </c>
      <c r="I6" t="s">
        <v>1443</v>
      </c>
      <c r="J6" t="s">
        <v>1450</v>
      </c>
      <c r="K6" t="s">
        <v>1458</v>
      </c>
      <c r="L6" t="s">
        <v>1459</v>
      </c>
      <c r="M6" t="s">
        <v>1477</v>
      </c>
      <c r="N6" s="18">
        <v>7</v>
      </c>
    </row>
    <row r="7" spans="1:15" x14ac:dyDescent="0.25">
      <c r="A7" t="s">
        <v>928</v>
      </c>
      <c r="B7" s="7">
        <v>43706</v>
      </c>
      <c r="C7" s="4">
        <v>0.61458333333333337</v>
      </c>
      <c r="D7" s="15">
        <f t="shared" si="0"/>
        <v>14</v>
      </c>
      <c r="E7" s="15" t="str">
        <f t="shared" si="1"/>
        <v>Before 15</v>
      </c>
      <c r="F7" t="s">
        <v>929</v>
      </c>
      <c r="G7" s="16" t="str">
        <f>VLOOKUP(F7,DISTRICTS!B$2:C$626,2,FALSE)</f>
        <v>VILLAVERDE</v>
      </c>
      <c r="H7" s="16" t="str">
        <f>IFERROR(VLOOKUP(G7,'areas for question 4'!A$2:B$10,2,FALSE),"")</f>
        <v/>
      </c>
      <c r="I7" t="s">
        <v>1443</v>
      </c>
      <c r="J7" t="s">
        <v>1450</v>
      </c>
      <c r="K7" t="s">
        <v>1458</v>
      </c>
      <c r="L7" t="s">
        <v>1459</v>
      </c>
      <c r="M7" t="s">
        <v>1477</v>
      </c>
      <c r="N7" s="18">
        <v>7</v>
      </c>
    </row>
    <row r="8" spans="1:15" x14ac:dyDescent="0.25">
      <c r="A8" t="s">
        <v>967</v>
      </c>
      <c r="B8" s="7">
        <v>43713</v>
      </c>
      <c r="C8" s="4">
        <v>0.80902777777777779</v>
      </c>
      <c r="D8" s="15">
        <f t="shared" si="0"/>
        <v>19</v>
      </c>
      <c r="E8" s="15" t="str">
        <f t="shared" si="1"/>
        <v>After 15</v>
      </c>
      <c r="F8" t="s">
        <v>968</v>
      </c>
      <c r="G8" s="16" t="str">
        <f>VLOOKUP(F8,DISTRICTS!B$2:C$626,2,FALSE)</f>
        <v>TETUÁN</v>
      </c>
      <c r="H8" s="16" t="str">
        <f>IFERROR(VLOOKUP(G8,'areas for question 4'!A$2:B$10,2,FALSE),"")</f>
        <v>North</v>
      </c>
      <c r="I8" t="s">
        <v>1443</v>
      </c>
      <c r="J8" t="s">
        <v>1450</v>
      </c>
      <c r="K8" t="s">
        <v>1458</v>
      </c>
      <c r="L8" t="s">
        <v>1459</v>
      </c>
      <c r="M8" t="s">
        <v>1477</v>
      </c>
      <c r="N8" s="18">
        <v>7</v>
      </c>
    </row>
    <row r="9" spans="1:15" x14ac:dyDescent="0.25">
      <c r="A9" t="s">
        <v>1230</v>
      </c>
      <c r="B9" s="7">
        <v>43761</v>
      </c>
      <c r="C9" s="4">
        <v>0.82638888888888884</v>
      </c>
      <c r="D9" s="15">
        <f t="shared" si="0"/>
        <v>19</v>
      </c>
      <c r="E9" s="15" t="str">
        <f t="shared" si="1"/>
        <v>After 15</v>
      </c>
      <c r="F9" t="s">
        <v>1231</v>
      </c>
      <c r="G9" s="16" t="str">
        <f>VLOOKUP(F9,DISTRICTS!B$2:C$626,2,FALSE)</f>
        <v>CARABANCHEL</v>
      </c>
      <c r="H9" s="16" t="str">
        <f>IFERROR(VLOOKUP(G9,'areas for question 4'!A$2:B$10,2,FALSE),"")</f>
        <v/>
      </c>
      <c r="I9" t="s">
        <v>1446</v>
      </c>
      <c r="J9" t="s">
        <v>1450</v>
      </c>
      <c r="K9" t="s">
        <v>1456</v>
      </c>
      <c r="L9" t="s">
        <v>1459</v>
      </c>
      <c r="M9" t="s">
        <v>1477</v>
      </c>
      <c r="N9" s="18">
        <v>7</v>
      </c>
    </row>
    <row r="10" spans="1:15" x14ac:dyDescent="0.25">
      <c r="A10" t="s">
        <v>1317</v>
      </c>
      <c r="B10" s="7">
        <v>43788</v>
      </c>
      <c r="C10" s="4">
        <v>0.38194444444444442</v>
      </c>
      <c r="D10" s="15">
        <f t="shared" si="0"/>
        <v>9</v>
      </c>
      <c r="E10" s="15" t="str">
        <f t="shared" si="1"/>
        <v>Before 15</v>
      </c>
      <c r="F10" t="s">
        <v>1318</v>
      </c>
      <c r="G10" s="16" t="str">
        <f>VLOOKUP(F10,DISTRICTS!B$2:C$626,2,FALSE)</f>
        <v>VILLA DE VALLECAS</v>
      </c>
      <c r="H10" s="16" t="str">
        <f>IFERROR(VLOOKUP(G10,'areas for question 4'!A$2:B$10,2,FALSE),"")</f>
        <v/>
      </c>
      <c r="I10" t="s">
        <v>1447</v>
      </c>
      <c r="J10" t="s">
        <v>1450</v>
      </c>
      <c r="K10" t="s">
        <v>1457</v>
      </c>
      <c r="L10" t="s">
        <v>1459</v>
      </c>
      <c r="M10" t="s">
        <v>1478</v>
      </c>
      <c r="N10" s="18">
        <v>14</v>
      </c>
    </row>
    <row r="11" spans="1:15" x14ac:dyDescent="0.25">
      <c r="A11" t="s">
        <v>1421</v>
      </c>
      <c r="B11" s="7">
        <v>43826</v>
      </c>
      <c r="C11" s="4">
        <v>0.77083333333333337</v>
      </c>
      <c r="D11" s="15">
        <f t="shared" si="0"/>
        <v>18</v>
      </c>
      <c r="E11" s="15" t="str">
        <f t="shared" si="1"/>
        <v>After 15</v>
      </c>
      <c r="F11" t="s">
        <v>1422</v>
      </c>
      <c r="G11" s="16" t="str">
        <f>VLOOKUP(F11,DISTRICTS!B$2:C$626,2,FALSE)</f>
        <v>CARABANCHEL</v>
      </c>
      <c r="H11" s="16" t="str">
        <f>IFERROR(VLOOKUP(G11,'areas for question 4'!A$2:B$10,2,FALSE),"")</f>
        <v/>
      </c>
      <c r="I11" t="s">
        <v>1443</v>
      </c>
      <c r="J11" t="s">
        <v>1455</v>
      </c>
      <c r="K11" t="s">
        <v>1458</v>
      </c>
      <c r="L11" t="s">
        <v>1459</v>
      </c>
      <c r="M11" t="s">
        <v>1477</v>
      </c>
      <c r="N11" s="18">
        <v>7</v>
      </c>
    </row>
    <row r="12" spans="1:15" x14ac:dyDescent="0.25">
      <c r="A12" s="5" t="s">
        <v>83</v>
      </c>
      <c r="B12" s="7">
        <v>43486</v>
      </c>
      <c r="C12" s="4">
        <v>0.70138888888888884</v>
      </c>
      <c r="D12" s="15">
        <f t="shared" si="0"/>
        <v>16</v>
      </c>
      <c r="E12" s="15" t="str">
        <f t="shared" si="1"/>
        <v>After 15</v>
      </c>
      <c r="F12" t="s">
        <v>84</v>
      </c>
      <c r="G12" s="16" t="str">
        <f>VLOOKUP(F12,DISTRICTS!B$2:C$626,2,FALSE)</f>
        <v>HORTALEZA</v>
      </c>
      <c r="H12" s="16" t="str">
        <f>IFERROR(VLOOKUP(G12,'areas for question 4'!A$2:B$10,2,FALSE),"")</f>
        <v/>
      </c>
      <c r="I12" t="s">
        <v>1446</v>
      </c>
      <c r="J12" t="s">
        <v>1450</v>
      </c>
      <c r="K12" t="s">
        <v>1456</v>
      </c>
      <c r="L12" t="s">
        <v>1460</v>
      </c>
      <c r="M12" s="5" t="s">
        <v>1477</v>
      </c>
      <c r="N12" s="18">
        <v>2</v>
      </c>
    </row>
    <row r="13" spans="1:15" x14ac:dyDescent="0.25">
      <c r="A13" s="5" t="s">
        <v>104</v>
      </c>
      <c r="B13" s="7">
        <v>43495</v>
      </c>
      <c r="C13" s="4">
        <v>0.55555555555555558</v>
      </c>
      <c r="D13" s="15">
        <f t="shared" si="0"/>
        <v>13</v>
      </c>
      <c r="E13" s="15" t="str">
        <f t="shared" si="1"/>
        <v>Before 15</v>
      </c>
      <c r="F13" t="s">
        <v>105</v>
      </c>
      <c r="G13" s="16" t="str">
        <f>VLOOKUP(F13,DISTRICTS!B$2:C$626,2,FALSE)</f>
        <v>CARABANCHEL</v>
      </c>
      <c r="H13" s="16" t="str">
        <f>IFERROR(VLOOKUP(G13,'areas for question 4'!A$2:B$10,2,FALSE),"")</f>
        <v/>
      </c>
      <c r="I13" t="s">
        <v>1446</v>
      </c>
      <c r="J13" t="s">
        <v>1450</v>
      </c>
      <c r="K13" t="s">
        <v>1456</v>
      </c>
      <c r="L13" t="s">
        <v>1460</v>
      </c>
      <c r="M13" s="5" t="s">
        <v>1478</v>
      </c>
      <c r="N13" s="18">
        <v>1</v>
      </c>
    </row>
    <row r="14" spans="1:15" x14ac:dyDescent="0.25">
      <c r="A14" t="s">
        <v>226</v>
      </c>
      <c r="B14" s="7">
        <v>43532</v>
      </c>
      <c r="C14" s="4">
        <v>0.87777777777777777</v>
      </c>
      <c r="D14" s="15">
        <f t="shared" si="0"/>
        <v>21</v>
      </c>
      <c r="E14" s="15" t="str">
        <f t="shared" si="1"/>
        <v>After 15</v>
      </c>
      <c r="F14" t="s">
        <v>227</v>
      </c>
      <c r="G14" s="16" t="str">
        <f>VLOOKUP(F14,DISTRICTS!B$2:C$626,2,FALSE)</f>
        <v>HORTALEZA</v>
      </c>
      <c r="H14" s="16" t="str">
        <f>IFERROR(VLOOKUP(G14,'areas for question 4'!A$2:B$10,2,FALSE),"")</f>
        <v/>
      </c>
      <c r="I14" t="s">
        <v>1446</v>
      </c>
      <c r="J14" t="s">
        <v>1450</v>
      </c>
      <c r="K14" t="s">
        <v>1456</v>
      </c>
      <c r="L14" t="s">
        <v>1460</v>
      </c>
      <c r="M14" t="s">
        <v>1477</v>
      </c>
      <c r="N14" s="18">
        <v>2</v>
      </c>
    </row>
    <row r="15" spans="1:15" x14ac:dyDescent="0.25">
      <c r="A15" t="s">
        <v>226</v>
      </c>
      <c r="B15" s="7">
        <v>43532</v>
      </c>
      <c r="C15" s="4">
        <v>0.87777777777777777</v>
      </c>
      <c r="D15" s="15">
        <f t="shared" si="0"/>
        <v>21</v>
      </c>
      <c r="E15" s="15" t="str">
        <f t="shared" si="1"/>
        <v>After 15</v>
      </c>
      <c r="F15" t="s">
        <v>227</v>
      </c>
      <c r="G15" s="16" t="str">
        <f>VLOOKUP(F15,DISTRICTS!B$2:C$626,2,FALSE)</f>
        <v>HORTALEZA</v>
      </c>
      <c r="H15" s="16" t="str">
        <f>IFERROR(VLOOKUP(G15,'areas for question 4'!A$2:B$10,2,FALSE),"")</f>
        <v/>
      </c>
      <c r="I15" t="s">
        <v>1446</v>
      </c>
      <c r="J15" t="s">
        <v>1450</v>
      </c>
      <c r="K15" t="s">
        <v>1457</v>
      </c>
      <c r="L15" t="s">
        <v>1460</v>
      </c>
      <c r="M15" t="s">
        <v>1478</v>
      </c>
      <c r="N15" s="18">
        <v>2</v>
      </c>
    </row>
    <row r="16" spans="1:15" x14ac:dyDescent="0.25">
      <c r="A16" t="s">
        <v>364</v>
      </c>
      <c r="B16" s="7">
        <v>43563</v>
      </c>
      <c r="C16" s="4">
        <v>0.4548611111111111</v>
      </c>
      <c r="D16" s="15">
        <f t="shared" si="0"/>
        <v>10</v>
      </c>
      <c r="E16" s="15" t="str">
        <f t="shared" si="1"/>
        <v>Before 15</v>
      </c>
      <c r="F16" t="s">
        <v>365</v>
      </c>
      <c r="G16" s="16" t="str">
        <f>VLOOKUP(F16,DISTRICTS!B$2:C$626,2,FALSE)</f>
        <v>USERA</v>
      </c>
      <c r="H16" s="16" t="str">
        <f>IFERROR(VLOOKUP(G16,'areas for question 4'!A$2:B$10,2,FALSE),"")</f>
        <v/>
      </c>
      <c r="I16" t="s">
        <v>1446</v>
      </c>
      <c r="J16" t="s">
        <v>1452</v>
      </c>
      <c r="K16" t="s">
        <v>1456</v>
      </c>
      <c r="L16" t="s">
        <v>1460</v>
      </c>
      <c r="M16" t="s">
        <v>1477</v>
      </c>
      <c r="N16" s="18">
        <v>7</v>
      </c>
    </row>
    <row r="17" spans="1:14" x14ac:dyDescent="0.25">
      <c r="A17" t="s">
        <v>398</v>
      </c>
      <c r="B17" s="7">
        <v>43577</v>
      </c>
      <c r="C17" s="4">
        <v>0.77777777777777779</v>
      </c>
      <c r="D17" s="15">
        <f t="shared" si="0"/>
        <v>18</v>
      </c>
      <c r="E17" s="15" t="str">
        <f t="shared" si="1"/>
        <v>After 15</v>
      </c>
      <c r="F17" t="s">
        <v>399</v>
      </c>
      <c r="G17" s="16" t="str">
        <f>VLOOKUP(F17,DISTRICTS!B$2:C$626,2,FALSE)</f>
        <v>HORTALEZA</v>
      </c>
      <c r="H17" s="16" t="str">
        <f>IFERROR(VLOOKUP(G17,'areas for question 4'!A$2:B$10,2,FALSE),"")</f>
        <v/>
      </c>
      <c r="I17" t="s">
        <v>1444</v>
      </c>
      <c r="J17" t="s">
        <v>1450</v>
      </c>
      <c r="K17" t="s">
        <v>1456</v>
      </c>
      <c r="L17" t="s">
        <v>1460</v>
      </c>
      <c r="M17" t="s">
        <v>1478</v>
      </c>
      <c r="N17" s="18">
        <v>7</v>
      </c>
    </row>
    <row r="18" spans="1:14" x14ac:dyDescent="0.25">
      <c r="A18" t="s">
        <v>463</v>
      </c>
      <c r="B18" s="7">
        <v>43599</v>
      </c>
      <c r="C18" s="4">
        <v>0.73958333333333337</v>
      </c>
      <c r="D18" s="15">
        <f t="shared" si="0"/>
        <v>17</v>
      </c>
      <c r="E18" s="15" t="str">
        <f t="shared" si="1"/>
        <v>After 15</v>
      </c>
      <c r="F18" t="s">
        <v>464</v>
      </c>
      <c r="G18" s="16" t="str">
        <f>VLOOKUP(F18,DISTRICTS!B$2:C$626,2,FALSE)</f>
        <v>CIUDAD LINEAL</v>
      </c>
      <c r="H18" s="16" t="str">
        <f>IFERROR(VLOOKUP(G18,'areas for question 4'!A$2:B$10,2,FALSE),"")</f>
        <v>East</v>
      </c>
      <c r="I18" t="s">
        <v>1446</v>
      </c>
      <c r="J18" t="s">
        <v>1450</v>
      </c>
      <c r="K18" t="s">
        <v>1456</v>
      </c>
      <c r="L18" t="s">
        <v>1460</v>
      </c>
      <c r="M18" t="s">
        <v>1477</v>
      </c>
      <c r="N18" s="18">
        <v>14</v>
      </c>
    </row>
    <row r="19" spans="1:14" x14ac:dyDescent="0.25">
      <c r="A19" t="s">
        <v>485</v>
      </c>
      <c r="B19" s="7">
        <v>43603</v>
      </c>
      <c r="C19" s="4">
        <v>0.7368055555555556</v>
      </c>
      <c r="D19" s="15">
        <f t="shared" si="0"/>
        <v>17</v>
      </c>
      <c r="E19" s="15" t="str">
        <f t="shared" si="1"/>
        <v>After 15</v>
      </c>
      <c r="F19" t="s">
        <v>486</v>
      </c>
      <c r="G19" s="16" t="str">
        <f>VLOOKUP(F19,DISTRICTS!B$2:C$626,2,FALSE)</f>
        <v>MONCLOA-ARAVACA</v>
      </c>
      <c r="H19" s="16" t="str">
        <f>IFERROR(VLOOKUP(G19,'areas for question 4'!A$2:B$10,2,FALSE),"")</f>
        <v/>
      </c>
      <c r="I19" t="s">
        <v>1443</v>
      </c>
      <c r="J19" t="s">
        <v>1450</v>
      </c>
      <c r="K19" t="s">
        <v>1458</v>
      </c>
      <c r="L19" t="s">
        <v>1460</v>
      </c>
      <c r="M19" t="s">
        <v>1478</v>
      </c>
      <c r="N19" s="18">
        <v>6</v>
      </c>
    </row>
    <row r="20" spans="1:14" x14ac:dyDescent="0.25">
      <c r="A20" t="s">
        <v>497</v>
      </c>
      <c r="B20" s="7">
        <v>43606</v>
      </c>
      <c r="C20" s="4">
        <v>0.88055555555555554</v>
      </c>
      <c r="D20" s="15">
        <f t="shared" si="0"/>
        <v>21</v>
      </c>
      <c r="E20" s="15" t="str">
        <f t="shared" si="1"/>
        <v>After 15</v>
      </c>
      <c r="F20" t="s">
        <v>498</v>
      </c>
      <c r="G20" s="16" t="str">
        <f>VLOOKUP(F20,DISTRICTS!B$2:C$626,2,FALSE)</f>
        <v>CENTRO</v>
      </c>
      <c r="H20" s="16" t="str">
        <f>IFERROR(VLOOKUP(G20,'areas for question 4'!A$2:B$10,2,FALSE),"")</f>
        <v/>
      </c>
      <c r="I20" t="s">
        <v>1444</v>
      </c>
      <c r="J20" t="s">
        <v>1450</v>
      </c>
      <c r="K20" t="s">
        <v>1456</v>
      </c>
      <c r="L20" t="s">
        <v>1460</v>
      </c>
      <c r="M20" t="s">
        <v>1477</v>
      </c>
      <c r="N20" s="18">
        <v>2</v>
      </c>
    </row>
    <row r="21" spans="1:14" x14ac:dyDescent="0.25">
      <c r="A21" t="s">
        <v>497</v>
      </c>
      <c r="B21" s="7">
        <v>43606</v>
      </c>
      <c r="C21" s="4">
        <v>0.88055555555555554</v>
      </c>
      <c r="D21" s="15">
        <f t="shared" si="0"/>
        <v>21</v>
      </c>
      <c r="E21" s="15" t="str">
        <f t="shared" si="1"/>
        <v>After 15</v>
      </c>
      <c r="F21" t="s">
        <v>498</v>
      </c>
      <c r="G21" s="16" t="str">
        <f>VLOOKUP(F21,DISTRICTS!B$2:C$626,2,FALSE)</f>
        <v>CENTRO</v>
      </c>
      <c r="H21" s="16" t="str">
        <f>IFERROR(VLOOKUP(G21,'areas for question 4'!A$2:B$10,2,FALSE),"")</f>
        <v/>
      </c>
      <c r="I21" t="s">
        <v>1444</v>
      </c>
      <c r="J21" t="s">
        <v>1450</v>
      </c>
      <c r="K21" t="s">
        <v>1457</v>
      </c>
      <c r="L21" t="s">
        <v>1460</v>
      </c>
      <c r="M21" t="s">
        <v>1477</v>
      </c>
      <c r="N21" s="18">
        <v>2</v>
      </c>
    </row>
    <row r="22" spans="1:14" x14ac:dyDescent="0.25">
      <c r="A22" t="s">
        <v>566</v>
      </c>
      <c r="B22" s="7">
        <v>43618</v>
      </c>
      <c r="C22" s="4">
        <v>0.80902777777777779</v>
      </c>
      <c r="D22" s="15">
        <f t="shared" si="0"/>
        <v>19</v>
      </c>
      <c r="E22" s="15" t="str">
        <f t="shared" si="1"/>
        <v>After 15</v>
      </c>
      <c r="F22" t="s">
        <v>567</v>
      </c>
      <c r="G22" s="16" t="str">
        <f>VLOOKUP(F22,DISTRICTS!B$2:C$626,2,FALSE)</f>
        <v>CARABANCHEL</v>
      </c>
      <c r="H22" s="16" t="str">
        <f>IFERROR(VLOOKUP(G22,'areas for question 4'!A$2:B$10,2,FALSE),"")</f>
        <v/>
      </c>
      <c r="I22" t="s">
        <v>1446</v>
      </c>
      <c r="J22" t="s">
        <v>1450</v>
      </c>
      <c r="K22" t="s">
        <v>1456</v>
      </c>
      <c r="L22" t="s">
        <v>1460</v>
      </c>
      <c r="M22" t="s">
        <v>1477</v>
      </c>
      <c r="N22" s="18">
        <v>7</v>
      </c>
    </row>
    <row r="23" spans="1:14" x14ac:dyDescent="0.25">
      <c r="A23" t="s">
        <v>577</v>
      </c>
      <c r="B23" s="7">
        <v>43620</v>
      </c>
      <c r="C23" s="4">
        <v>0.34375</v>
      </c>
      <c r="D23" s="15">
        <f t="shared" si="0"/>
        <v>8</v>
      </c>
      <c r="E23" s="15" t="str">
        <f t="shared" si="1"/>
        <v>Before 15</v>
      </c>
      <c r="F23" t="s">
        <v>578</v>
      </c>
      <c r="G23" s="16" t="str">
        <f>VLOOKUP(F23,DISTRICTS!B$2:C$626,2,FALSE)</f>
        <v>FUENCARRAL-EL PARDO</v>
      </c>
      <c r="H23" s="16" t="str">
        <f>IFERROR(VLOOKUP(G23,'areas for question 4'!A$2:B$10,2,FALSE),"")</f>
        <v>North</v>
      </c>
      <c r="I23" t="s">
        <v>1446</v>
      </c>
      <c r="J23" t="s">
        <v>1450</v>
      </c>
      <c r="K23" t="s">
        <v>1456</v>
      </c>
      <c r="L23" t="s">
        <v>1460</v>
      </c>
      <c r="M23" t="s">
        <v>1478</v>
      </c>
      <c r="N23" s="18">
        <v>2</v>
      </c>
    </row>
    <row r="24" spans="1:14" x14ac:dyDescent="0.25">
      <c r="A24" t="s">
        <v>607</v>
      </c>
      <c r="B24" s="7">
        <v>43627</v>
      </c>
      <c r="C24" s="4">
        <v>0.82986111111111116</v>
      </c>
      <c r="D24" s="15">
        <f t="shared" si="0"/>
        <v>19</v>
      </c>
      <c r="E24" s="15" t="str">
        <f t="shared" si="1"/>
        <v>After 15</v>
      </c>
      <c r="F24" t="s">
        <v>608</v>
      </c>
      <c r="G24" s="16" t="str">
        <f>VLOOKUP(F24,DISTRICTS!B$2:C$626,2,FALSE)</f>
        <v>VILLA DE VALLECAS</v>
      </c>
      <c r="H24" s="16" t="str">
        <f>IFERROR(VLOOKUP(G24,'areas for question 4'!A$2:B$10,2,FALSE),"")</f>
        <v/>
      </c>
      <c r="I24" t="s">
        <v>1446</v>
      </c>
      <c r="J24" t="s">
        <v>1450</v>
      </c>
      <c r="K24" t="s">
        <v>1456</v>
      </c>
      <c r="L24" t="s">
        <v>1460</v>
      </c>
      <c r="M24" t="s">
        <v>1477</v>
      </c>
      <c r="N24" s="18">
        <v>1</v>
      </c>
    </row>
    <row r="25" spans="1:14" x14ac:dyDescent="0.25">
      <c r="A25" t="s">
        <v>717</v>
      </c>
      <c r="B25" s="7">
        <v>43647</v>
      </c>
      <c r="C25" s="4">
        <v>0.55902777777777779</v>
      </c>
      <c r="D25" s="15">
        <f t="shared" si="0"/>
        <v>13</v>
      </c>
      <c r="E25" s="15" t="str">
        <f t="shared" si="1"/>
        <v>Before 15</v>
      </c>
      <c r="F25" t="s">
        <v>718</v>
      </c>
      <c r="G25" s="16" t="str">
        <f>VLOOKUP(F25,DISTRICTS!B$2:C$626,2,FALSE)</f>
        <v>FUENCARRAL-EL PARDO</v>
      </c>
      <c r="H25" s="16" t="str">
        <f>IFERROR(VLOOKUP(G25,'areas for question 4'!A$2:B$10,2,FALSE),"")</f>
        <v>North</v>
      </c>
      <c r="I25" t="s">
        <v>1444</v>
      </c>
      <c r="J25" t="s">
        <v>1450</v>
      </c>
      <c r="K25" t="s">
        <v>1456</v>
      </c>
      <c r="L25" t="s">
        <v>1460</v>
      </c>
      <c r="M25" t="s">
        <v>1478</v>
      </c>
      <c r="N25" s="18">
        <v>1</v>
      </c>
    </row>
    <row r="26" spans="1:14" x14ac:dyDescent="0.25">
      <c r="A26" t="s">
        <v>779</v>
      </c>
      <c r="B26" s="7">
        <v>43660</v>
      </c>
      <c r="C26" s="4">
        <v>0.64930555555555558</v>
      </c>
      <c r="D26" s="15">
        <f t="shared" si="0"/>
        <v>15</v>
      </c>
      <c r="E26" s="15" t="str">
        <f t="shared" si="1"/>
        <v>After 15</v>
      </c>
      <c r="F26" t="s">
        <v>780</v>
      </c>
      <c r="G26" s="16" t="str">
        <f>VLOOKUP(F26,DISTRICTS!B$2:C$626,2,FALSE)</f>
        <v>CARABANCHEL</v>
      </c>
      <c r="H26" s="16" t="str">
        <f>IFERROR(VLOOKUP(G26,'areas for question 4'!A$2:B$10,2,FALSE),"")</f>
        <v/>
      </c>
      <c r="I26" t="s">
        <v>1444</v>
      </c>
      <c r="J26" t="s">
        <v>1450</v>
      </c>
      <c r="K26" t="s">
        <v>1456</v>
      </c>
      <c r="L26" t="s">
        <v>1460</v>
      </c>
      <c r="M26" t="s">
        <v>1477</v>
      </c>
      <c r="N26" s="18">
        <v>6</v>
      </c>
    </row>
    <row r="27" spans="1:14" x14ac:dyDescent="0.25">
      <c r="A27" t="s">
        <v>894</v>
      </c>
      <c r="B27" s="7">
        <v>43693</v>
      </c>
      <c r="C27" s="4">
        <v>0.87638888888888899</v>
      </c>
      <c r="D27" s="15">
        <f t="shared" si="0"/>
        <v>21</v>
      </c>
      <c r="E27" s="15" t="str">
        <f t="shared" si="1"/>
        <v>After 15</v>
      </c>
      <c r="F27" t="s">
        <v>895</v>
      </c>
      <c r="G27" s="16" t="str">
        <f>VLOOKUP(F27,DISTRICTS!B$2:C$626,2,FALSE)</f>
        <v>USERA</v>
      </c>
      <c r="H27" s="16" t="str">
        <f>IFERROR(VLOOKUP(G27,'areas for question 4'!A$2:B$10,2,FALSE),"")</f>
        <v/>
      </c>
      <c r="I27" t="s">
        <v>1444</v>
      </c>
      <c r="J27" t="s">
        <v>1450</v>
      </c>
      <c r="K27" t="s">
        <v>1456</v>
      </c>
      <c r="L27" t="s">
        <v>1460</v>
      </c>
      <c r="M27" t="s">
        <v>1478</v>
      </c>
      <c r="N27" s="18">
        <v>1</v>
      </c>
    </row>
    <row r="28" spans="1:14" x14ac:dyDescent="0.25">
      <c r="A28" t="s">
        <v>952</v>
      </c>
      <c r="B28" s="7">
        <v>43711</v>
      </c>
      <c r="C28" s="4">
        <v>0.84722222222222221</v>
      </c>
      <c r="D28" s="15">
        <f t="shared" si="0"/>
        <v>20</v>
      </c>
      <c r="E28" s="15" t="str">
        <f t="shared" si="1"/>
        <v>After 15</v>
      </c>
      <c r="F28" t="s">
        <v>953</v>
      </c>
      <c r="G28" s="16" t="str">
        <f>VLOOKUP(F28,DISTRICTS!B$2:C$626,2,FALSE)</f>
        <v>USERA</v>
      </c>
      <c r="H28" s="16" t="str">
        <f>IFERROR(VLOOKUP(G28,'areas for question 4'!A$2:B$10,2,FALSE),"")</f>
        <v/>
      </c>
      <c r="I28" t="s">
        <v>1447</v>
      </c>
      <c r="J28" t="s">
        <v>1450</v>
      </c>
      <c r="K28" t="s">
        <v>1456</v>
      </c>
      <c r="L28" t="s">
        <v>1460</v>
      </c>
      <c r="M28" t="s">
        <v>1477</v>
      </c>
      <c r="N28" s="18">
        <v>14</v>
      </c>
    </row>
    <row r="29" spans="1:14" x14ac:dyDescent="0.25">
      <c r="A29" t="s">
        <v>1019</v>
      </c>
      <c r="B29" s="7">
        <v>43723</v>
      </c>
      <c r="C29" s="4">
        <v>0.3888888888888889</v>
      </c>
      <c r="D29" s="15">
        <f t="shared" si="0"/>
        <v>9</v>
      </c>
      <c r="E29" s="15" t="str">
        <f t="shared" si="1"/>
        <v>Before 15</v>
      </c>
      <c r="F29" t="s">
        <v>1020</v>
      </c>
      <c r="G29" s="16" t="str">
        <f>VLOOKUP(F29,DISTRICTS!B$2:C$626,2,FALSE)</f>
        <v>TETUÁN</v>
      </c>
      <c r="H29" s="16" t="str">
        <f>IFERROR(VLOOKUP(G29,'areas for question 4'!A$2:B$10,2,FALSE),"")</f>
        <v>North</v>
      </c>
      <c r="I29" t="s">
        <v>1441</v>
      </c>
      <c r="J29" t="s">
        <v>1450</v>
      </c>
      <c r="K29" t="s">
        <v>1456</v>
      </c>
      <c r="L29" t="s">
        <v>1460</v>
      </c>
      <c r="M29" t="s">
        <v>1477</v>
      </c>
      <c r="N29" s="18">
        <v>7</v>
      </c>
    </row>
    <row r="30" spans="1:14" x14ac:dyDescent="0.25">
      <c r="A30" t="s">
        <v>1073</v>
      </c>
      <c r="B30" s="7">
        <v>43735</v>
      </c>
      <c r="C30" s="4">
        <v>0.94444444444444453</v>
      </c>
      <c r="D30" s="15">
        <f t="shared" si="0"/>
        <v>22</v>
      </c>
      <c r="E30" s="15" t="str">
        <f t="shared" si="1"/>
        <v>After 15</v>
      </c>
      <c r="F30" t="s">
        <v>168</v>
      </c>
      <c r="G30" s="16" t="str">
        <f>VLOOKUP(F30,DISTRICTS!B$2:C$626,2,FALSE)</f>
        <v>ARGANZUELA</v>
      </c>
      <c r="H30" s="16" t="str">
        <f>IFERROR(VLOOKUP(G30,'areas for question 4'!A$2:B$10,2,FALSE),"")</f>
        <v/>
      </c>
      <c r="I30" t="s">
        <v>1446</v>
      </c>
      <c r="J30" t="s">
        <v>1450</v>
      </c>
      <c r="K30" t="s">
        <v>1456</v>
      </c>
      <c r="L30" t="s">
        <v>1460</v>
      </c>
      <c r="M30" t="s">
        <v>1477</v>
      </c>
      <c r="N30" s="18">
        <v>7</v>
      </c>
    </row>
    <row r="31" spans="1:14" x14ac:dyDescent="0.25">
      <c r="A31" t="s">
        <v>1167</v>
      </c>
      <c r="B31" s="7">
        <v>43747</v>
      </c>
      <c r="C31" s="4">
        <v>0.86111111111111116</v>
      </c>
      <c r="D31" s="15">
        <f t="shared" si="0"/>
        <v>20</v>
      </c>
      <c r="E31" s="15" t="str">
        <f t="shared" si="1"/>
        <v>After 15</v>
      </c>
      <c r="F31" t="s">
        <v>1168</v>
      </c>
      <c r="G31" s="16" t="str">
        <f>VLOOKUP(F31,DISTRICTS!B$2:C$626,2,FALSE)</f>
        <v>MORATALAZ</v>
      </c>
      <c r="H31" s="16" t="str">
        <f>IFERROR(VLOOKUP(G31,'areas for question 4'!A$2:B$10,2,FALSE),"")</f>
        <v>East</v>
      </c>
      <c r="I31" t="s">
        <v>1446</v>
      </c>
      <c r="J31" t="s">
        <v>1450</v>
      </c>
      <c r="K31" t="s">
        <v>1456</v>
      </c>
      <c r="L31" t="s">
        <v>1460</v>
      </c>
      <c r="M31" t="s">
        <v>1477</v>
      </c>
      <c r="N31" s="18">
        <v>7</v>
      </c>
    </row>
    <row r="32" spans="1:14" x14ac:dyDescent="0.25">
      <c r="A32" t="s">
        <v>1429</v>
      </c>
      <c r="B32" s="7">
        <v>43829</v>
      </c>
      <c r="C32" s="4">
        <v>0.50347222222222221</v>
      </c>
      <c r="D32" s="15">
        <f t="shared" si="0"/>
        <v>12</v>
      </c>
      <c r="E32" s="15" t="str">
        <f t="shared" si="1"/>
        <v>Before 15</v>
      </c>
      <c r="F32" t="s">
        <v>1430</v>
      </c>
      <c r="G32" s="16" t="str">
        <f>VLOOKUP(F32,DISTRICTS!B$2:C$626,2,FALSE)</f>
        <v>FUENCARRAL-EL PARDO</v>
      </c>
      <c r="H32" s="16" t="str">
        <f>IFERROR(VLOOKUP(G32,'areas for question 4'!A$2:B$10,2,FALSE),"")</f>
        <v>North</v>
      </c>
      <c r="I32" t="s">
        <v>1447</v>
      </c>
      <c r="J32" t="s">
        <v>1450</v>
      </c>
      <c r="K32" t="s">
        <v>1456</v>
      </c>
      <c r="L32" t="s">
        <v>1460</v>
      </c>
      <c r="M32" t="s">
        <v>1478</v>
      </c>
      <c r="N32" s="18">
        <v>7</v>
      </c>
    </row>
    <row r="33" spans="1:14" x14ac:dyDescent="0.25">
      <c r="A33" s="5" t="s">
        <v>6</v>
      </c>
      <c r="B33" s="7">
        <v>43468</v>
      </c>
      <c r="C33" s="4">
        <v>0.60416666666666663</v>
      </c>
      <c r="D33" s="15">
        <f t="shared" si="0"/>
        <v>14</v>
      </c>
      <c r="E33" s="15" t="str">
        <f t="shared" si="1"/>
        <v>Before 15</v>
      </c>
      <c r="F33" t="s">
        <v>7</v>
      </c>
      <c r="G33" s="16" t="str">
        <f>VLOOKUP(F33,DISTRICTS!B$2:C$626,2,FALSE)</f>
        <v>VILLA DE VALLECAS</v>
      </c>
      <c r="H33" s="16" t="str">
        <f>IFERROR(VLOOKUP(G33,'areas for question 4'!A$2:B$10,2,FALSE),"")</f>
        <v/>
      </c>
      <c r="I33" t="s">
        <v>1441</v>
      </c>
      <c r="J33" t="s">
        <v>1455</v>
      </c>
      <c r="K33" t="s">
        <v>1456</v>
      </c>
      <c r="L33" t="s">
        <v>1461</v>
      </c>
      <c r="M33" s="5" t="s">
        <v>1477</v>
      </c>
      <c r="N33" s="18">
        <v>7</v>
      </c>
    </row>
    <row r="34" spans="1:14" x14ac:dyDescent="0.25">
      <c r="A34" s="5" t="s">
        <v>11</v>
      </c>
      <c r="B34" s="7">
        <v>43468</v>
      </c>
      <c r="C34" s="4">
        <v>0.4375</v>
      </c>
      <c r="D34" s="15">
        <f t="shared" si="0"/>
        <v>10</v>
      </c>
      <c r="E34" s="15" t="str">
        <f t="shared" si="1"/>
        <v>Before 15</v>
      </c>
      <c r="F34" t="s">
        <v>12</v>
      </c>
      <c r="G34" s="16" t="str">
        <f>VLOOKUP(F34,DISTRICTS!B$2:C$626,2,FALSE)</f>
        <v>MONCLOA-ARAVACA</v>
      </c>
      <c r="H34" s="16" t="str">
        <f>IFERROR(VLOOKUP(G34,'areas for question 4'!A$2:B$10,2,FALSE),"")</f>
        <v/>
      </c>
      <c r="I34" t="s">
        <v>1444</v>
      </c>
      <c r="J34" t="s">
        <v>1450</v>
      </c>
      <c r="K34" t="s">
        <v>1456</v>
      </c>
      <c r="L34" t="s">
        <v>1461</v>
      </c>
      <c r="M34" s="5" t="s">
        <v>1477</v>
      </c>
      <c r="N34" s="18">
        <v>2</v>
      </c>
    </row>
    <row r="35" spans="1:14" x14ac:dyDescent="0.25">
      <c r="A35" s="5" t="s">
        <v>31</v>
      </c>
      <c r="B35" s="7">
        <v>43474</v>
      </c>
      <c r="C35" s="4">
        <v>0.53472222222222221</v>
      </c>
      <c r="D35" s="15">
        <f t="shared" si="0"/>
        <v>12</v>
      </c>
      <c r="E35" s="15" t="str">
        <f t="shared" si="1"/>
        <v>Before 15</v>
      </c>
      <c r="F35" t="s">
        <v>32</v>
      </c>
      <c r="G35" s="16" t="str">
        <f>VLOOKUP(F35,DISTRICTS!B$2:C$626,2,FALSE)</f>
        <v>CENTRO</v>
      </c>
      <c r="H35" s="16" t="str">
        <f>IFERROR(VLOOKUP(G35,'areas for question 4'!A$2:B$10,2,FALSE),"")</f>
        <v/>
      </c>
      <c r="I35" t="s">
        <v>1441</v>
      </c>
      <c r="J35" t="s">
        <v>1450</v>
      </c>
      <c r="K35" t="s">
        <v>1456</v>
      </c>
      <c r="L35" t="s">
        <v>1461</v>
      </c>
      <c r="M35" s="5" t="s">
        <v>1477</v>
      </c>
      <c r="N35" s="18" t="s">
        <v>34</v>
      </c>
    </row>
    <row r="36" spans="1:14" x14ac:dyDescent="0.25">
      <c r="A36" s="5" t="s">
        <v>46</v>
      </c>
      <c r="B36" s="7">
        <v>43477</v>
      </c>
      <c r="C36" s="4">
        <v>0.54375000000000007</v>
      </c>
      <c r="D36" s="15">
        <f t="shared" si="0"/>
        <v>13</v>
      </c>
      <c r="E36" s="15" t="str">
        <f t="shared" si="1"/>
        <v>Before 15</v>
      </c>
      <c r="F36" t="s">
        <v>47</v>
      </c>
      <c r="G36" s="16" t="str">
        <f>VLOOKUP(F36,DISTRICTS!B$2:C$626,2,FALSE)</f>
        <v>VILLA DE VALLECAS</v>
      </c>
      <c r="H36" s="16" t="str">
        <f>IFERROR(VLOOKUP(G36,'areas for question 4'!A$2:B$10,2,FALSE),"")</f>
        <v/>
      </c>
      <c r="I36" t="s">
        <v>1446</v>
      </c>
      <c r="J36" t="s">
        <v>1455</v>
      </c>
      <c r="K36" t="s">
        <v>1456</v>
      </c>
      <c r="L36" t="s">
        <v>1461</v>
      </c>
      <c r="M36" s="5" t="s">
        <v>1478</v>
      </c>
      <c r="N36" s="18">
        <v>7</v>
      </c>
    </row>
    <row r="37" spans="1:14" x14ac:dyDescent="0.25">
      <c r="A37" t="s">
        <v>129</v>
      </c>
      <c r="B37" s="7">
        <v>43502</v>
      </c>
      <c r="C37" s="4">
        <v>0.33680555555555558</v>
      </c>
      <c r="D37" s="15">
        <f t="shared" si="0"/>
        <v>8</v>
      </c>
      <c r="E37" s="15" t="str">
        <f t="shared" si="1"/>
        <v>Before 15</v>
      </c>
      <c r="F37" t="s">
        <v>130</v>
      </c>
      <c r="G37" s="16" t="str">
        <f>VLOOKUP(F37,DISTRICTS!B$2:C$626,2,FALSE)</f>
        <v>FUENCARRAL-EL PARDO</v>
      </c>
      <c r="H37" s="16" t="str">
        <f>IFERROR(VLOOKUP(G37,'areas for question 4'!A$2:B$10,2,FALSE),"")</f>
        <v>North</v>
      </c>
      <c r="I37" t="s">
        <v>1443</v>
      </c>
      <c r="J37" t="s">
        <v>1450</v>
      </c>
      <c r="K37" t="s">
        <v>1458</v>
      </c>
      <c r="L37" t="s">
        <v>1461</v>
      </c>
      <c r="M37" t="s">
        <v>1478</v>
      </c>
      <c r="N37" s="18">
        <v>7</v>
      </c>
    </row>
    <row r="38" spans="1:14" x14ac:dyDescent="0.25">
      <c r="A38" t="s">
        <v>177</v>
      </c>
      <c r="B38" s="7">
        <v>43516</v>
      </c>
      <c r="C38" s="4">
        <v>0.32291666666666669</v>
      </c>
      <c r="D38" s="15">
        <f t="shared" si="0"/>
        <v>7</v>
      </c>
      <c r="E38" s="15" t="str">
        <f t="shared" si="1"/>
        <v>Before 15</v>
      </c>
      <c r="F38" t="s">
        <v>178</v>
      </c>
      <c r="G38" s="16" t="str">
        <f>VLOOKUP(F38,DISTRICTS!B$2:C$626,2,FALSE)</f>
        <v>CENTRO</v>
      </c>
      <c r="H38" s="16" t="str">
        <f>IFERROR(VLOOKUP(G38,'areas for question 4'!A$2:B$10,2,FALSE),"")</f>
        <v/>
      </c>
      <c r="I38" t="s">
        <v>1444</v>
      </c>
      <c r="J38" t="s">
        <v>1450</v>
      </c>
      <c r="K38" t="s">
        <v>1456</v>
      </c>
      <c r="L38" t="s">
        <v>1461</v>
      </c>
      <c r="M38" t="s">
        <v>1478</v>
      </c>
      <c r="N38" s="18">
        <v>7</v>
      </c>
    </row>
    <row r="39" spans="1:14" x14ac:dyDescent="0.25">
      <c r="A39" t="s">
        <v>201</v>
      </c>
      <c r="B39" s="7">
        <v>43525</v>
      </c>
      <c r="C39" s="4">
        <v>0.52083333333333337</v>
      </c>
      <c r="D39" s="15">
        <f t="shared" si="0"/>
        <v>12</v>
      </c>
      <c r="E39" s="15" t="str">
        <f t="shared" si="1"/>
        <v>Before 15</v>
      </c>
      <c r="F39" t="s">
        <v>202</v>
      </c>
      <c r="G39" s="16" t="str">
        <f>VLOOKUP(F39,DISTRICTS!B$2:C$626,2,FALSE)</f>
        <v>MORATALAZ</v>
      </c>
      <c r="H39" s="16" t="str">
        <f>IFERROR(VLOOKUP(G39,'areas for question 4'!A$2:B$10,2,FALSE),"")</f>
        <v>East</v>
      </c>
      <c r="I39" t="s">
        <v>1449</v>
      </c>
      <c r="J39" t="s">
        <v>1450</v>
      </c>
      <c r="K39" t="s">
        <v>1456</v>
      </c>
      <c r="L39" t="s">
        <v>1461</v>
      </c>
      <c r="M39" t="s">
        <v>1477</v>
      </c>
      <c r="N39" s="18">
        <v>7</v>
      </c>
    </row>
    <row r="40" spans="1:14" x14ac:dyDescent="0.25">
      <c r="A40" t="s">
        <v>238</v>
      </c>
      <c r="B40" s="7">
        <v>43534</v>
      </c>
      <c r="C40" s="4">
        <v>0.72638888888888886</v>
      </c>
      <c r="D40" s="15">
        <f t="shared" si="0"/>
        <v>17</v>
      </c>
      <c r="E40" s="15" t="str">
        <f t="shared" si="1"/>
        <v>After 15</v>
      </c>
      <c r="F40" t="s">
        <v>239</v>
      </c>
      <c r="G40" s="16" t="str">
        <f>VLOOKUP(F40,DISTRICTS!B$2:C$626,2,FALSE)</f>
        <v>HORTALEZA</v>
      </c>
      <c r="H40" s="16" t="str">
        <f>IFERROR(VLOOKUP(G40,'areas for question 4'!A$2:B$10,2,FALSE),"")</f>
        <v/>
      </c>
      <c r="I40" t="s">
        <v>1446</v>
      </c>
      <c r="J40" t="s">
        <v>1450</v>
      </c>
      <c r="K40" t="s">
        <v>1456</v>
      </c>
      <c r="L40" t="s">
        <v>1461</v>
      </c>
      <c r="M40" t="s">
        <v>1478</v>
      </c>
      <c r="N40" s="18">
        <v>7</v>
      </c>
    </row>
    <row r="41" spans="1:14" x14ac:dyDescent="0.25">
      <c r="A41" t="s">
        <v>275</v>
      </c>
      <c r="B41" s="7">
        <v>43541</v>
      </c>
      <c r="C41" s="4">
        <v>0.4201388888888889</v>
      </c>
      <c r="D41" s="15">
        <f t="shared" si="0"/>
        <v>10</v>
      </c>
      <c r="E41" s="15" t="str">
        <f t="shared" si="1"/>
        <v>Before 15</v>
      </c>
      <c r="F41" t="s">
        <v>276</v>
      </c>
      <c r="G41" s="16" t="str">
        <f>VLOOKUP(F41,DISTRICTS!B$2:C$626,2,FALSE)</f>
        <v>SAN BLAS-CANILLEJAS</v>
      </c>
      <c r="H41" s="16" t="str">
        <f>IFERROR(VLOOKUP(G41,'areas for question 4'!A$2:B$10,2,FALSE),"")</f>
        <v>East</v>
      </c>
      <c r="I41" t="s">
        <v>1444</v>
      </c>
      <c r="J41" t="s">
        <v>1450</v>
      </c>
      <c r="K41" t="s">
        <v>1456</v>
      </c>
      <c r="L41" t="s">
        <v>1461</v>
      </c>
      <c r="M41" t="s">
        <v>1477</v>
      </c>
      <c r="N41" s="18">
        <v>7</v>
      </c>
    </row>
    <row r="42" spans="1:14" x14ac:dyDescent="0.25">
      <c r="A42" t="s">
        <v>306</v>
      </c>
      <c r="B42" s="7">
        <v>43549</v>
      </c>
      <c r="C42" s="4">
        <v>0.5</v>
      </c>
      <c r="D42" s="15">
        <f t="shared" si="0"/>
        <v>12</v>
      </c>
      <c r="E42" s="15" t="str">
        <f t="shared" si="1"/>
        <v>Before 15</v>
      </c>
      <c r="F42" t="s">
        <v>307</v>
      </c>
      <c r="G42" s="16" t="str">
        <f>VLOOKUP(F42,DISTRICTS!B$2:C$626,2,FALSE)</f>
        <v>FUENCARRAL-EL PARDO</v>
      </c>
      <c r="H42" s="16" t="str">
        <f>IFERROR(VLOOKUP(G42,'areas for question 4'!A$2:B$10,2,FALSE),"")</f>
        <v>North</v>
      </c>
      <c r="I42" t="s">
        <v>1444</v>
      </c>
      <c r="J42" t="s">
        <v>1450</v>
      </c>
      <c r="K42" t="s">
        <v>1456</v>
      </c>
      <c r="L42" t="s">
        <v>1461</v>
      </c>
      <c r="M42" t="s">
        <v>1477</v>
      </c>
      <c r="N42" s="18">
        <v>5</v>
      </c>
    </row>
    <row r="43" spans="1:14" x14ac:dyDescent="0.25">
      <c r="A43" t="s">
        <v>338</v>
      </c>
      <c r="B43" s="7">
        <v>43555</v>
      </c>
      <c r="C43" s="4">
        <v>0.51041666666666663</v>
      </c>
      <c r="D43" s="15">
        <f t="shared" si="0"/>
        <v>12</v>
      </c>
      <c r="E43" s="15" t="str">
        <f t="shared" si="1"/>
        <v>Before 15</v>
      </c>
      <c r="F43" t="s">
        <v>197</v>
      </c>
      <c r="G43" s="16" t="str">
        <f>VLOOKUP(F43,DISTRICTS!B$2:C$626,2,FALSE)</f>
        <v>CHAMARTÍN</v>
      </c>
      <c r="H43" s="16" t="str">
        <f>IFERROR(VLOOKUP(G43,'areas for question 4'!A$2:B$10,2,FALSE),"")</f>
        <v>North</v>
      </c>
      <c r="I43" t="s">
        <v>1444</v>
      </c>
      <c r="J43" t="s">
        <v>1452</v>
      </c>
      <c r="K43" t="s">
        <v>1456</v>
      </c>
      <c r="L43" t="s">
        <v>1461</v>
      </c>
      <c r="M43" t="s">
        <v>1477</v>
      </c>
      <c r="N43" s="18">
        <v>7</v>
      </c>
    </row>
    <row r="44" spans="1:14" x14ac:dyDescent="0.25">
      <c r="A44" t="s">
        <v>361</v>
      </c>
      <c r="B44" s="7">
        <v>43563</v>
      </c>
      <c r="C44" s="4">
        <v>0.63541666666666663</v>
      </c>
      <c r="D44" s="15">
        <f t="shared" si="0"/>
        <v>15</v>
      </c>
      <c r="E44" s="15" t="str">
        <f t="shared" si="1"/>
        <v>After 15</v>
      </c>
      <c r="F44" t="s">
        <v>362</v>
      </c>
      <c r="G44" s="16" t="str">
        <f>VLOOKUP(F44,DISTRICTS!B$2:C$626,2,FALSE)</f>
        <v>CARABANCHEL</v>
      </c>
      <c r="H44" s="16" t="str">
        <f>IFERROR(VLOOKUP(G44,'areas for question 4'!A$2:B$10,2,FALSE),"")</f>
        <v/>
      </c>
      <c r="I44" t="s">
        <v>1447</v>
      </c>
      <c r="J44" t="s">
        <v>1450</v>
      </c>
      <c r="K44" t="s">
        <v>1456</v>
      </c>
      <c r="L44" t="s">
        <v>1461</v>
      </c>
      <c r="M44" t="s">
        <v>1477</v>
      </c>
      <c r="N44" s="18">
        <v>7</v>
      </c>
    </row>
    <row r="45" spans="1:14" x14ac:dyDescent="0.25">
      <c r="A45" t="s">
        <v>375</v>
      </c>
      <c r="B45" s="7">
        <v>43566</v>
      </c>
      <c r="C45" s="4">
        <v>0.66666666666666663</v>
      </c>
      <c r="D45" s="15">
        <f t="shared" si="0"/>
        <v>16</v>
      </c>
      <c r="E45" s="15" t="str">
        <f t="shared" si="1"/>
        <v>After 15</v>
      </c>
      <c r="F45" t="s">
        <v>376</v>
      </c>
      <c r="G45" s="16" t="str">
        <f>VLOOKUP(F45,DISTRICTS!B$2:C$626,2,FALSE)</f>
        <v>CHAMBERÍ</v>
      </c>
      <c r="H45" s="16" t="str">
        <f>IFERROR(VLOOKUP(G45,'areas for question 4'!A$2:B$10,2,FALSE),"")</f>
        <v>North</v>
      </c>
      <c r="I45" t="s">
        <v>1444</v>
      </c>
      <c r="J45" t="s">
        <v>1450</v>
      </c>
      <c r="K45" t="s">
        <v>1456</v>
      </c>
      <c r="L45" t="s">
        <v>1461</v>
      </c>
      <c r="M45" t="s">
        <v>1477</v>
      </c>
      <c r="N45" s="18">
        <v>6</v>
      </c>
    </row>
    <row r="46" spans="1:14" x14ac:dyDescent="0.25">
      <c r="A46" t="s">
        <v>432</v>
      </c>
      <c r="B46" s="7">
        <v>43592</v>
      </c>
      <c r="C46" s="4">
        <v>0.63194444444444442</v>
      </c>
      <c r="D46" s="15">
        <f t="shared" si="0"/>
        <v>15</v>
      </c>
      <c r="E46" s="15" t="str">
        <f t="shared" si="1"/>
        <v>After 15</v>
      </c>
      <c r="F46" t="s">
        <v>99</v>
      </c>
      <c r="G46" s="16" t="str">
        <f>VLOOKUP(F46,DISTRICTS!B$2:C$626,2,FALSE)</f>
        <v>CENTRO</v>
      </c>
      <c r="H46" s="16" t="str">
        <f>IFERROR(VLOOKUP(G46,'areas for question 4'!A$2:B$10,2,FALSE),"")</f>
        <v/>
      </c>
      <c r="I46" t="s">
        <v>1441</v>
      </c>
      <c r="J46" t="s">
        <v>1450</v>
      </c>
      <c r="K46" t="s">
        <v>1456</v>
      </c>
      <c r="L46" t="s">
        <v>1461</v>
      </c>
      <c r="M46" t="s">
        <v>1477</v>
      </c>
      <c r="N46" s="18">
        <v>14</v>
      </c>
    </row>
    <row r="47" spans="1:14" x14ac:dyDescent="0.25">
      <c r="A47" t="s">
        <v>455</v>
      </c>
      <c r="B47" s="7">
        <v>43597</v>
      </c>
      <c r="C47" s="4">
        <v>0.85416666666666663</v>
      </c>
      <c r="D47" s="15">
        <f t="shared" si="0"/>
        <v>20</v>
      </c>
      <c r="E47" s="15" t="str">
        <f t="shared" si="1"/>
        <v>After 15</v>
      </c>
      <c r="F47" t="s">
        <v>456</v>
      </c>
      <c r="G47" s="16" t="str">
        <f>VLOOKUP(F47,DISTRICTS!B$2:C$626,2,FALSE)</f>
        <v>TETUÁN</v>
      </c>
      <c r="H47" s="16" t="str">
        <f>IFERROR(VLOOKUP(G47,'areas for question 4'!A$2:B$10,2,FALSE),"")</f>
        <v>North</v>
      </c>
      <c r="I47" t="s">
        <v>1447</v>
      </c>
      <c r="J47" t="s">
        <v>1450</v>
      </c>
      <c r="K47" t="s">
        <v>1456</v>
      </c>
      <c r="L47" t="s">
        <v>1461</v>
      </c>
      <c r="M47" t="s">
        <v>1477</v>
      </c>
      <c r="N47" s="18">
        <v>7</v>
      </c>
    </row>
    <row r="48" spans="1:14" x14ac:dyDescent="0.25">
      <c r="A48" t="s">
        <v>455</v>
      </c>
      <c r="B48" s="7">
        <v>43597</v>
      </c>
      <c r="C48" s="4">
        <v>0.85416666666666663</v>
      </c>
      <c r="D48" s="15">
        <f t="shared" si="0"/>
        <v>20</v>
      </c>
      <c r="E48" s="15" t="str">
        <f t="shared" si="1"/>
        <v>After 15</v>
      </c>
      <c r="F48" t="s">
        <v>456</v>
      </c>
      <c r="G48" s="16" t="str">
        <f>VLOOKUP(F48,DISTRICTS!B$2:C$626,2,FALSE)</f>
        <v>TETUÁN</v>
      </c>
      <c r="H48" s="16" t="str">
        <f>IFERROR(VLOOKUP(G48,'areas for question 4'!A$2:B$10,2,FALSE),"")</f>
        <v>North</v>
      </c>
      <c r="I48" t="s">
        <v>1447</v>
      </c>
      <c r="J48" t="s">
        <v>1450</v>
      </c>
      <c r="K48" t="s">
        <v>1456</v>
      </c>
      <c r="L48" t="s">
        <v>1461</v>
      </c>
      <c r="M48" t="s">
        <v>1477</v>
      </c>
      <c r="N48" s="18">
        <v>14</v>
      </c>
    </row>
    <row r="49" spans="1:14" x14ac:dyDescent="0.25">
      <c r="A49" t="s">
        <v>521</v>
      </c>
      <c r="B49" s="7">
        <v>43610</v>
      </c>
      <c r="C49" s="4">
        <v>0.65277777777777779</v>
      </c>
      <c r="D49" s="15">
        <f t="shared" si="0"/>
        <v>15</v>
      </c>
      <c r="E49" s="15" t="str">
        <f t="shared" si="1"/>
        <v>After 15</v>
      </c>
      <c r="F49" t="s">
        <v>522</v>
      </c>
      <c r="G49" s="16" t="str">
        <f>VLOOKUP(F49,DISTRICTS!B$2:C$626,2,FALSE)</f>
        <v>SAN BLAS-CANILLEJAS</v>
      </c>
      <c r="H49" s="16" t="str">
        <f>IFERROR(VLOOKUP(G49,'areas for question 4'!A$2:B$10,2,FALSE),"")</f>
        <v>East</v>
      </c>
      <c r="I49" t="s">
        <v>1444</v>
      </c>
      <c r="J49" t="s">
        <v>1450</v>
      </c>
      <c r="K49" t="s">
        <v>1456</v>
      </c>
      <c r="L49" t="s">
        <v>1461</v>
      </c>
      <c r="M49" t="s">
        <v>1478</v>
      </c>
      <c r="N49" s="18">
        <v>7</v>
      </c>
    </row>
    <row r="50" spans="1:14" x14ac:dyDescent="0.25">
      <c r="A50" t="s">
        <v>530</v>
      </c>
      <c r="B50" s="7">
        <v>43612</v>
      </c>
      <c r="C50" s="4">
        <v>0.69930555555555562</v>
      </c>
      <c r="D50" s="15">
        <f t="shared" si="0"/>
        <v>16</v>
      </c>
      <c r="E50" s="15" t="str">
        <f t="shared" si="1"/>
        <v>After 15</v>
      </c>
      <c r="F50" t="s">
        <v>531</v>
      </c>
      <c r="G50" s="16" t="str">
        <f>VLOOKUP(F50,DISTRICTS!B$2:C$626,2,FALSE)</f>
        <v>HORTALEZA</v>
      </c>
      <c r="H50" s="16" t="str">
        <f>IFERROR(VLOOKUP(G50,'areas for question 4'!A$2:B$10,2,FALSE),"")</f>
        <v/>
      </c>
      <c r="I50" t="s">
        <v>1443</v>
      </c>
      <c r="J50" t="s">
        <v>1450</v>
      </c>
      <c r="K50" t="s">
        <v>1456</v>
      </c>
      <c r="L50" t="s">
        <v>1461</v>
      </c>
      <c r="M50" t="s">
        <v>1477</v>
      </c>
      <c r="N50" s="18">
        <v>14</v>
      </c>
    </row>
    <row r="51" spans="1:14" x14ac:dyDescent="0.25">
      <c r="A51" t="s">
        <v>573</v>
      </c>
      <c r="B51" s="7">
        <v>43620</v>
      </c>
      <c r="C51" s="4">
        <v>0.89097222222222217</v>
      </c>
      <c r="D51" s="15">
        <f t="shared" si="0"/>
        <v>21</v>
      </c>
      <c r="E51" s="15" t="str">
        <f t="shared" si="1"/>
        <v>After 15</v>
      </c>
      <c r="F51" t="s">
        <v>574</v>
      </c>
      <c r="G51" s="16" t="str">
        <f>VLOOKUP(F51,DISTRICTS!B$2:C$626,2,FALSE)</f>
        <v>CARABANCHEL</v>
      </c>
      <c r="H51" s="16" t="str">
        <f>IFERROR(VLOOKUP(G51,'areas for question 4'!A$2:B$10,2,FALSE),"")</f>
        <v/>
      </c>
      <c r="I51" t="s">
        <v>1445</v>
      </c>
      <c r="J51" t="s">
        <v>1450</v>
      </c>
      <c r="K51" t="s">
        <v>1456</v>
      </c>
      <c r="L51" t="s">
        <v>1461</v>
      </c>
      <c r="M51" t="s">
        <v>1477</v>
      </c>
      <c r="N51" s="18">
        <v>7</v>
      </c>
    </row>
    <row r="52" spans="1:14" x14ac:dyDescent="0.25">
      <c r="A52" t="s">
        <v>594</v>
      </c>
      <c r="B52" s="7">
        <v>43624</v>
      </c>
      <c r="C52" s="4">
        <v>0.91319444444444453</v>
      </c>
      <c r="D52" s="15">
        <f t="shared" si="0"/>
        <v>21</v>
      </c>
      <c r="E52" s="15" t="str">
        <f t="shared" si="1"/>
        <v>After 15</v>
      </c>
      <c r="F52" t="s">
        <v>595</v>
      </c>
      <c r="G52" s="16" t="str">
        <f>VLOOKUP(F52,DISTRICTS!B$2:C$626,2,FALSE)</f>
        <v>ARGANZUELA</v>
      </c>
      <c r="H52" s="16" t="str">
        <f>IFERROR(VLOOKUP(G52,'areas for question 4'!A$2:B$10,2,FALSE),"")</f>
        <v/>
      </c>
      <c r="I52" t="s">
        <v>1444</v>
      </c>
      <c r="J52" t="s">
        <v>1450</v>
      </c>
      <c r="K52" t="s">
        <v>1456</v>
      </c>
      <c r="L52" t="s">
        <v>1461</v>
      </c>
      <c r="M52" t="s">
        <v>1477</v>
      </c>
      <c r="N52" s="18">
        <v>1</v>
      </c>
    </row>
    <row r="53" spans="1:14" x14ac:dyDescent="0.25">
      <c r="A53" t="s">
        <v>603</v>
      </c>
      <c r="B53" s="7">
        <v>43626</v>
      </c>
      <c r="C53" s="4">
        <v>0.83888888888888891</v>
      </c>
      <c r="D53" s="15">
        <f t="shared" si="0"/>
        <v>20</v>
      </c>
      <c r="E53" s="15" t="str">
        <f t="shared" si="1"/>
        <v>After 15</v>
      </c>
      <c r="F53" t="s">
        <v>604</v>
      </c>
      <c r="G53" s="16" t="str">
        <f>VLOOKUP(F53,DISTRICTS!B$2:C$626,2,FALSE)</f>
        <v>FUENCARRAL-EL PARDO</v>
      </c>
      <c r="H53" s="16" t="str">
        <f>IFERROR(VLOOKUP(G53,'areas for question 4'!A$2:B$10,2,FALSE),"")</f>
        <v>North</v>
      </c>
      <c r="I53" t="s">
        <v>1446</v>
      </c>
      <c r="J53" t="s">
        <v>1450</v>
      </c>
      <c r="K53" t="s">
        <v>1456</v>
      </c>
      <c r="L53" t="s">
        <v>1461</v>
      </c>
      <c r="M53" t="s">
        <v>1477</v>
      </c>
      <c r="N53" s="18">
        <v>2</v>
      </c>
    </row>
    <row r="54" spans="1:14" x14ac:dyDescent="0.25">
      <c r="A54" t="s">
        <v>632</v>
      </c>
      <c r="B54" s="7">
        <v>43630</v>
      </c>
      <c r="C54" s="4">
        <v>0.4513888888888889</v>
      </c>
      <c r="D54" s="15">
        <f t="shared" si="0"/>
        <v>10</v>
      </c>
      <c r="E54" s="15" t="str">
        <f t="shared" si="1"/>
        <v>Before 15</v>
      </c>
      <c r="F54" t="s">
        <v>633</v>
      </c>
      <c r="G54" s="16" t="str">
        <f>VLOOKUP(F54,DISTRICTS!B$2:C$626,2,FALSE)</f>
        <v>FUENCARRAL-EL PARDO</v>
      </c>
      <c r="H54" s="16" t="str">
        <f>IFERROR(VLOOKUP(G54,'areas for question 4'!A$2:B$10,2,FALSE),"")</f>
        <v>North</v>
      </c>
      <c r="I54" t="s">
        <v>1447</v>
      </c>
      <c r="J54" t="s">
        <v>1450</v>
      </c>
      <c r="K54" t="s">
        <v>1456</v>
      </c>
      <c r="L54" t="s">
        <v>1461</v>
      </c>
      <c r="M54" t="s">
        <v>1478</v>
      </c>
      <c r="N54" s="18">
        <v>5</v>
      </c>
    </row>
    <row r="55" spans="1:14" x14ac:dyDescent="0.25">
      <c r="A55" t="s">
        <v>632</v>
      </c>
      <c r="B55" s="7">
        <v>43630</v>
      </c>
      <c r="C55" s="4">
        <v>0.4513888888888889</v>
      </c>
      <c r="D55" s="15">
        <f t="shared" si="0"/>
        <v>10</v>
      </c>
      <c r="E55" s="15" t="str">
        <f t="shared" si="1"/>
        <v>Before 15</v>
      </c>
      <c r="F55" t="s">
        <v>633</v>
      </c>
      <c r="G55" s="16" t="str">
        <f>VLOOKUP(F55,DISTRICTS!B$2:C$626,2,FALSE)</f>
        <v>FUENCARRAL-EL PARDO</v>
      </c>
      <c r="H55" s="16" t="str">
        <f>IFERROR(VLOOKUP(G55,'areas for question 4'!A$2:B$10,2,FALSE),"")</f>
        <v>North</v>
      </c>
      <c r="I55" t="s">
        <v>1447</v>
      </c>
      <c r="J55" t="s">
        <v>1450</v>
      </c>
      <c r="K55" t="s">
        <v>1456</v>
      </c>
      <c r="L55" t="s">
        <v>1461</v>
      </c>
      <c r="M55" t="s">
        <v>1478</v>
      </c>
      <c r="N55" s="18">
        <v>7</v>
      </c>
    </row>
    <row r="56" spans="1:14" x14ac:dyDescent="0.25">
      <c r="A56" t="s">
        <v>729</v>
      </c>
      <c r="B56" s="7">
        <v>43650</v>
      </c>
      <c r="C56" s="4">
        <v>0.94791666666666663</v>
      </c>
      <c r="D56" s="15">
        <f t="shared" si="0"/>
        <v>22</v>
      </c>
      <c r="E56" s="15" t="str">
        <f t="shared" si="1"/>
        <v>After 15</v>
      </c>
      <c r="F56" t="s">
        <v>730</v>
      </c>
      <c r="G56" s="16" t="str">
        <f>VLOOKUP(F56,DISTRICTS!B$2:C$626,2,FALSE)</f>
        <v>USERA</v>
      </c>
      <c r="H56" s="16" t="str">
        <f>IFERROR(VLOOKUP(G56,'areas for question 4'!A$2:B$10,2,FALSE),"")</f>
        <v/>
      </c>
      <c r="I56" t="s">
        <v>1446</v>
      </c>
      <c r="J56" t="s">
        <v>1450</v>
      </c>
      <c r="K56" t="s">
        <v>1456</v>
      </c>
      <c r="L56" t="s">
        <v>1461</v>
      </c>
      <c r="M56" t="s">
        <v>1477</v>
      </c>
      <c r="N56" s="18">
        <v>6</v>
      </c>
    </row>
    <row r="57" spans="1:14" x14ac:dyDescent="0.25">
      <c r="A57" t="s">
        <v>781</v>
      </c>
      <c r="B57" s="7">
        <v>43660</v>
      </c>
      <c r="C57" s="4">
        <v>0.53125</v>
      </c>
      <c r="D57" s="15">
        <f t="shared" si="0"/>
        <v>12</v>
      </c>
      <c r="E57" s="15" t="str">
        <f t="shared" si="1"/>
        <v>Before 15</v>
      </c>
      <c r="F57" t="s">
        <v>372</v>
      </c>
      <c r="G57" s="16" t="str">
        <f>VLOOKUP(F57,DISTRICTS!B$2:C$626,2,FALSE)</f>
        <v>RETIRO</v>
      </c>
      <c r="H57" s="16" t="str">
        <f>IFERROR(VLOOKUP(G57,'areas for question 4'!A$2:B$10,2,FALSE),"")</f>
        <v/>
      </c>
      <c r="I57" t="s">
        <v>1443</v>
      </c>
      <c r="J57" t="s">
        <v>1450</v>
      </c>
      <c r="K57" t="s">
        <v>1458</v>
      </c>
      <c r="L57" t="s">
        <v>1461</v>
      </c>
      <c r="M57" t="s">
        <v>1478</v>
      </c>
      <c r="N57" s="18">
        <v>7</v>
      </c>
    </row>
    <row r="58" spans="1:14" x14ac:dyDescent="0.25">
      <c r="A58" t="s">
        <v>805</v>
      </c>
      <c r="B58" s="7">
        <v>43666</v>
      </c>
      <c r="C58" s="4">
        <v>0.59444444444444444</v>
      </c>
      <c r="D58" s="15">
        <f t="shared" si="0"/>
        <v>14</v>
      </c>
      <c r="E58" s="15" t="str">
        <f t="shared" si="1"/>
        <v>Before 15</v>
      </c>
      <c r="F58" t="s">
        <v>806</v>
      </c>
      <c r="G58" s="16" t="str">
        <f>VLOOKUP(F58,DISTRICTS!B$2:C$626,2,FALSE)</f>
        <v>CARABANCHEL</v>
      </c>
      <c r="H58" s="16" t="str">
        <f>IFERROR(VLOOKUP(G58,'areas for question 4'!A$2:B$10,2,FALSE),"")</f>
        <v/>
      </c>
      <c r="I58" t="s">
        <v>1445</v>
      </c>
      <c r="J58" t="s">
        <v>1450</v>
      </c>
      <c r="K58" t="s">
        <v>1456</v>
      </c>
      <c r="L58" t="s">
        <v>1461</v>
      </c>
      <c r="M58" t="s">
        <v>1477</v>
      </c>
      <c r="N58" s="18">
        <v>7</v>
      </c>
    </row>
    <row r="59" spans="1:14" x14ac:dyDescent="0.25">
      <c r="A59" t="s">
        <v>884</v>
      </c>
      <c r="B59" s="7">
        <v>43686</v>
      </c>
      <c r="C59" s="4">
        <v>0.68402777777777779</v>
      </c>
      <c r="D59" s="15">
        <f t="shared" si="0"/>
        <v>16</v>
      </c>
      <c r="E59" s="15" t="str">
        <f t="shared" si="1"/>
        <v>After 15</v>
      </c>
      <c r="F59" t="s">
        <v>885</v>
      </c>
      <c r="G59" s="16" t="str">
        <f>VLOOKUP(F59,DISTRICTS!B$2:C$626,2,FALSE)</f>
        <v>VILLAVERDE</v>
      </c>
      <c r="H59" s="16" t="str">
        <f>IFERROR(VLOOKUP(G59,'areas for question 4'!A$2:B$10,2,FALSE),"")</f>
        <v/>
      </c>
      <c r="I59" t="s">
        <v>1444</v>
      </c>
      <c r="J59" t="s">
        <v>1450</v>
      </c>
      <c r="K59" t="s">
        <v>1456</v>
      </c>
      <c r="L59" t="s">
        <v>1461</v>
      </c>
      <c r="M59" t="s">
        <v>1477</v>
      </c>
      <c r="N59" s="18">
        <v>6</v>
      </c>
    </row>
    <row r="60" spans="1:14" x14ac:dyDescent="0.25">
      <c r="A60" t="s">
        <v>949</v>
      </c>
      <c r="B60" s="7">
        <v>43710</v>
      </c>
      <c r="C60" s="4">
        <v>0.76041666666666663</v>
      </c>
      <c r="D60" s="15">
        <f t="shared" si="0"/>
        <v>18</v>
      </c>
      <c r="E60" s="15" t="str">
        <f t="shared" si="1"/>
        <v>After 15</v>
      </c>
      <c r="F60" t="s">
        <v>950</v>
      </c>
      <c r="G60" s="16" t="str">
        <f>VLOOKUP(F60,DISTRICTS!B$2:C$626,2,FALSE)</f>
        <v>HORTALEZA</v>
      </c>
      <c r="H60" s="16" t="str">
        <f>IFERROR(VLOOKUP(G60,'areas for question 4'!A$2:B$10,2,FALSE),"")</f>
        <v/>
      </c>
      <c r="I60" t="s">
        <v>1446</v>
      </c>
      <c r="J60" t="s">
        <v>1450</v>
      </c>
      <c r="K60" t="s">
        <v>1456</v>
      </c>
      <c r="L60" t="s">
        <v>1461</v>
      </c>
      <c r="M60" t="s">
        <v>1477</v>
      </c>
      <c r="N60" s="18">
        <v>7</v>
      </c>
    </row>
    <row r="61" spans="1:14" x14ac:dyDescent="0.25">
      <c r="A61" t="s">
        <v>1100</v>
      </c>
      <c r="B61" s="7">
        <v>43738</v>
      </c>
      <c r="C61" s="4">
        <v>0.59375</v>
      </c>
      <c r="D61" s="15">
        <f t="shared" si="0"/>
        <v>14</v>
      </c>
      <c r="E61" s="15" t="str">
        <f t="shared" si="1"/>
        <v>Before 15</v>
      </c>
      <c r="F61" t="s">
        <v>1101</v>
      </c>
      <c r="G61" s="16" t="str">
        <f>VLOOKUP(F61,DISTRICTS!B$2:C$626,2,FALSE)</f>
        <v>VILLA DE VALLECAS</v>
      </c>
      <c r="H61" s="16" t="str">
        <f>IFERROR(VLOOKUP(G61,'areas for question 4'!A$2:B$10,2,FALSE),"")</f>
        <v/>
      </c>
      <c r="I61" t="s">
        <v>1447</v>
      </c>
      <c r="J61" t="s">
        <v>1450</v>
      </c>
      <c r="K61" t="s">
        <v>1456</v>
      </c>
      <c r="L61" t="s">
        <v>1461</v>
      </c>
      <c r="M61" t="s">
        <v>1477</v>
      </c>
      <c r="N61" s="18">
        <v>7</v>
      </c>
    </row>
    <row r="62" spans="1:14" x14ac:dyDescent="0.25">
      <c r="A62" t="s">
        <v>1158</v>
      </c>
      <c r="B62" s="7">
        <v>43745</v>
      </c>
      <c r="C62" s="4">
        <v>0.90972222222222221</v>
      </c>
      <c r="D62" s="15">
        <f t="shared" si="0"/>
        <v>21</v>
      </c>
      <c r="E62" s="15" t="str">
        <f t="shared" si="1"/>
        <v>After 15</v>
      </c>
      <c r="F62" t="s">
        <v>99</v>
      </c>
      <c r="G62" s="16" t="str">
        <f>VLOOKUP(F62,DISTRICTS!B$2:C$626,2,FALSE)</f>
        <v>CENTRO</v>
      </c>
      <c r="H62" s="16" t="str">
        <f>IFERROR(VLOOKUP(G62,'areas for question 4'!A$2:B$10,2,FALSE),"")</f>
        <v/>
      </c>
      <c r="I62" t="s">
        <v>1444</v>
      </c>
      <c r="J62" t="s">
        <v>1450</v>
      </c>
      <c r="K62" t="s">
        <v>1456</v>
      </c>
      <c r="L62" t="s">
        <v>1461</v>
      </c>
      <c r="M62" t="s">
        <v>1477</v>
      </c>
      <c r="N62" s="18">
        <v>2</v>
      </c>
    </row>
    <row r="63" spans="1:14" x14ac:dyDescent="0.25">
      <c r="A63" t="s">
        <v>1215</v>
      </c>
      <c r="B63" s="7">
        <v>43758</v>
      </c>
      <c r="C63" s="4">
        <v>0.57291666666666663</v>
      </c>
      <c r="D63" s="15">
        <f t="shared" si="0"/>
        <v>13</v>
      </c>
      <c r="E63" s="15" t="str">
        <f t="shared" si="1"/>
        <v>Before 15</v>
      </c>
      <c r="F63" t="s">
        <v>329</v>
      </c>
      <c r="G63" s="16" t="str">
        <f>VLOOKUP(F63,DISTRICTS!B$2:C$626,2,FALSE)</f>
        <v>TETUÁN</v>
      </c>
      <c r="H63" s="16" t="str">
        <f>IFERROR(VLOOKUP(G63,'areas for question 4'!A$2:B$10,2,FALSE),"")</f>
        <v>North</v>
      </c>
      <c r="I63" t="s">
        <v>1441</v>
      </c>
      <c r="J63" t="s">
        <v>1452</v>
      </c>
      <c r="K63" t="s">
        <v>1456</v>
      </c>
      <c r="L63" t="s">
        <v>1461</v>
      </c>
      <c r="M63" t="s">
        <v>1477</v>
      </c>
      <c r="N63" s="18">
        <v>14</v>
      </c>
    </row>
    <row r="64" spans="1:14" x14ac:dyDescent="0.25">
      <c r="A64" t="s">
        <v>1346</v>
      </c>
      <c r="B64" s="7">
        <v>43797</v>
      </c>
      <c r="C64" s="4">
        <v>0.56944444444444442</v>
      </c>
      <c r="D64" s="15">
        <f t="shared" si="0"/>
        <v>13</v>
      </c>
      <c r="E64" s="15" t="str">
        <f t="shared" si="1"/>
        <v>Before 15</v>
      </c>
      <c r="F64" t="s">
        <v>1347</v>
      </c>
      <c r="G64" s="16" t="str">
        <f>VLOOKUP(F64,DISTRICTS!B$2:C$626,2,FALSE)</f>
        <v>MONCLOA-ARAVACA</v>
      </c>
      <c r="H64" s="16" t="str">
        <f>IFERROR(VLOOKUP(G64,'areas for question 4'!A$2:B$10,2,FALSE),"")</f>
        <v/>
      </c>
      <c r="I64" t="s">
        <v>1444</v>
      </c>
      <c r="J64" t="s">
        <v>1450</v>
      </c>
      <c r="K64" t="s">
        <v>1456</v>
      </c>
      <c r="L64" t="s">
        <v>1461</v>
      </c>
      <c r="M64" t="s">
        <v>1477</v>
      </c>
      <c r="N64" s="18">
        <v>7</v>
      </c>
    </row>
    <row r="65" spans="1:14" x14ac:dyDescent="0.25">
      <c r="A65" s="5" t="s">
        <v>9</v>
      </c>
      <c r="B65" s="7">
        <v>43468</v>
      </c>
      <c r="C65" s="4">
        <v>0.53125</v>
      </c>
      <c r="D65" s="15">
        <f t="shared" si="0"/>
        <v>12</v>
      </c>
      <c r="E65" s="15" t="str">
        <f t="shared" si="1"/>
        <v>Before 15</v>
      </c>
      <c r="F65" t="s">
        <v>10</v>
      </c>
      <c r="G65" s="16" t="str">
        <f>VLOOKUP(F65,DISTRICTS!B$2:C$626,2,FALSE)</f>
        <v>VILLA DE VALLECAS</v>
      </c>
      <c r="H65" s="16" t="str">
        <f>IFERROR(VLOOKUP(G65,'areas for question 4'!A$2:B$10,2,FALSE),"")</f>
        <v/>
      </c>
      <c r="I65" t="s">
        <v>1441</v>
      </c>
      <c r="J65" t="s">
        <v>1450</v>
      </c>
      <c r="K65" t="s">
        <v>1456</v>
      </c>
      <c r="L65" t="s">
        <v>1462</v>
      </c>
      <c r="M65" s="5" t="s">
        <v>1477</v>
      </c>
      <c r="N65" s="18">
        <v>7</v>
      </c>
    </row>
    <row r="66" spans="1:14" x14ac:dyDescent="0.25">
      <c r="A66" s="5" t="s">
        <v>42</v>
      </c>
      <c r="B66" s="7">
        <v>43477</v>
      </c>
      <c r="C66" s="4">
        <v>0.93402777777777779</v>
      </c>
      <c r="D66" s="15">
        <f t="shared" si="0"/>
        <v>22</v>
      </c>
      <c r="E66" s="15" t="str">
        <f t="shared" si="1"/>
        <v>After 15</v>
      </c>
      <c r="F66" t="s">
        <v>43</v>
      </c>
      <c r="G66" s="16" t="str">
        <f>VLOOKUP(F66,DISTRICTS!B$2:C$626,2,FALSE)</f>
        <v>CARABANCHEL</v>
      </c>
      <c r="H66" s="16" t="str">
        <f>IFERROR(VLOOKUP(G66,'areas for question 4'!A$2:B$10,2,FALSE),"")</f>
        <v/>
      </c>
      <c r="I66" t="s">
        <v>1446</v>
      </c>
      <c r="J66" t="s">
        <v>1450</v>
      </c>
      <c r="K66" t="s">
        <v>1456</v>
      </c>
      <c r="L66" t="s">
        <v>1462</v>
      </c>
      <c r="M66" s="5" t="s">
        <v>1477</v>
      </c>
      <c r="N66" s="18">
        <v>7</v>
      </c>
    </row>
    <row r="67" spans="1:14" x14ac:dyDescent="0.25">
      <c r="A67" s="5" t="s">
        <v>68</v>
      </c>
      <c r="B67" s="7">
        <v>43482</v>
      </c>
      <c r="C67" s="4">
        <v>0.25</v>
      </c>
      <c r="D67" s="15">
        <f t="shared" ref="D67:D130" si="2">HOUR(C67)</f>
        <v>6</v>
      </c>
      <c r="E67" s="15" t="str">
        <f t="shared" ref="E67:E130" si="3">IF(D67&lt;15,"Before 15","After 15")</f>
        <v>Before 15</v>
      </c>
      <c r="F67" t="s">
        <v>69</v>
      </c>
      <c r="G67" s="16" t="str">
        <f>VLOOKUP(F67,DISTRICTS!B$2:C$626,2,FALSE)</f>
        <v>RETIRO</v>
      </c>
      <c r="H67" s="16" t="str">
        <f>IFERROR(VLOOKUP(G67,'areas for question 4'!A$2:B$10,2,FALSE),"")</f>
        <v/>
      </c>
      <c r="I67" t="s">
        <v>1445</v>
      </c>
      <c r="J67" t="s">
        <v>1450</v>
      </c>
      <c r="K67" t="s">
        <v>1456</v>
      </c>
      <c r="L67" t="s">
        <v>1462</v>
      </c>
      <c r="M67" s="5" t="s">
        <v>1477</v>
      </c>
      <c r="N67" s="18">
        <v>2</v>
      </c>
    </row>
    <row r="68" spans="1:14" x14ac:dyDescent="0.25">
      <c r="A68" t="s">
        <v>187</v>
      </c>
      <c r="B68" s="7">
        <v>43523</v>
      </c>
      <c r="C68" s="4">
        <v>0.82291666666666663</v>
      </c>
      <c r="D68" s="15">
        <f t="shared" si="2"/>
        <v>19</v>
      </c>
      <c r="E68" s="15" t="str">
        <f t="shared" si="3"/>
        <v>After 15</v>
      </c>
      <c r="F68" t="s">
        <v>188</v>
      </c>
      <c r="G68" s="16" t="str">
        <f>VLOOKUP(F68,DISTRICTS!B$2:C$626,2,FALSE)</f>
        <v>LATINA</v>
      </c>
      <c r="H68" s="16" t="str">
        <f>IFERROR(VLOOKUP(G68,'areas for question 4'!A$2:B$10,2,FALSE),"")</f>
        <v/>
      </c>
      <c r="I68" t="s">
        <v>1446</v>
      </c>
      <c r="J68" t="s">
        <v>1450</v>
      </c>
      <c r="K68" t="s">
        <v>1456</v>
      </c>
      <c r="L68" t="s">
        <v>1462</v>
      </c>
      <c r="M68" t="s">
        <v>1478</v>
      </c>
      <c r="N68" s="18">
        <v>7</v>
      </c>
    </row>
    <row r="69" spans="1:14" x14ac:dyDescent="0.25">
      <c r="A69" t="s">
        <v>196</v>
      </c>
      <c r="B69" s="7">
        <v>43524</v>
      </c>
      <c r="C69" s="4">
        <v>0.3125</v>
      </c>
      <c r="D69" s="15">
        <f t="shared" si="2"/>
        <v>7</v>
      </c>
      <c r="E69" s="15" t="str">
        <f t="shared" si="3"/>
        <v>Before 15</v>
      </c>
      <c r="F69" t="s">
        <v>197</v>
      </c>
      <c r="G69" s="16" t="str">
        <f>VLOOKUP(F69,DISTRICTS!B$2:C$626,2,FALSE)</f>
        <v>CHAMARTÍN</v>
      </c>
      <c r="H69" s="16" t="str">
        <f>IFERROR(VLOOKUP(G69,'areas for question 4'!A$2:B$10,2,FALSE),"")</f>
        <v>North</v>
      </c>
      <c r="I69" t="s">
        <v>1444</v>
      </c>
      <c r="J69" t="s">
        <v>1450</v>
      </c>
      <c r="K69" t="s">
        <v>1456</v>
      </c>
      <c r="L69" t="s">
        <v>1462</v>
      </c>
      <c r="M69" t="s">
        <v>1477</v>
      </c>
      <c r="N69" s="18">
        <v>7</v>
      </c>
    </row>
    <row r="70" spans="1:14" x14ac:dyDescent="0.25">
      <c r="A70" t="s">
        <v>198</v>
      </c>
      <c r="B70" s="7">
        <v>43525</v>
      </c>
      <c r="C70" s="4">
        <v>0.86458333333333337</v>
      </c>
      <c r="D70" s="15">
        <f t="shared" si="2"/>
        <v>20</v>
      </c>
      <c r="E70" s="15" t="str">
        <f t="shared" si="3"/>
        <v>After 15</v>
      </c>
      <c r="F70" t="s">
        <v>148</v>
      </c>
      <c r="G70" s="16" t="str">
        <f>VLOOKUP(F70,DISTRICTS!B$2:C$626,2,FALSE)</f>
        <v>CENTRO</v>
      </c>
      <c r="H70" s="16" t="str">
        <f>IFERROR(VLOOKUP(G70,'areas for question 4'!A$2:B$10,2,FALSE),"")</f>
        <v/>
      </c>
      <c r="I70" t="s">
        <v>1446</v>
      </c>
      <c r="J70" t="s">
        <v>1450</v>
      </c>
      <c r="K70" t="s">
        <v>1456</v>
      </c>
      <c r="L70" t="s">
        <v>1462</v>
      </c>
      <c r="M70" t="s">
        <v>1477</v>
      </c>
      <c r="N70" s="18">
        <v>6</v>
      </c>
    </row>
    <row r="71" spans="1:14" x14ac:dyDescent="0.25">
      <c r="A71" t="s">
        <v>214</v>
      </c>
      <c r="B71" s="7">
        <v>43528</v>
      </c>
      <c r="C71" s="4">
        <v>0.67013888888888884</v>
      </c>
      <c r="D71" s="15">
        <f t="shared" si="2"/>
        <v>16</v>
      </c>
      <c r="E71" s="15" t="str">
        <f t="shared" si="3"/>
        <v>After 15</v>
      </c>
      <c r="F71" t="s">
        <v>215</v>
      </c>
      <c r="G71" s="16" t="str">
        <f>VLOOKUP(F71,DISTRICTS!B$2:C$626,2,FALSE)</f>
        <v>MORATALAZ</v>
      </c>
      <c r="H71" s="16" t="str">
        <f>IFERROR(VLOOKUP(G71,'areas for question 4'!A$2:B$10,2,FALSE),"")</f>
        <v>East</v>
      </c>
      <c r="I71" t="s">
        <v>1446</v>
      </c>
      <c r="J71" t="s">
        <v>1450</v>
      </c>
      <c r="K71" t="s">
        <v>1456</v>
      </c>
      <c r="L71" t="s">
        <v>1462</v>
      </c>
      <c r="M71" t="s">
        <v>1478</v>
      </c>
      <c r="N71" s="18">
        <v>7</v>
      </c>
    </row>
    <row r="72" spans="1:14" x14ac:dyDescent="0.25">
      <c r="A72" t="s">
        <v>259</v>
      </c>
      <c r="B72" s="7">
        <v>43539</v>
      </c>
      <c r="C72" s="4">
        <v>0.82291666666666663</v>
      </c>
      <c r="D72" s="15">
        <f t="shared" si="2"/>
        <v>19</v>
      </c>
      <c r="E72" s="15" t="str">
        <f t="shared" si="3"/>
        <v>After 15</v>
      </c>
      <c r="F72" t="s">
        <v>260</v>
      </c>
      <c r="G72" s="16" t="str">
        <f>VLOOKUP(F72,DISTRICTS!B$2:C$626,2,FALSE)</f>
        <v>RETIRO</v>
      </c>
      <c r="H72" s="16" t="str">
        <f>IFERROR(VLOOKUP(G72,'areas for question 4'!A$2:B$10,2,FALSE),"")</f>
        <v/>
      </c>
      <c r="I72" t="s">
        <v>1444</v>
      </c>
      <c r="J72" t="s">
        <v>1450</v>
      </c>
      <c r="K72" t="s">
        <v>1456</v>
      </c>
      <c r="L72" t="s">
        <v>1462</v>
      </c>
      <c r="M72" t="s">
        <v>1477</v>
      </c>
      <c r="N72" s="18">
        <v>2</v>
      </c>
    </row>
    <row r="73" spans="1:14" x14ac:dyDescent="0.25">
      <c r="A73" t="s">
        <v>360</v>
      </c>
      <c r="B73" s="7">
        <v>43562</v>
      </c>
      <c r="C73" s="4">
        <v>0.40833333333333338</v>
      </c>
      <c r="D73" s="15">
        <f t="shared" si="2"/>
        <v>9</v>
      </c>
      <c r="E73" s="15" t="str">
        <f t="shared" si="3"/>
        <v>Before 15</v>
      </c>
      <c r="F73" t="s">
        <v>301</v>
      </c>
      <c r="G73" s="16" t="str">
        <f>VLOOKUP(F73,DISTRICTS!B$2:C$626,2,FALSE)</f>
        <v>CENTRO</v>
      </c>
      <c r="H73" s="16" t="str">
        <f>IFERROR(VLOOKUP(G73,'areas for question 4'!A$2:B$10,2,FALSE),"")</f>
        <v/>
      </c>
      <c r="I73" t="s">
        <v>1445</v>
      </c>
      <c r="J73" t="s">
        <v>1450</v>
      </c>
      <c r="K73" t="s">
        <v>1456</v>
      </c>
      <c r="L73" t="s">
        <v>1462</v>
      </c>
      <c r="M73" t="s">
        <v>1477</v>
      </c>
      <c r="N73" s="18">
        <v>7</v>
      </c>
    </row>
    <row r="74" spans="1:14" x14ac:dyDescent="0.25">
      <c r="A74" t="s">
        <v>393</v>
      </c>
      <c r="B74" s="7">
        <v>43575</v>
      </c>
      <c r="C74" s="4">
        <v>0.875</v>
      </c>
      <c r="D74" s="15">
        <f t="shared" si="2"/>
        <v>21</v>
      </c>
      <c r="E74" s="15" t="str">
        <f t="shared" si="3"/>
        <v>After 15</v>
      </c>
      <c r="F74" t="s">
        <v>394</v>
      </c>
      <c r="G74" s="16" t="str">
        <f>VLOOKUP(F74,DISTRICTS!B$2:C$626,2,FALSE)</f>
        <v>VILLAVERDE</v>
      </c>
      <c r="H74" s="16" t="str">
        <f>IFERROR(VLOOKUP(G74,'areas for question 4'!A$2:B$10,2,FALSE),"")</f>
        <v/>
      </c>
      <c r="I74" t="s">
        <v>1444</v>
      </c>
      <c r="J74" t="s">
        <v>1452</v>
      </c>
      <c r="K74" t="s">
        <v>1456</v>
      </c>
      <c r="L74" t="s">
        <v>1462</v>
      </c>
      <c r="M74" t="s">
        <v>1477</v>
      </c>
      <c r="N74" s="18">
        <v>1</v>
      </c>
    </row>
    <row r="75" spans="1:14" x14ac:dyDescent="0.25">
      <c r="A75" t="s">
        <v>424</v>
      </c>
      <c r="B75" s="7">
        <v>43590</v>
      </c>
      <c r="C75" s="4">
        <v>0.875</v>
      </c>
      <c r="D75" s="15">
        <f t="shared" si="2"/>
        <v>21</v>
      </c>
      <c r="E75" s="15" t="str">
        <f t="shared" si="3"/>
        <v>After 15</v>
      </c>
      <c r="F75" t="s">
        <v>425</v>
      </c>
      <c r="G75" s="16" t="str">
        <f>VLOOKUP(F75,DISTRICTS!B$2:C$626,2,FALSE)</f>
        <v>ARGANZUELA</v>
      </c>
      <c r="H75" s="16" t="str">
        <f>IFERROR(VLOOKUP(G75,'areas for question 4'!A$2:B$10,2,FALSE),"")</f>
        <v/>
      </c>
      <c r="I75" t="s">
        <v>1444</v>
      </c>
      <c r="J75" t="s">
        <v>1450</v>
      </c>
      <c r="K75" t="s">
        <v>1456</v>
      </c>
      <c r="L75" t="s">
        <v>1462</v>
      </c>
      <c r="M75" t="s">
        <v>1477</v>
      </c>
      <c r="N75" s="18">
        <v>1</v>
      </c>
    </row>
    <row r="76" spans="1:14" x14ac:dyDescent="0.25">
      <c r="A76" t="s">
        <v>439</v>
      </c>
      <c r="B76" s="7">
        <v>43595</v>
      </c>
      <c r="C76" s="4">
        <v>0.69097222222222221</v>
      </c>
      <c r="D76" s="15">
        <f t="shared" si="2"/>
        <v>16</v>
      </c>
      <c r="E76" s="15" t="str">
        <f t="shared" si="3"/>
        <v>After 15</v>
      </c>
      <c r="F76" t="s">
        <v>440</v>
      </c>
      <c r="G76" s="16" t="str">
        <f>VLOOKUP(F76,DISTRICTS!B$2:C$626,2,FALSE)</f>
        <v>SAN BLAS-CANILLEJAS</v>
      </c>
      <c r="H76" s="16" t="str">
        <f>IFERROR(VLOOKUP(G76,'areas for question 4'!A$2:B$10,2,FALSE),"")</f>
        <v>East</v>
      </c>
      <c r="I76" t="s">
        <v>1446</v>
      </c>
      <c r="J76" t="s">
        <v>1450</v>
      </c>
      <c r="K76" t="s">
        <v>1456</v>
      </c>
      <c r="L76" t="s">
        <v>1462</v>
      </c>
      <c r="M76" t="s">
        <v>1477</v>
      </c>
      <c r="N76" s="18">
        <v>2</v>
      </c>
    </row>
    <row r="77" spans="1:14" x14ac:dyDescent="0.25">
      <c r="A77" t="s">
        <v>510</v>
      </c>
      <c r="B77" s="7">
        <v>43607</v>
      </c>
      <c r="C77" s="4">
        <v>0.46180555555555558</v>
      </c>
      <c r="D77" s="15">
        <f t="shared" si="2"/>
        <v>11</v>
      </c>
      <c r="E77" s="15" t="str">
        <f t="shared" si="3"/>
        <v>Before 15</v>
      </c>
      <c r="F77" t="s">
        <v>511</v>
      </c>
      <c r="G77" s="16" t="str">
        <f>VLOOKUP(F77,DISTRICTS!B$2:C$626,2,FALSE)</f>
        <v>CARABANCHEL</v>
      </c>
      <c r="H77" s="16" t="str">
        <f>IFERROR(VLOOKUP(G77,'areas for question 4'!A$2:B$10,2,FALSE),"")</f>
        <v/>
      </c>
      <c r="I77" t="s">
        <v>1444</v>
      </c>
      <c r="J77" t="s">
        <v>1450</v>
      </c>
      <c r="K77" t="s">
        <v>1456</v>
      </c>
      <c r="L77" t="s">
        <v>1462</v>
      </c>
      <c r="M77" t="s">
        <v>1478</v>
      </c>
      <c r="N77" s="18">
        <v>1</v>
      </c>
    </row>
    <row r="78" spans="1:14" x14ac:dyDescent="0.25">
      <c r="A78" t="s">
        <v>553</v>
      </c>
      <c r="B78" s="7">
        <v>43617</v>
      </c>
      <c r="C78" s="4">
        <v>0.95833333333333337</v>
      </c>
      <c r="D78" s="15">
        <f t="shared" si="2"/>
        <v>23</v>
      </c>
      <c r="E78" s="15" t="str">
        <f t="shared" si="3"/>
        <v>After 15</v>
      </c>
      <c r="F78" t="s">
        <v>444</v>
      </c>
      <c r="G78" s="16" t="str">
        <f>VLOOKUP(F78,DISTRICTS!B$2:C$626,2,FALSE)</f>
        <v>TETUÁN</v>
      </c>
      <c r="H78" s="16" t="str">
        <f>IFERROR(VLOOKUP(G78,'areas for question 4'!A$2:B$10,2,FALSE),"")</f>
        <v>North</v>
      </c>
      <c r="I78" t="s">
        <v>1444</v>
      </c>
      <c r="J78" t="s">
        <v>1450</v>
      </c>
      <c r="K78" t="s">
        <v>1456</v>
      </c>
      <c r="L78" t="s">
        <v>1462</v>
      </c>
      <c r="M78" t="s">
        <v>1477</v>
      </c>
      <c r="N78" s="18">
        <v>6</v>
      </c>
    </row>
    <row r="79" spans="1:14" x14ac:dyDescent="0.25">
      <c r="A79" t="s">
        <v>562</v>
      </c>
      <c r="B79" s="7">
        <v>43617</v>
      </c>
      <c r="C79" s="4">
        <v>0.12152777777777778</v>
      </c>
      <c r="D79" s="15">
        <f t="shared" si="2"/>
        <v>2</v>
      </c>
      <c r="E79" s="15" t="str">
        <f t="shared" si="3"/>
        <v>Before 15</v>
      </c>
      <c r="F79" t="s">
        <v>563</v>
      </c>
      <c r="G79" s="16" t="str">
        <f>VLOOKUP(F79,DISTRICTS!B$2:C$626,2,FALSE)</f>
        <v>TETUÁN</v>
      </c>
      <c r="H79" s="16" t="str">
        <f>IFERROR(VLOOKUP(G79,'areas for question 4'!A$2:B$10,2,FALSE),"")</f>
        <v>North</v>
      </c>
      <c r="I79" t="s">
        <v>1446</v>
      </c>
      <c r="J79" t="s">
        <v>1450</v>
      </c>
      <c r="K79" t="s">
        <v>1456</v>
      </c>
      <c r="L79" t="s">
        <v>1462</v>
      </c>
      <c r="M79" t="s">
        <v>1477</v>
      </c>
      <c r="N79" s="18" t="s">
        <v>34</v>
      </c>
    </row>
    <row r="80" spans="1:14" x14ac:dyDescent="0.25">
      <c r="A80" t="s">
        <v>586</v>
      </c>
      <c r="B80" s="7">
        <v>43623</v>
      </c>
      <c r="C80" s="4">
        <v>0.83680555555555547</v>
      </c>
      <c r="D80" s="15">
        <f t="shared" si="2"/>
        <v>20</v>
      </c>
      <c r="E80" s="15" t="str">
        <f t="shared" si="3"/>
        <v>After 15</v>
      </c>
      <c r="F80" t="s">
        <v>587</v>
      </c>
      <c r="G80" s="16" t="str">
        <f>VLOOKUP(F80,DISTRICTS!B$2:C$626,2,FALSE)</f>
        <v>PUENTE DE VALLECAS</v>
      </c>
      <c r="H80" s="16" t="str">
        <f>IFERROR(VLOOKUP(G80,'areas for question 4'!A$2:B$10,2,FALSE),"")</f>
        <v/>
      </c>
      <c r="I80" t="s">
        <v>1444</v>
      </c>
      <c r="J80" t="s">
        <v>1450</v>
      </c>
      <c r="K80" t="s">
        <v>1456</v>
      </c>
      <c r="L80" t="s">
        <v>1462</v>
      </c>
      <c r="M80" t="s">
        <v>1477</v>
      </c>
      <c r="N80" s="18">
        <v>3</v>
      </c>
    </row>
    <row r="81" spans="1:14" x14ac:dyDescent="0.25">
      <c r="A81" t="s">
        <v>609</v>
      </c>
      <c r="B81" s="7">
        <v>43627</v>
      </c>
      <c r="C81" s="4">
        <v>0.81805555555555554</v>
      </c>
      <c r="D81" s="15">
        <f t="shared" si="2"/>
        <v>19</v>
      </c>
      <c r="E81" s="15" t="str">
        <f t="shared" si="3"/>
        <v>After 15</v>
      </c>
      <c r="F81" t="s">
        <v>610</v>
      </c>
      <c r="G81" s="16" t="str">
        <f>VLOOKUP(F81,DISTRICTS!B$2:C$626,2,FALSE)</f>
        <v>ARGANZUELA</v>
      </c>
      <c r="H81" s="16" t="str">
        <f>IFERROR(VLOOKUP(G81,'areas for question 4'!A$2:B$10,2,FALSE),"")</f>
        <v/>
      </c>
      <c r="I81" t="s">
        <v>1446</v>
      </c>
      <c r="J81" t="s">
        <v>1450</v>
      </c>
      <c r="K81" t="s">
        <v>1456</v>
      </c>
      <c r="L81" t="s">
        <v>1462</v>
      </c>
      <c r="M81" t="s">
        <v>1477</v>
      </c>
      <c r="N81" s="18">
        <v>1</v>
      </c>
    </row>
    <row r="82" spans="1:14" x14ac:dyDescent="0.25">
      <c r="A82" t="s">
        <v>622</v>
      </c>
      <c r="B82" s="7">
        <v>43629</v>
      </c>
      <c r="C82" s="4">
        <v>0.85972222222222217</v>
      </c>
      <c r="D82" s="15">
        <f t="shared" si="2"/>
        <v>20</v>
      </c>
      <c r="E82" s="15" t="str">
        <f t="shared" si="3"/>
        <v>After 15</v>
      </c>
      <c r="F82" t="s">
        <v>623</v>
      </c>
      <c r="G82" s="16" t="str">
        <f>VLOOKUP(F82,DISTRICTS!B$2:C$626,2,FALSE)</f>
        <v>FUENCARRAL-EL PARDO</v>
      </c>
      <c r="H82" s="16" t="str">
        <f>IFERROR(VLOOKUP(G82,'areas for question 4'!A$2:B$10,2,FALSE),"")</f>
        <v>North</v>
      </c>
      <c r="I82" t="s">
        <v>1444</v>
      </c>
      <c r="J82" t="s">
        <v>1450</v>
      </c>
      <c r="K82" t="s">
        <v>1456</v>
      </c>
      <c r="L82" t="s">
        <v>1462</v>
      </c>
      <c r="M82" t="s">
        <v>1477</v>
      </c>
      <c r="N82" s="18">
        <v>2</v>
      </c>
    </row>
    <row r="83" spans="1:14" x14ac:dyDescent="0.25">
      <c r="A83" t="s">
        <v>624</v>
      </c>
      <c r="B83" s="7">
        <v>43629</v>
      </c>
      <c r="C83" s="4">
        <v>0.85763888888888884</v>
      </c>
      <c r="D83" s="15">
        <f t="shared" si="2"/>
        <v>20</v>
      </c>
      <c r="E83" s="15" t="str">
        <f t="shared" si="3"/>
        <v>After 15</v>
      </c>
      <c r="F83" t="s">
        <v>625</v>
      </c>
      <c r="G83" s="16" t="str">
        <f>VLOOKUP(F83,DISTRICTS!B$2:C$626,2,FALSE)</f>
        <v>FUENCARRAL-EL PARDO</v>
      </c>
      <c r="H83" s="16" t="str">
        <f>IFERROR(VLOOKUP(G83,'areas for question 4'!A$2:B$10,2,FALSE),"")</f>
        <v>North</v>
      </c>
      <c r="I83" t="s">
        <v>1445</v>
      </c>
      <c r="J83" t="s">
        <v>1450</v>
      </c>
      <c r="K83" t="s">
        <v>1456</v>
      </c>
      <c r="L83" t="s">
        <v>1462</v>
      </c>
      <c r="M83" t="s">
        <v>1477</v>
      </c>
      <c r="N83" s="18">
        <v>2</v>
      </c>
    </row>
    <row r="84" spans="1:14" x14ac:dyDescent="0.25">
      <c r="A84" t="s">
        <v>638</v>
      </c>
      <c r="B84" s="7">
        <v>43630</v>
      </c>
      <c r="C84" s="4">
        <v>1.0416666666666666E-2</v>
      </c>
      <c r="D84" s="15">
        <f t="shared" si="2"/>
        <v>0</v>
      </c>
      <c r="E84" s="15" t="str">
        <f t="shared" si="3"/>
        <v>Before 15</v>
      </c>
      <c r="F84" t="s">
        <v>639</v>
      </c>
      <c r="G84" s="16" t="str">
        <f>VLOOKUP(F84,DISTRICTS!B$2:C$626,2,FALSE)</f>
        <v>CENTRO</v>
      </c>
      <c r="H84" s="16" t="str">
        <f>IFERROR(VLOOKUP(G84,'areas for question 4'!A$2:B$10,2,FALSE),"")</f>
        <v/>
      </c>
      <c r="I84" t="s">
        <v>1447</v>
      </c>
      <c r="J84" t="s">
        <v>1450</v>
      </c>
      <c r="K84" t="s">
        <v>1456</v>
      </c>
      <c r="L84" t="s">
        <v>1462</v>
      </c>
      <c r="M84" t="s">
        <v>1477</v>
      </c>
      <c r="N84" s="18">
        <v>1</v>
      </c>
    </row>
    <row r="85" spans="1:14" x14ac:dyDescent="0.25">
      <c r="A85" t="s">
        <v>703</v>
      </c>
      <c r="B85" s="7">
        <v>43645</v>
      </c>
      <c r="C85" s="4">
        <v>0.69791666666666663</v>
      </c>
      <c r="D85" s="15">
        <f t="shared" si="2"/>
        <v>16</v>
      </c>
      <c r="E85" s="15" t="str">
        <f t="shared" si="3"/>
        <v>After 15</v>
      </c>
      <c r="F85" t="s">
        <v>180</v>
      </c>
      <c r="G85" s="16" t="str">
        <f>VLOOKUP(F85,DISTRICTS!B$2:C$626,2,FALSE)</f>
        <v>CARABANCHEL</v>
      </c>
      <c r="H85" s="16" t="str">
        <f>IFERROR(VLOOKUP(G85,'areas for question 4'!A$2:B$10,2,FALSE),"")</f>
        <v/>
      </c>
      <c r="I85" t="s">
        <v>1443</v>
      </c>
      <c r="J85" t="s">
        <v>1450</v>
      </c>
      <c r="K85" t="s">
        <v>1456</v>
      </c>
      <c r="L85" t="s">
        <v>1462</v>
      </c>
      <c r="M85" t="s">
        <v>1477</v>
      </c>
      <c r="N85" s="18">
        <v>14</v>
      </c>
    </row>
    <row r="86" spans="1:14" x14ac:dyDescent="0.25">
      <c r="A86" t="s">
        <v>723</v>
      </c>
      <c r="B86" s="7">
        <v>43648</v>
      </c>
      <c r="C86" s="4">
        <v>0.3888888888888889</v>
      </c>
      <c r="D86" s="15">
        <f t="shared" si="2"/>
        <v>9</v>
      </c>
      <c r="E86" s="15" t="str">
        <f t="shared" si="3"/>
        <v>Before 15</v>
      </c>
      <c r="F86" t="s">
        <v>724</v>
      </c>
      <c r="G86" s="16" t="str">
        <f>VLOOKUP(F86,DISTRICTS!B$2:C$626,2,FALSE)</f>
        <v>MONCLOA-ARAVACA</v>
      </c>
      <c r="H86" s="16" t="str">
        <f>IFERROR(VLOOKUP(G86,'areas for question 4'!A$2:B$10,2,FALSE),"")</f>
        <v/>
      </c>
      <c r="I86" t="s">
        <v>1443</v>
      </c>
      <c r="J86" t="s">
        <v>1450</v>
      </c>
      <c r="K86" t="s">
        <v>1458</v>
      </c>
      <c r="L86" t="s">
        <v>1462</v>
      </c>
      <c r="M86" t="s">
        <v>1477</v>
      </c>
      <c r="N86" s="18">
        <v>14</v>
      </c>
    </row>
    <row r="87" spans="1:14" x14ac:dyDescent="0.25">
      <c r="A87" t="s">
        <v>731</v>
      </c>
      <c r="B87" s="7">
        <v>43650</v>
      </c>
      <c r="C87" s="4">
        <v>0.86458333333333337</v>
      </c>
      <c r="D87" s="15">
        <f t="shared" si="2"/>
        <v>20</v>
      </c>
      <c r="E87" s="15" t="str">
        <f t="shared" si="3"/>
        <v>After 15</v>
      </c>
      <c r="F87" t="s">
        <v>732</v>
      </c>
      <c r="G87" s="16" t="str">
        <f>VLOOKUP(F87,DISTRICTS!B$2:C$626,2,FALSE)</f>
        <v>SALAMANCA</v>
      </c>
      <c r="H87" s="16" t="str">
        <f>IFERROR(VLOOKUP(G87,'areas for question 4'!A$2:B$10,2,FALSE),"")</f>
        <v/>
      </c>
      <c r="I87" t="s">
        <v>1446</v>
      </c>
      <c r="J87" t="s">
        <v>1450</v>
      </c>
      <c r="K87" t="s">
        <v>1456</v>
      </c>
      <c r="L87" t="s">
        <v>1462</v>
      </c>
      <c r="M87" t="s">
        <v>1477</v>
      </c>
      <c r="N87" s="18">
        <v>6</v>
      </c>
    </row>
    <row r="88" spans="1:14" x14ac:dyDescent="0.25">
      <c r="A88" t="s">
        <v>753</v>
      </c>
      <c r="B88" s="7">
        <v>43653</v>
      </c>
      <c r="C88" s="4">
        <v>0.8125</v>
      </c>
      <c r="D88" s="15">
        <f t="shared" si="2"/>
        <v>19</v>
      </c>
      <c r="E88" s="15" t="str">
        <f t="shared" si="3"/>
        <v>After 15</v>
      </c>
      <c r="F88" t="s">
        <v>754</v>
      </c>
      <c r="G88" s="16" t="str">
        <f>VLOOKUP(F88,DISTRICTS!B$2:C$626,2,FALSE)</f>
        <v>RETIRO</v>
      </c>
      <c r="H88" s="16" t="str">
        <f>IFERROR(VLOOKUP(G88,'areas for question 4'!A$2:B$10,2,FALSE),"")</f>
        <v/>
      </c>
      <c r="I88" t="s">
        <v>1445</v>
      </c>
      <c r="J88" t="s">
        <v>1450</v>
      </c>
      <c r="K88" t="s">
        <v>1456</v>
      </c>
      <c r="L88" t="s">
        <v>1462</v>
      </c>
      <c r="M88" t="s">
        <v>1477</v>
      </c>
      <c r="N88" s="18">
        <v>2</v>
      </c>
    </row>
    <row r="89" spans="1:14" x14ac:dyDescent="0.25">
      <c r="A89" t="s">
        <v>771</v>
      </c>
      <c r="B89" s="7">
        <v>43658</v>
      </c>
      <c r="C89" s="4">
        <v>0.57291666666666663</v>
      </c>
      <c r="D89" s="15">
        <f t="shared" si="2"/>
        <v>13</v>
      </c>
      <c r="E89" s="15" t="str">
        <f t="shared" si="3"/>
        <v>Before 15</v>
      </c>
      <c r="F89" t="s">
        <v>772</v>
      </c>
      <c r="G89" s="16" t="str">
        <f>VLOOKUP(F89,DISTRICTS!B$2:C$626,2,FALSE)</f>
        <v>VILLAVERDE</v>
      </c>
      <c r="H89" s="16" t="str">
        <f>IFERROR(VLOOKUP(G89,'areas for question 4'!A$2:B$10,2,FALSE),"")</f>
        <v/>
      </c>
      <c r="I89" t="s">
        <v>1446</v>
      </c>
      <c r="J89" t="s">
        <v>1450</v>
      </c>
      <c r="K89" t="s">
        <v>1456</v>
      </c>
      <c r="L89" t="s">
        <v>1462</v>
      </c>
      <c r="M89" t="s">
        <v>1477</v>
      </c>
      <c r="N89" s="18">
        <v>5</v>
      </c>
    </row>
    <row r="90" spans="1:14" x14ac:dyDescent="0.25">
      <c r="A90" t="s">
        <v>829</v>
      </c>
      <c r="B90" s="7">
        <v>43672</v>
      </c>
      <c r="C90" s="4">
        <v>0.90625</v>
      </c>
      <c r="D90" s="15">
        <f t="shared" si="2"/>
        <v>21</v>
      </c>
      <c r="E90" s="15" t="str">
        <f t="shared" si="3"/>
        <v>After 15</v>
      </c>
      <c r="F90" t="s">
        <v>830</v>
      </c>
      <c r="G90" s="16" t="str">
        <f>VLOOKUP(F90,DISTRICTS!B$2:C$626,2,FALSE)</f>
        <v>TETUÁN</v>
      </c>
      <c r="H90" s="16" t="str">
        <f>IFERROR(VLOOKUP(G90,'areas for question 4'!A$2:B$10,2,FALSE),"")</f>
        <v>North</v>
      </c>
      <c r="I90" t="s">
        <v>1446</v>
      </c>
      <c r="J90" t="s">
        <v>1450</v>
      </c>
      <c r="K90" t="s">
        <v>1456</v>
      </c>
      <c r="L90" t="s">
        <v>1462</v>
      </c>
      <c r="M90" t="s">
        <v>1477</v>
      </c>
      <c r="N90" s="18">
        <v>2</v>
      </c>
    </row>
    <row r="91" spans="1:14" x14ac:dyDescent="0.25">
      <c r="A91" t="s">
        <v>863</v>
      </c>
      <c r="B91" s="7">
        <v>43682</v>
      </c>
      <c r="C91" s="4">
        <v>0.84375</v>
      </c>
      <c r="D91" s="15">
        <f t="shared" si="2"/>
        <v>20</v>
      </c>
      <c r="E91" s="15" t="str">
        <f t="shared" si="3"/>
        <v>After 15</v>
      </c>
      <c r="F91" t="s">
        <v>864</v>
      </c>
      <c r="G91" s="16" t="str">
        <f>VLOOKUP(F91,DISTRICTS!B$2:C$626,2,FALSE)</f>
        <v>LATINA</v>
      </c>
      <c r="H91" s="16" t="str">
        <f>IFERROR(VLOOKUP(G91,'areas for question 4'!A$2:B$10,2,FALSE),"")</f>
        <v/>
      </c>
      <c r="I91" t="s">
        <v>1446</v>
      </c>
      <c r="J91" t="s">
        <v>1450</v>
      </c>
      <c r="K91" t="s">
        <v>1456</v>
      </c>
      <c r="L91" t="s">
        <v>1462</v>
      </c>
      <c r="M91" t="s">
        <v>1477</v>
      </c>
      <c r="N91" s="18">
        <v>2</v>
      </c>
    </row>
    <row r="92" spans="1:14" x14ac:dyDescent="0.25">
      <c r="A92" t="s">
        <v>874</v>
      </c>
      <c r="B92" s="7">
        <v>43684</v>
      </c>
      <c r="C92" s="4">
        <v>0.14583333333333334</v>
      </c>
      <c r="D92" s="15">
        <f t="shared" si="2"/>
        <v>3</v>
      </c>
      <c r="E92" s="15" t="str">
        <f t="shared" si="3"/>
        <v>Before 15</v>
      </c>
      <c r="F92" t="s">
        <v>875</v>
      </c>
      <c r="G92" s="16" t="str">
        <f>VLOOKUP(F92,DISTRICTS!B$2:C$626,2,FALSE)</f>
        <v>CARABANCHEL</v>
      </c>
      <c r="H92" s="16" t="str">
        <f>IFERROR(VLOOKUP(G92,'areas for question 4'!A$2:B$10,2,FALSE),"")</f>
        <v/>
      </c>
      <c r="I92" t="s">
        <v>1444</v>
      </c>
      <c r="J92" t="s">
        <v>1450</v>
      </c>
      <c r="K92" t="s">
        <v>1456</v>
      </c>
      <c r="L92" t="s">
        <v>1462</v>
      </c>
      <c r="M92" t="s">
        <v>1477</v>
      </c>
      <c r="N92" s="18">
        <v>1</v>
      </c>
    </row>
    <row r="93" spans="1:14" x14ac:dyDescent="0.25">
      <c r="A93" t="s">
        <v>911</v>
      </c>
      <c r="B93" s="7">
        <v>43700</v>
      </c>
      <c r="C93" s="4">
        <v>0.5625</v>
      </c>
      <c r="D93" s="15">
        <f t="shared" si="2"/>
        <v>13</v>
      </c>
      <c r="E93" s="15" t="str">
        <f t="shared" si="3"/>
        <v>Before 15</v>
      </c>
      <c r="F93" t="s">
        <v>912</v>
      </c>
      <c r="G93" s="16" t="str">
        <f>VLOOKUP(F93,DISTRICTS!B$2:C$626,2,FALSE)</f>
        <v>CARABANCHEL</v>
      </c>
      <c r="H93" s="16" t="str">
        <f>IFERROR(VLOOKUP(G93,'areas for question 4'!A$2:B$10,2,FALSE),"")</f>
        <v/>
      </c>
      <c r="I93" t="s">
        <v>1446</v>
      </c>
      <c r="J93" t="s">
        <v>1450</v>
      </c>
      <c r="K93" t="s">
        <v>1456</v>
      </c>
      <c r="L93" t="s">
        <v>1462</v>
      </c>
      <c r="M93" t="s">
        <v>1477</v>
      </c>
      <c r="N93" s="18">
        <v>2</v>
      </c>
    </row>
    <row r="94" spans="1:14" x14ac:dyDescent="0.25">
      <c r="A94" t="s">
        <v>937</v>
      </c>
      <c r="B94" s="7">
        <v>43708</v>
      </c>
      <c r="C94" s="4">
        <v>0.90972222222222221</v>
      </c>
      <c r="D94" s="15">
        <f t="shared" si="2"/>
        <v>21</v>
      </c>
      <c r="E94" s="15" t="str">
        <f t="shared" si="3"/>
        <v>After 15</v>
      </c>
      <c r="F94" t="s">
        <v>938</v>
      </c>
      <c r="G94" s="16" t="str">
        <f>VLOOKUP(F94,DISTRICTS!B$2:C$626,2,FALSE)</f>
        <v>FUENCARRAL-EL PARDO</v>
      </c>
      <c r="H94" s="16" t="str">
        <f>IFERROR(VLOOKUP(G94,'areas for question 4'!A$2:B$10,2,FALSE),"")</f>
        <v>North</v>
      </c>
      <c r="I94" t="s">
        <v>1446</v>
      </c>
      <c r="J94" t="s">
        <v>1450</v>
      </c>
      <c r="K94" t="s">
        <v>1456</v>
      </c>
      <c r="L94" t="s">
        <v>1462</v>
      </c>
      <c r="M94" t="s">
        <v>1477</v>
      </c>
      <c r="N94" s="18">
        <v>7</v>
      </c>
    </row>
    <row r="95" spans="1:14" x14ac:dyDescent="0.25">
      <c r="A95" t="s">
        <v>965</v>
      </c>
      <c r="B95" s="7">
        <v>43713</v>
      </c>
      <c r="C95" s="4">
        <v>0.88541666666666663</v>
      </c>
      <c r="D95" s="15">
        <f t="shared" si="2"/>
        <v>21</v>
      </c>
      <c r="E95" s="15" t="str">
        <f t="shared" si="3"/>
        <v>After 15</v>
      </c>
      <c r="F95" t="s">
        <v>966</v>
      </c>
      <c r="G95" s="16" t="str">
        <f>VLOOKUP(F95,DISTRICTS!B$2:C$626,2,FALSE)</f>
        <v>MORATALAZ</v>
      </c>
      <c r="H95" s="16" t="str">
        <f>IFERROR(VLOOKUP(G95,'areas for question 4'!A$2:B$10,2,FALSE),"")</f>
        <v>East</v>
      </c>
      <c r="I95" t="s">
        <v>1443</v>
      </c>
      <c r="J95" t="s">
        <v>1450</v>
      </c>
      <c r="K95" t="s">
        <v>1458</v>
      </c>
      <c r="L95" t="s">
        <v>1462</v>
      </c>
      <c r="M95" t="s">
        <v>1477</v>
      </c>
      <c r="N95" s="18">
        <v>14</v>
      </c>
    </row>
    <row r="96" spans="1:14" x14ac:dyDescent="0.25">
      <c r="A96" t="s">
        <v>981</v>
      </c>
      <c r="B96" s="7">
        <v>43717</v>
      </c>
      <c r="C96" s="4">
        <v>0.77430555555555547</v>
      </c>
      <c r="D96" s="15">
        <f t="shared" si="2"/>
        <v>18</v>
      </c>
      <c r="E96" s="15" t="str">
        <f t="shared" si="3"/>
        <v>After 15</v>
      </c>
      <c r="F96" t="s">
        <v>982</v>
      </c>
      <c r="G96" s="16" t="str">
        <f>VLOOKUP(F96,DISTRICTS!B$2:C$626,2,FALSE)</f>
        <v>CENTRO</v>
      </c>
      <c r="H96" s="16" t="str">
        <f>IFERROR(VLOOKUP(G96,'areas for question 4'!A$2:B$10,2,FALSE),"")</f>
        <v/>
      </c>
      <c r="I96" t="s">
        <v>1443</v>
      </c>
      <c r="J96" t="s">
        <v>1450</v>
      </c>
      <c r="K96" t="s">
        <v>1456</v>
      </c>
      <c r="L96" t="s">
        <v>1462</v>
      </c>
      <c r="M96" t="s">
        <v>1478</v>
      </c>
      <c r="N96" s="18">
        <v>14</v>
      </c>
    </row>
    <row r="97" spans="1:14" x14ac:dyDescent="0.25">
      <c r="A97" t="s">
        <v>983</v>
      </c>
      <c r="B97" s="7">
        <v>43717</v>
      </c>
      <c r="C97" s="4">
        <v>0.55555555555555558</v>
      </c>
      <c r="D97" s="15">
        <f t="shared" si="2"/>
        <v>13</v>
      </c>
      <c r="E97" s="15" t="str">
        <f t="shared" si="3"/>
        <v>Before 15</v>
      </c>
      <c r="F97" t="s">
        <v>349</v>
      </c>
      <c r="G97" s="16" t="str">
        <f>VLOOKUP(F97,DISTRICTS!B$2:C$626,2,FALSE)</f>
        <v>PUENTE DE VALLECAS</v>
      </c>
      <c r="H97" s="16" t="str">
        <f>IFERROR(VLOOKUP(G97,'areas for question 4'!A$2:B$10,2,FALSE),"")</f>
        <v/>
      </c>
      <c r="I97" t="s">
        <v>1449</v>
      </c>
      <c r="J97" t="s">
        <v>1450</v>
      </c>
      <c r="K97" t="s">
        <v>1456</v>
      </c>
      <c r="L97" t="s">
        <v>1462</v>
      </c>
      <c r="M97" t="s">
        <v>1477</v>
      </c>
      <c r="N97" s="18">
        <v>6</v>
      </c>
    </row>
    <row r="98" spans="1:14" x14ac:dyDescent="0.25">
      <c r="A98" t="s">
        <v>1052</v>
      </c>
      <c r="B98" s="7">
        <v>43731</v>
      </c>
      <c r="C98" s="4">
        <v>0.90208333333333324</v>
      </c>
      <c r="D98" s="15">
        <f t="shared" si="2"/>
        <v>21</v>
      </c>
      <c r="E98" s="15" t="str">
        <f t="shared" si="3"/>
        <v>After 15</v>
      </c>
      <c r="F98" t="s">
        <v>1053</v>
      </c>
      <c r="G98" s="16" t="str">
        <f>VLOOKUP(F98,DISTRICTS!B$2:C$626,2,FALSE)</f>
        <v>MONCLOA-ARAVACA</v>
      </c>
      <c r="H98" s="16" t="str">
        <f>IFERROR(VLOOKUP(G98,'areas for question 4'!A$2:B$10,2,FALSE),"")</f>
        <v/>
      </c>
      <c r="I98" t="s">
        <v>1444</v>
      </c>
      <c r="J98" t="s">
        <v>1450</v>
      </c>
      <c r="K98" t="s">
        <v>1458</v>
      </c>
      <c r="L98" t="s">
        <v>1462</v>
      </c>
      <c r="M98" t="s">
        <v>1478</v>
      </c>
      <c r="N98" s="18">
        <v>14</v>
      </c>
    </row>
    <row r="99" spans="1:14" x14ac:dyDescent="0.25">
      <c r="A99" t="s">
        <v>1120</v>
      </c>
      <c r="B99" s="7">
        <v>43740</v>
      </c>
      <c r="C99" s="4">
        <v>0.80763888888888891</v>
      </c>
      <c r="D99" s="15">
        <f t="shared" si="2"/>
        <v>19</v>
      </c>
      <c r="E99" s="15" t="str">
        <f t="shared" si="3"/>
        <v>After 15</v>
      </c>
      <c r="F99" t="s">
        <v>1121</v>
      </c>
      <c r="G99" s="16" t="str">
        <f>VLOOKUP(F99,DISTRICTS!B$2:C$626,2,FALSE)</f>
        <v>SALAMANCA</v>
      </c>
      <c r="H99" s="16" t="str">
        <f>IFERROR(VLOOKUP(G99,'areas for question 4'!A$2:B$10,2,FALSE),"")</f>
        <v/>
      </c>
      <c r="I99" t="s">
        <v>1447</v>
      </c>
      <c r="J99" t="s">
        <v>1450</v>
      </c>
      <c r="K99" t="s">
        <v>1456</v>
      </c>
      <c r="L99" t="s">
        <v>1462</v>
      </c>
      <c r="M99" t="s">
        <v>1477</v>
      </c>
      <c r="N99" s="18">
        <v>14</v>
      </c>
    </row>
    <row r="100" spans="1:14" x14ac:dyDescent="0.25">
      <c r="A100" t="s">
        <v>1124</v>
      </c>
      <c r="B100" s="7">
        <v>43740</v>
      </c>
      <c r="C100" s="4">
        <v>0.61458333333333337</v>
      </c>
      <c r="D100" s="15">
        <f t="shared" si="2"/>
        <v>14</v>
      </c>
      <c r="E100" s="15" t="str">
        <f t="shared" si="3"/>
        <v>Before 15</v>
      </c>
      <c r="F100" t="s">
        <v>1125</v>
      </c>
      <c r="G100" s="16" t="str">
        <f>VLOOKUP(F100,DISTRICTS!B$2:C$626,2,FALSE)</f>
        <v>TETUÁN</v>
      </c>
      <c r="H100" s="16" t="str">
        <f>IFERROR(VLOOKUP(G100,'areas for question 4'!A$2:B$10,2,FALSE),"")</f>
        <v>North</v>
      </c>
      <c r="I100" t="s">
        <v>1443</v>
      </c>
      <c r="J100" t="s">
        <v>1450</v>
      </c>
      <c r="K100" t="s">
        <v>1456</v>
      </c>
      <c r="L100" t="s">
        <v>1462</v>
      </c>
      <c r="M100" t="s">
        <v>1477</v>
      </c>
      <c r="N100" s="18">
        <v>6</v>
      </c>
    </row>
    <row r="101" spans="1:14" x14ac:dyDescent="0.25">
      <c r="A101" t="s">
        <v>1130</v>
      </c>
      <c r="B101" s="7">
        <v>43741</v>
      </c>
      <c r="C101" s="4">
        <v>0.88194444444444453</v>
      </c>
      <c r="D101" s="15">
        <f t="shared" si="2"/>
        <v>21</v>
      </c>
      <c r="E101" s="15" t="str">
        <f t="shared" si="3"/>
        <v>After 15</v>
      </c>
      <c r="F101" t="s">
        <v>1131</v>
      </c>
      <c r="G101" s="16" t="str">
        <f>VLOOKUP(F101,DISTRICTS!B$2:C$626,2,FALSE)</f>
        <v>CENTRO</v>
      </c>
      <c r="H101" s="16" t="str">
        <f>IFERROR(VLOOKUP(G101,'areas for question 4'!A$2:B$10,2,FALSE),"")</f>
        <v/>
      </c>
      <c r="I101" t="s">
        <v>1444</v>
      </c>
      <c r="J101" t="s">
        <v>1450</v>
      </c>
      <c r="K101" t="s">
        <v>1456</v>
      </c>
      <c r="L101" t="s">
        <v>1462</v>
      </c>
      <c r="M101" t="s">
        <v>1477</v>
      </c>
      <c r="N101" s="18" t="s">
        <v>34</v>
      </c>
    </row>
    <row r="102" spans="1:14" x14ac:dyDescent="0.25">
      <c r="A102" t="s">
        <v>1194</v>
      </c>
      <c r="B102" s="7">
        <v>43753</v>
      </c>
      <c r="C102" s="4">
        <v>0.69444444444444453</v>
      </c>
      <c r="D102" s="15">
        <f t="shared" si="2"/>
        <v>16</v>
      </c>
      <c r="E102" s="15" t="str">
        <f t="shared" si="3"/>
        <v>After 15</v>
      </c>
      <c r="F102" t="s">
        <v>1195</v>
      </c>
      <c r="G102" s="16" t="str">
        <f>VLOOKUP(F102,DISTRICTS!B$2:C$626,2,FALSE)</f>
        <v>CIUDAD LINEAL</v>
      </c>
      <c r="H102" s="16" t="str">
        <f>IFERROR(VLOOKUP(G102,'areas for question 4'!A$2:B$10,2,FALSE),"")</f>
        <v>East</v>
      </c>
      <c r="I102" t="s">
        <v>1444</v>
      </c>
      <c r="J102" t="s">
        <v>1450</v>
      </c>
      <c r="K102" t="s">
        <v>1456</v>
      </c>
      <c r="L102" t="s">
        <v>1462</v>
      </c>
      <c r="M102" t="s">
        <v>1477</v>
      </c>
      <c r="N102" s="18">
        <v>7</v>
      </c>
    </row>
    <row r="103" spans="1:14" x14ac:dyDescent="0.25">
      <c r="A103" t="s">
        <v>1202</v>
      </c>
      <c r="B103" s="7">
        <v>43755</v>
      </c>
      <c r="C103" s="4">
        <v>0.94791666666666663</v>
      </c>
      <c r="D103" s="15">
        <f t="shared" si="2"/>
        <v>22</v>
      </c>
      <c r="E103" s="15" t="str">
        <f t="shared" si="3"/>
        <v>After 15</v>
      </c>
      <c r="F103" t="s">
        <v>32</v>
      </c>
      <c r="G103" s="16" t="str">
        <f>VLOOKUP(F103,DISTRICTS!B$2:C$626,2,FALSE)</f>
        <v>CENTRO</v>
      </c>
      <c r="H103" s="16" t="str">
        <f>IFERROR(VLOOKUP(G103,'areas for question 4'!A$2:B$10,2,FALSE),"")</f>
        <v/>
      </c>
      <c r="I103" t="s">
        <v>1441</v>
      </c>
      <c r="J103" t="s">
        <v>1450</v>
      </c>
      <c r="K103" t="s">
        <v>1456</v>
      </c>
      <c r="L103" t="s">
        <v>1462</v>
      </c>
      <c r="M103" t="s">
        <v>1478</v>
      </c>
      <c r="N103" s="18">
        <v>14</v>
      </c>
    </row>
    <row r="104" spans="1:14" x14ac:dyDescent="0.25">
      <c r="A104" t="s">
        <v>1213</v>
      </c>
      <c r="B104" s="7">
        <v>43758</v>
      </c>
      <c r="C104" s="4">
        <v>0.59166666666666667</v>
      </c>
      <c r="D104" s="15">
        <f t="shared" si="2"/>
        <v>14</v>
      </c>
      <c r="E104" s="15" t="str">
        <f t="shared" si="3"/>
        <v>Before 15</v>
      </c>
      <c r="F104" t="s">
        <v>1214</v>
      </c>
      <c r="G104" s="16" t="e">
        <f>VLOOKUP(F104,DISTRICTS!B$2:C$626,2,FALSE)</f>
        <v>#N/A</v>
      </c>
      <c r="H104" s="16" t="str">
        <f>IFERROR(VLOOKUP(G104,'areas for question 4'!A$2:B$10,2,FALSE),"")</f>
        <v/>
      </c>
      <c r="I104" t="s">
        <v>1446</v>
      </c>
      <c r="J104" t="s">
        <v>1454</v>
      </c>
      <c r="K104" t="s">
        <v>1456</v>
      </c>
      <c r="L104" t="s">
        <v>1462</v>
      </c>
      <c r="M104" t="s">
        <v>1477</v>
      </c>
      <c r="N104" s="18">
        <v>7</v>
      </c>
    </row>
    <row r="105" spans="1:14" x14ac:dyDescent="0.25">
      <c r="A105" t="s">
        <v>1220</v>
      </c>
      <c r="B105" s="7">
        <v>43759</v>
      </c>
      <c r="C105" s="4">
        <v>0.64236111111111105</v>
      </c>
      <c r="D105" s="15">
        <f t="shared" si="2"/>
        <v>15</v>
      </c>
      <c r="E105" s="15" t="str">
        <f t="shared" si="3"/>
        <v>After 15</v>
      </c>
      <c r="F105" t="s">
        <v>1221</v>
      </c>
      <c r="G105" s="16" t="str">
        <f>VLOOKUP(F105,DISTRICTS!B$2:C$626,2,FALSE)</f>
        <v>RETIRO</v>
      </c>
      <c r="H105" s="16" t="str">
        <f>IFERROR(VLOOKUP(G105,'areas for question 4'!A$2:B$10,2,FALSE),"")</f>
        <v/>
      </c>
      <c r="I105" t="s">
        <v>1443</v>
      </c>
      <c r="J105" t="s">
        <v>1450</v>
      </c>
      <c r="K105" t="s">
        <v>1456</v>
      </c>
      <c r="L105" t="s">
        <v>1462</v>
      </c>
      <c r="M105" t="s">
        <v>1478</v>
      </c>
      <c r="N105" s="18">
        <v>14</v>
      </c>
    </row>
    <row r="106" spans="1:14" x14ac:dyDescent="0.25">
      <c r="A106" t="s">
        <v>1232</v>
      </c>
      <c r="B106" s="7">
        <v>43761</v>
      </c>
      <c r="C106" s="4">
        <v>0.46527777777777773</v>
      </c>
      <c r="D106" s="15">
        <f t="shared" si="2"/>
        <v>11</v>
      </c>
      <c r="E106" s="15" t="str">
        <f t="shared" si="3"/>
        <v>Before 15</v>
      </c>
      <c r="F106" t="s">
        <v>1233</v>
      </c>
      <c r="G106" s="16" t="str">
        <f>VLOOKUP(F106,DISTRICTS!B$2:C$626,2,FALSE)</f>
        <v>CHAMBERÍ</v>
      </c>
      <c r="H106" s="16" t="str">
        <f>IFERROR(VLOOKUP(G106,'areas for question 4'!A$2:B$10,2,FALSE),"")</f>
        <v>North</v>
      </c>
      <c r="I106" t="s">
        <v>1444</v>
      </c>
      <c r="J106" t="s">
        <v>1452</v>
      </c>
      <c r="K106" t="s">
        <v>1456</v>
      </c>
      <c r="L106" t="s">
        <v>1462</v>
      </c>
      <c r="M106" t="s">
        <v>1477</v>
      </c>
      <c r="N106" s="18">
        <v>14</v>
      </c>
    </row>
    <row r="107" spans="1:14" x14ac:dyDescent="0.25">
      <c r="A107" t="s">
        <v>1257</v>
      </c>
      <c r="B107" s="7">
        <v>43771</v>
      </c>
      <c r="C107" s="4">
        <v>0.48958333333333331</v>
      </c>
      <c r="D107" s="15">
        <f t="shared" si="2"/>
        <v>11</v>
      </c>
      <c r="E107" s="15" t="str">
        <f t="shared" si="3"/>
        <v>Before 15</v>
      </c>
      <c r="F107" t="s">
        <v>1258</v>
      </c>
      <c r="G107" s="16" t="str">
        <f>VLOOKUP(F107,DISTRICTS!B$2:C$626,2,FALSE)</f>
        <v>FUENCARRAL-EL PARDO</v>
      </c>
      <c r="H107" s="16" t="str">
        <f>IFERROR(VLOOKUP(G107,'areas for question 4'!A$2:B$10,2,FALSE),"")</f>
        <v>North</v>
      </c>
      <c r="I107" t="s">
        <v>1444</v>
      </c>
      <c r="J107" t="s">
        <v>1450</v>
      </c>
      <c r="K107" t="s">
        <v>1456</v>
      </c>
      <c r="L107" t="s">
        <v>1462</v>
      </c>
      <c r="M107" t="s">
        <v>1477</v>
      </c>
      <c r="N107" s="18">
        <v>6</v>
      </c>
    </row>
    <row r="108" spans="1:14" x14ac:dyDescent="0.25">
      <c r="A108" t="s">
        <v>1304</v>
      </c>
      <c r="B108" s="7">
        <v>43783</v>
      </c>
      <c r="C108" s="4">
        <v>0.59027777777777779</v>
      </c>
      <c r="D108" s="15">
        <f t="shared" si="2"/>
        <v>14</v>
      </c>
      <c r="E108" s="15" t="str">
        <f t="shared" si="3"/>
        <v>Before 15</v>
      </c>
      <c r="F108" t="s">
        <v>1305</v>
      </c>
      <c r="G108" s="16" t="str">
        <f>VLOOKUP(F108,DISTRICTS!B$2:C$626,2,FALSE)</f>
        <v>RETIRO</v>
      </c>
      <c r="H108" s="16" t="str">
        <f>IFERROR(VLOOKUP(G108,'areas for question 4'!A$2:B$10,2,FALSE),"")</f>
        <v/>
      </c>
      <c r="I108" t="s">
        <v>1447</v>
      </c>
      <c r="J108" t="s">
        <v>1450</v>
      </c>
      <c r="K108" t="s">
        <v>1456</v>
      </c>
      <c r="L108" t="s">
        <v>1462</v>
      </c>
      <c r="M108" t="s">
        <v>1478</v>
      </c>
      <c r="N108" s="18">
        <v>6</v>
      </c>
    </row>
    <row r="109" spans="1:14" x14ac:dyDescent="0.25">
      <c r="A109" t="s">
        <v>1369</v>
      </c>
      <c r="B109" s="7">
        <v>43804</v>
      </c>
      <c r="C109" s="4">
        <v>9.7222222222222224E-2</v>
      </c>
      <c r="D109" s="15">
        <f t="shared" si="2"/>
        <v>2</v>
      </c>
      <c r="E109" s="15" t="str">
        <f t="shared" si="3"/>
        <v>Before 15</v>
      </c>
      <c r="F109" t="s">
        <v>1305</v>
      </c>
      <c r="G109" s="16" t="str">
        <f>VLOOKUP(F109,DISTRICTS!B$2:C$626,2,FALSE)</f>
        <v>RETIRO</v>
      </c>
      <c r="H109" s="16" t="str">
        <f>IFERROR(VLOOKUP(G109,'areas for question 4'!A$2:B$10,2,FALSE),"")</f>
        <v/>
      </c>
      <c r="I109" t="s">
        <v>1444</v>
      </c>
      <c r="J109" t="s">
        <v>1450</v>
      </c>
      <c r="K109" t="s">
        <v>1456</v>
      </c>
      <c r="L109" t="s">
        <v>1462</v>
      </c>
      <c r="M109" t="s">
        <v>1478</v>
      </c>
      <c r="N109" s="18">
        <v>7</v>
      </c>
    </row>
    <row r="110" spans="1:14" x14ac:dyDescent="0.25">
      <c r="A110" t="s">
        <v>1425</v>
      </c>
      <c r="B110" s="7">
        <v>43827</v>
      </c>
      <c r="C110" s="4">
        <v>0.15972222222222224</v>
      </c>
      <c r="D110" s="15">
        <f t="shared" si="2"/>
        <v>3</v>
      </c>
      <c r="E110" s="15" t="str">
        <f t="shared" si="3"/>
        <v>Before 15</v>
      </c>
      <c r="F110" t="s">
        <v>1426</v>
      </c>
      <c r="G110" s="16" t="str">
        <f>VLOOKUP(F110,DISTRICTS!B$2:C$626,2,FALSE)</f>
        <v>CENTRO</v>
      </c>
      <c r="H110" s="16" t="str">
        <f>IFERROR(VLOOKUP(G110,'areas for question 4'!A$2:B$10,2,FALSE),"")</f>
        <v/>
      </c>
      <c r="I110" t="s">
        <v>1441</v>
      </c>
      <c r="J110" t="s">
        <v>1450</v>
      </c>
      <c r="K110" t="s">
        <v>1456</v>
      </c>
      <c r="L110" t="s">
        <v>1462</v>
      </c>
      <c r="M110" t="s">
        <v>1477</v>
      </c>
      <c r="N110" s="18" t="s">
        <v>34</v>
      </c>
    </row>
    <row r="111" spans="1:14" x14ac:dyDescent="0.25">
      <c r="A111" s="5" t="s">
        <v>9</v>
      </c>
      <c r="B111" s="7">
        <v>43468</v>
      </c>
      <c r="C111" s="4">
        <v>0.53125</v>
      </c>
      <c r="D111" s="15">
        <f t="shared" si="2"/>
        <v>12</v>
      </c>
      <c r="E111" s="15" t="str">
        <f t="shared" si="3"/>
        <v>Before 15</v>
      </c>
      <c r="F111" t="s">
        <v>10</v>
      </c>
      <c r="G111" s="16" t="str">
        <f>VLOOKUP(F111,DISTRICTS!B$2:C$626,2,FALSE)</f>
        <v>VILLA DE VALLECAS</v>
      </c>
      <c r="H111" s="16" t="str">
        <f>IFERROR(VLOOKUP(G111,'areas for question 4'!A$2:B$10,2,FALSE),"")</f>
        <v/>
      </c>
      <c r="I111" t="s">
        <v>1441</v>
      </c>
      <c r="J111" t="s">
        <v>1450</v>
      </c>
      <c r="K111" t="s">
        <v>1456</v>
      </c>
      <c r="L111" t="s">
        <v>1463</v>
      </c>
      <c r="M111" s="5" t="s">
        <v>1477</v>
      </c>
      <c r="N111" s="18">
        <v>14</v>
      </c>
    </row>
    <row r="112" spans="1:14" x14ac:dyDescent="0.25">
      <c r="A112" s="5" t="s">
        <v>64</v>
      </c>
      <c r="B112" s="7">
        <v>43482</v>
      </c>
      <c r="C112" s="4">
        <v>0.82638888888888884</v>
      </c>
      <c r="D112" s="15">
        <f t="shared" si="2"/>
        <v>19</v>
      </c>
      <c r="E112" s="15" t="str">
        <f t="shared" si="3"/>
        <v>After 15</v>
      </c>
      <c r="F112" t="s">
        <v>65</v>
      </c>
      <c r="G112" s="16" t="str">
        <f>VLOOKUP(F112,DISTRICTS!B$2:C$626,2,FALSE)</f>
        <v>CENTRO</v>
      </c>
      <c r="H112" s="16" t="str">
        <f>IFERROR(VLOOKUP(G112,'areas for question 4'!A$2:B$10,2,FALSE),"")</f>
        <v/>
      </c>
      <c r="I112" t="s">
        <v>1447</v>
      </c>
      <c r="J112" t="s">
        <v>1450</v>
      </c>
      <c r="K112" t="s">
        <v>1456</v>
      </c>
      <c r="L112" t="s">
        <v>1463</v>
      </c>
      <c r="M112" s="5" t="s">
        <v>1477</v>
      </c>
      <c r="N112" s="18">
        <v>7</v>
      </c>
    </row>
    <row r="113" spans="1:14" x14ac:dyDescent="0.25">
      <c r="A113" s="5" t="s">
        <v>95</v>
      </c>
      <c r="B113" s="7">
        <v>43490</v>
      </c>
      <c r="C113" s="4">
        <v>0.16666666666666666</v>
      </c>
      <c r="D113" s="15">
        <f t="shared" si="2"/>
        <v>4</v>
      </c>
      <c r="E113" s="15" t="str">
        <f t="shared" si="3"/>
        <v>Before 15</v>
      </c>
      <c r="F113" t="s">
        <v>32</v>
      </c>
      <c r="G113" s="16" t="str">
        <f>VLOOKUP(F113,DISTRICTS!B$2:C$626,2,FALSE)</f>
        <v>CENTRO</v>
      </c>
      <c r="H113" s="16" t="str">
        <f>IFERROR(VLOOKUP(G113,'areas for question 4'!A$2:B$10,2,FALSE),"")</f>
        <v/>
      </c>
      <c r="I113" t="s">
        <v>1446</v>
      </c>
      <c r="J113" t="s">
        <v>1455</v>
      </c>
      <c r="K113" t="s">
        <v>1456</v>
      </c>
      <c r="L113" t="s">
        <v>1463</v>
      </c>
      <c r="M113" s="5" t="s">
        <v>1477</v>
      </c>
      <c r="N113" s="18">
        <v>5</v>
      </c>
    </row>
    <row r="114" spans="1:14" x14ac:dyDescent="0.25">
      <c r="A114" t="s">
        <v>110</v>
      </c>
      <c r="B114" s="7">
        <v>43497</v>
      </c>
      <c r="C114" s="4">
        <v>6.9444444444444434E-2</v>
      </c>
      <c r="D114" s="15">
        <f t="shared" si="2"/>
        <v>1</v>
      </c>
      <c r="E114" s="15" t="str">
        <f t="shared" si="3"/>
        <v>Before 15</v>
      </c>
      <c r="F114" t="s">
        <v>111</v>
      </c>
      <c r="G114" s="16" t="str">
        <f>VLOOKUP(F114,DISTRICTS!B$2:C$626,2,FALSE)</f>
        <v>CHAMBERÍ</v>
      </c>
      <c r="H114" s="16" t="str">
        <f>IFERROR(VLOOKUP(G114,'areas for question 4'!A$2:B$10,2,FALSE),"")</f>
        <v>North</v>
      </c>
      <c r="I114" t="s">
        <v>1446</v>
      </c>
      <c r="J114" t="s">
        <v>1452</v>
      </c>
      <c r="K114" t="s">
        <v>1456</v>
      </c>
      <c r="L114" t="s">
        <v>1463</v>
      </c>
      <c r="M114" t="s">
        <v>1477</v>
      </c>
      <c r="N114" s="18">
        <v>7</v>
      </c>
    </row>
    <row r="115" spans="1:14" x14ac:dyDescent="0.25">
      <c r="A115" t="s">
        <v>139</v>
      </c>
      <c r="B115" s="7">
        <v>43506</v>
      </c>
      <c r="C115" s="4">
        <v>0.67013888888888884</v>
      </c>
      <c r="D115" s="15">
        <f t="shared" si="2"/>
        <v>16</v>
      </c>
      <c r="E115" s="15" t="str">
        <f t="shared" si="3"/>
        <v>After 15</v>
      </c>
      <c r="F115" t="s">
        <v>140</v>
      </c>
      <c r="G115" s="16" t="str">
        <f>VLOOKUP(F115,DISTRICTS!B$2:C$626,2,FALSE)</f>
        <v>RETIRO</v>
      </c>
      <c r="H115" s="16" t="str">
        <f>IFERROR(VLOOKUP(G115,'areas for question 4'!A$2:B$10,2,FALSE),"")</f>
        <v/>
      </c>
      <c r="I115" t="s">
        <v>1446</v>
      </c>
      <c r="K115" t="s">
        <v>1456</v>
      </c>
      <c r="L115" t="s">
        <v>1463</v>
      </c>
      <c r="M115" t="s">
        <v>1477</v>
      </c>
      <c r="N115" s="18" t="s">
        <v>34</v>
      </c>
    </row>
    <row r="116" spans="1:14" x14ac:dyDescent="0.25">
      <c r="A116" t="s">
        <v>141</v>
      </c>
      <c r="B116" s="7">
        <v>43506</v>
      </c>
      <c r="C116" s="4">
        <v>0.57291666666666663</v>
      </c>
      <c r="D116" s="15">
        <f t="shared" si="2"/>
        <v>13</v>
      </c>
      <c r="E116" s="15" t="str">
        <f t="shared" si="3"/>
        <v>Before 15</v>
      </c>
      <c r="F116" t="s">
        <v>142</v>
      </c>
      <c r="G116" s="16" t="str">
        <f>VLOOKUP(F116,DISTRICTS!B$2:C$626,2,FALSE)</f>
        <v>CHAMARTÍN</v>
      </c>
      <c r="H116" s="16" t="str">
        <f>IFERROR(VLOOKUP(G116,'areas for question 4'!A$2:B$10,2,FALSE),"")</f>
        <v>North</v>
      </c>
      <c r="I116" t="s">
        <v>1447</v>
      </c>
      <c r="J116" t="s">
        <v>1450</v>
      </c>
      <c r="K116" t="s">
        <v>1456</v>
      </c>
      <c r="L116" t="s">
        <v>1463</v>
      </c>
      <c r="M116" t="s">
        <v>1477</v>
      </c>
      <c r="N116" s="18">
        <v>7</v>
      </c>
    </row>
    <row r="117" spans="1:14" x14ac:dyDescent="0.25">
      <c r="A117" t="s">
        <v>151</v>
      </c>
      <c r="B117" s="7">
        <v>43509</v>
      </c>
      <c r="C117" s="4">
        <v>0.72916666666666663</v>
      </c>
      <c r="D117" s="15">
        <f t="shared" si="2"/>
        <v>17</v>
      </c>
      <c r="E117" s="15" t="str">
        <f t="shared" si="3"/>
        <v>After 15</v>
      </c>
      <c r="F117" t="s">
        <v>152</v>
      </c>
      <c r="G117" s="16" t="str">
        <f>VLOOKUP(F117,DISTRICTS!B$2:C$626,2,FALSE)</f>
        <v>HORTALEZA</v>
      </c>
      <c r="H117" s="16" t="str">
        <f>IFERROR(VLOOKUP(G117,'areas for question 4'!A$2:B$10,2,FALSE),"")</f>
        <v/>
      </c>
      <c r="I117" t="s">
        <v>1443</v>
      </c>
      <c r="J117" t="s">
        <v>1450</v>
      </c>
      <c r="K117" t="s">
        <v>1458</v>
      </c>
      <c r="L117" t="s">
        <v>1463</v>
      </c>
      <c r="M117" t="s">
        <v>1478</v>
      </c>
      <c r="N117" s="18">
        <v>7</v>
      </c>
    </row>
    <row r="118" spans="1:14" x14ac:dyDescent="0.25">
      <c r="A118" t="s">
        <v>161</v>
      </c>
      <c r="B118" s="7">
        <v>43510</v>
      </c>
      <c r="C118" s="4">
        <v>0.59722222222222221</v>
      </c>
      <c r="D118" s="15">
        <f t="shared" si="2"/>
        <v>14</v>
      </c>
      <c r="E118" s="15" t="str">
        <f t="shared" si="3"/>
        <v>Before 15</v>
      </c>
      <c r="F118" t="s">
        <v>162</v>
      </c>
      <c r="G118" s="16" t="str">
        <f>VLOOKUP(F118,DISTRICTS!B$2:C$626,2,FALSE)</f>
        <v>RETIRO</v>
      </c>
      <c r="H118" s="16" t="str">
        <f>IFERROR(VLOOKUP(G118,'areas for question 4'!A$2:B$10,2,FALSE),"")</f>
        <v/>
      </c>
      <c r="I118" t="s">
        <v>1447</v>
      </c>
      <c r="J118" t="s">
        <v>1450</v>
      </c>
      <c r="K118" t="s">
        <v>1456</v>
      </c>
      <c r="L118" t="s">
        <v>1463</v>
      </c>
      <c r="M118" t="s">
        <v>1477</v>
      </c>
      <c r="N118" s="18">
        <v>7</v>
      </c>
    </row>
    <row r="119" spans="1:14" x14ac:dyDescent="0.25">
      <c r="A119" t="s">
        <v>181</v>
      </c>
      <c r="B119" s="7">
        <v>43519</v>
      </c>
      <c r="C119" s="4">
        <v>0.88541666666666663</v>
      </c>
      <c r="D119" s="15">
        <f t="shared" si="2"/>
        <v>21</v>
      </c>
      <c r="E119" s="15" t="str">
        <f t="shared" si="3"/>
        <v>After 15</v>
      </c>
      <c r="F119" t="s">
        <v>182</v>
      </c>
      <c r="G119" s="16" t="str">
        <f>VLOOKUP(F119,DISTRICTS!B$2:C$626,2,FALSE)</f>
        <v>MONCLOA-ARAVACA</v>
      </c>
      <c r="H119" s="16" t="str">
        <f>IFERROR(VLOOKUP(G119,'areas for question 4'!A$2:B$10,2,FALSE),"")</f>
        <v/>
      </c>
      <c r="I119" t="s">
        <v>1441</v>
      </c>
      <c r="J119" t="s">
        <v>1450</v>
      </c>
      <c r="K119" t="s">
        <v>1456</v>
      </c>
      <c r="L119" t="s">
        <v>1463</v>
      </c>
      <c r="M119" t="s">
        <v>1477</v>
      </c>
      <c r="N119" s="18">
        <v>6</v>
      </c>
    </row>
    <row r="120" spans="1:14" x14ac:dyDescent="0.25">
      <c r="A120" t="s">
        <v>212</v>
      </c>
      <c r="B120" s="7">
        <v>43527</v>
      </c>
      <c r="C120" s="4">
        <v>0.87152777777777779</v>
      </c>
      <c r="D120" s="15">
        <f t="shared" si="2"/>
        <v>20</v>
      </c>
      <c r="E120" s="15" t="str">
        <f t="shared" si="3"/>
        <v>After 15</v>
      </c>
      <c r="F120" t="s">
        <v>213</v>
      </c>
      <c r="G120" s="16" t="str">
        <f>VLOOKUP(F120,DISTRICTS!B$2:C$626,2,FALSE)</f>
        <v>CHAMBERÍ</v>
      </c>
      <c r="H120" s="16" t="str">
        <f>IFERROR(VLOOKUP(G120,'areas for question 4'!A$2:B$10,2,FALSE),"")</f>
        <v>North</v>
      </c>
      <c r="I120" t="s">
        <v>1446</v>
      </c>
      <c r="J120" t="s">
        <v>1450</v>
      </c>
      <c r="K120" t="s">
        <v>1456</v>
      </c>
      <c r="L120" t="s">
        <v>1463</v>
      </c>
      <c r="M120" t="s">
        <v>1478</v>
      </c>
      <c r="N120" s="18">
        <v>7</v>
      </c>
    </row>
    <row r="121" spans="1:14" x14ac:dyDescent="0.25">
      <c r="A121" t="s">
        <v>216</v>
      </c>
      <c r="B121" s="7">
        <v>43528</v>
      </c>
      <c r="C121" s="4">
        <v>0.65625</v>
      </c>
      <c r="D121" s="15">
        <f t="shared" si="2"/>
        <v>15</v>
      </c>
      <c r="E121" s="15" t="str">
        <f t="shared" si="3"/>
        <v>After 15</v>
      </c>
      <c r="F121" t="s">
        <v>217</v>
      </c>
      <c r="G121" s="16" t="str">
        <f>VLOOKUP(F121,DISTRICTS!B$2:C$626,2,FALSE)</f>
        <v>RETIRO</v>
      </c>
      <c r="H121" s="16" t="str">
        <f>IFERROR(VLOOKUP(G121,'areas for question 4'!A$2:B$10,2,FALSE),"")</f>
        <v/>
      </c>
      <c r="I121" t="s">
        <v>1447</v>
      </c>
      <c r="J121" t="s">
        <v>1450</v>
      </c>
      <c r="K121" t="s">
        <v>1456</v>
      </c>
      <c r="L121" t="s">
        <v>1463</v>
      </c>
      <c r="M121" t="s">
        <v>1477</v>
      </c>
      <c r="N121" s="18">
        <v>7</v>
      </c>
    </row>
    <row r="122" spans="1:14" x14ac:dyDescent="0.25">
      <c r="A122" t="s">
        <v>228</v>
      </c>
      <c r="B122" s="7">
        <v>43532</v>
      </c>
      <c r="C122" s="4">
        <v>0.80902777777777779</v>
      </c>
      <c r="D122" s="15">
        <f t="shared" si="2"/>
        <v>19</v>
      </c>
      <c r="E122" s="15" t="str">
        <f t="shared" si="3"/>
        <v>After 15</v>
      </c>
      <c r="F122" t="s">
        <v>229</v>
      </c>
      <c r="G122" s="16" t="str">
        <f>VLOOKUP(F122,DISTRICTS!B$2:C$626,2,FALSE)</f>
        <v>BARAJAS</v>
      </c>
      <c r="H122" s="16" t="str">
        <f>IFERROR(VLOOKUP(G122,'areas for question 4'!A$2:B$10,2,FALSE),"")</f>
        <v>East</v>
      </c>
      <c r="I122" t="s">
        <v>1446</v>
      </c>
      <c r="J122" t="s">
        <v>1450</v>
      </c>
      <c r="K122" t="s">
        <v>1456</v>
      </c>
      <c r="L122" t="s">
        <v>1463</v>
      </c>
      <c r="M122" t="s">
        <v>1477</v>
      </c>
      <c r="N122" s="18">
        <v>7</v>
      </c>
    </row>
    <row r="123" spans="1:14" x14ac:dyDescent="0.25">
      <c r="A123" t="s">
        <v>232</v>
      </c>
      <c r="B123" s="7">
        <v>43533</v>
      </c>
      <c r="C123" s="4">
        <v>0.82291666666666663</v>
      </c>
      <c r="D123" s="15">
        <f t="shared" si="2"/>
        <v>19</v>
      </c>
      <c r="E123" s="15" t="str">
        <f t="shared" si="3"/>
        <v>After 15</v>
      </c>
      <c r="F123" t="s">
        <v>233</v>
      </c>
      <c r="G123" s="16" t="str">
        <f>VLOOKUP(F123,DISTRICTS!B$2:C$626,2,FALSE)</f>
        <v>PUENTE DE VALLECAS</v>
      </c>
      <c r="H123" s="16" t="str">
        <f>IFERROR(VLOOKUP(G123,'areas for question 4'!A$2:B$10,2,FALSE),"")</f>
        <v/>
      </c>
      <c r="I123" t="s">
        <v>1446</v>
      </c>
      <c r="J123" t="s">
        <v>1450</v>
      </c>
      <c r="K123" t="s">
        <v>1456</v>
      </c>
      <c r="L123" t="s">
        <v>1463</v>
      </c>
      <c r="M123" t="s">
        <v>1477</v>
      </c>
      <c r="N123" s="18">
        <v>6</v>
      </c>
    </row>
    <row r="124" spans="1:14" x14ac:dyDescent="0.25">
      <c r="A124" t="s">
        <v>257</v>
      </c>
      <c r="B124" s="7">
        <v>43539</v>
      </c>
      <c r="C124" s="4">
        <v>0.91666666666666663</v>
      </c>
      <c r="D124" s="15">
        <f t="shared" si="2"/>
        <v>22</v>
      </c>
      <c r="E124" s="15" t="str">
        <f t="shared" si="3"/>
        <v>After 15</v>
      </c>
      <c r="F124" t="s">
        <v>258</v>
      </c>
      <c r="G124" s="16" t="str">
        <f>VLOOKUP(F124,DISTRICTS!B$2:C$626,2,FALSE)</f>
        <v>TETUÁN</v>
      </c>
      <c r="H124" s="16" t="str">
        <f>IFERROR(VLOOKUP(G124,'areas for question 4'!A$2:B$10,2,FALSE),"")</f>
        <v>North</v>
      </c>
      <c r="I124" t="s">
        <v>1447</v>
      </c>
      <c r="J124" t="s">
        <v>1450</v>
      </c>
      <c r="K124" t="s">
        <v>1456</v>
      </c>
      <c r="L124" t="s">
        <v>1463</v>
      </c>
      <c r="M124" t="s">
        <v>1477</v>
      </c>
      <c r="N124" s="18">
        <v>2</v>
      </c>
    </row>
    <row r="125" spans="1:14" x14ac:dyDescent="0.25">
      <c r="A125" t="s">
        <v>305</v>
      </c>
      <c r="B125" s="7">
        <v>43549</v>
      </c>
      <c r="C125" s="4">
        <v>0.94791666666666663</v>
      </c>
      <c r="D125" s="15">
        <f t="shared" si="2"/>
        <v>22</v>
      </c>
      <c r="E125" s="15" t="str">
        <f t="shared" si="3"/>
        <v>After 15</v>
      </c>
      <c r="F125" t="s">
        <v>301</v>
      </c>
      <c r="G125" s="16" t="str">
        <f>VLOOKUP(F125,DISTRICTS!B$2:C$626,2,FALSE)</f>
        <v>CENTRO</v>
      </c>
      <c r="H125" s="16" t="str">
        <f>IFERROR(VLOOKUP(G125,'areas for question 4'!A$2:B$10,2,FALSE),"")</f>
        <v/>
      </c>
      <c r="I125" t="s">
        <v>1443</v>
      </c>
      <c r="J125" t="s">
        <v>1450</v>
      </c>
      <c r="K125" t="s">
        <v>1456</v>
      </c>
      <c r="L125" t="s">
        <v>1463</v>
      </c>
      <c r="M125" t="s">
        <v>1477</v>
      </c>
      <c r="N125" s="18">
        <v>2</v>
      </c>
    </row>
    <row r="126" spans="1:14" x14ac:dyDescent="0.25">
      <c r="A126" t="s">
        <v>345</v>
      </c>
      <c r="B126" s="7">
        <v>43556</v>
      </c>
      <c r="C126" s="4">
        <v>0.64097222222222217</v>
      </c>
      <c r="D126" s="15">
        <f t="shared" si="2"/>
        <v>15</v>
      </c>
      <c r="E126" s="15" t="str">
        <f t="shared" si="3"/>
        <v>After 15</v>
      </c>
      <c r="F126" t="s">
        <v>99</v>
      </c>
      <c r="G126" s="16" t="str">
        <f>VLOOKUP(F126,DISTRICTS!B$2:C$626,2,FALSE)</f>
        <v>CENTRO</v>
      </c>
      <c r="H126" s="16" t="str">
        <f>IFERROR(VLOOKUP(G126,'areas for question 4'!A$2:B$10,2,FALSE),"")</f>
        <v/>
      </c>
      <c r="I126" t="s">
        <v>1441</v>
      </c>
      <c r="J126" t="s">
        <v>1450</v>
      </c>
      <c r="K126" t="s">
        <v>1456</v>
      </c>
      <c r="L126" t="s">
        <v>1463</v>
      </c>
      <c r="M126" t="s">
        <v>1477</v>
      </c>
      <c r="N126" s="18">
        <v>7</v>
      </c>
    </row>
    <row r="127" spans="1:14" x14ac:dyDescent="0.25">
      <c r="A127" t="s">
        <v>346</v>
      </c>
      <c r="B127" s="7">
        <v>43557</v>
      </c>
      <c r="C127" s="4">
        <v>0.57638888888888895</v>
      </c>
      <c r="D127" s="15">
        <f t="shared" si="2"/>
        <v>13</v>
      </c>
      <c r="E127" s="15" t="str">
        <f t="shared" si="3"/>
        <v>Before 15</v>
      </c>
      <c r="F127" t="s">
        <v>347</v>
      </c>
      <c r="G127" s="16" t="str">
        <f>VLOOKUP(F127,DISTRICTS!B$2:C$626,2,FALSE)</f>
        <v>FUENCARRAL-EL PARDO</v>
      </c>
      <c r="H127" s="16" t="str">
        <f>IFERROR(VLOOKUP(G127,'areas for question 4'!A$2:B$10,2,FALSE),"")</f>
        <v>North</v>
      </c>
      <c r="I127" t="s">
        <v>1446</v>
      </c>
      <c r="J127" t="s">
        <v>1454</v>
      </c>
      <c r="K127" t="s">
        <v>1456</v>
      </c>
      <c r="L127" t="s">
        <v>1463</v>
      </c>
      <c r="M127" t="s">
        <v>1477</v>
      </c>
      <c r="N127" s="18">
        <v>6</v>
      </c>
    </row>
    <row r="128" spans="1:14" x14ac:dyDescent="0.25">
      <c r="A128" t="s">
        <v>406</v>
      </c>
      <c r="B128" s="7">
        <v>43582</v>
      </c>
      <c r="C128" s="4">
        <v>0.84375</v>
      </c>
      <c r="D128" s="15">
        <f t="shared" si="2"/>
        <v>20</v>
      </c>
      <c r="E128" s="15" t="str">
        <f t="shared" si="3"/>
        <v>After 15</v>
      </c>
      <c r="F128" t="s">
        <v>38</v>
      </c>
      <c r="G128" s="16" t="str">
        <f>VLOOKUP(F128,DISTRICTS!B$2:C$626,2,FALSE)</f>
        <v>CENTRO</v>
      </c>
      <c r="H128" s="16" t="str">
        <f>IFERROR(VLOOKUP(G128,'areas for question 4'!A$2:B$10,2,FALSE),"")</f>
        <v/>
      </c>
      <c r="I128" t="s">
        <v>1446</v>
      </c>
      <c r="J128" t="s">
        <v>1450</v>
      </c>
      <c r="K128" t="s">
        <v>1456</v>
      </c>
      <c r="L128" t="s">
        <v>1463</v>
      </c>
      <c r="M128" t="s">
        <v>1477</v>
      </c>
      <c r="N128" s="18">
        <v>7</v>
      </c>
    </row>
    <row r="129" spans="1:14" x14ac:dyDescent="0.25">
      <c r="A129" t="s">
        <v>422</v>
      </c>
      <c r="B129" s="7">
        <v>43589</v>
      </c>
      <c r="C129" s="4">
        <v>0.88541666666666663</v>
      </c>
      <c r="D129" s="15">
        <f t="shared" si="2"/>
        <v>21</v>
      </c>
      <c r="E129" s="15" t="str">
        <f t="shared" si="3"/>
        <v>After 15</v>
      </c>
      <c r="F129" t="s">
        <v>423</v>
      </c>
      <c r="G129" s="16" t="str">
        <f>VLOOKUP(F129,DISTRICTS!B$2:C$626,2,FALSE)</f>
        <v>CHAMBERÍ</v>
      </c>
      <c r="H129" s="16" t="str">
        <f>IFERROR(VLOOKUP(G129,'areas for question 4'!A$2:B$10,2,FALSE),"")</f>
        <v>North</v>
      </c>
      <c r="I129" t="s">
        <v>1441</v>
      </c>
      <c r="J129" t="s">
        <v>1450</v>
      </c>
      <c r="K129" t="s">
        <v>1456</v>
      </c>
      <c r="L129" t="s">
        <v>1463</v>
      </c>
      <c r="M129" t="s">
        <v>1478</v>
      </c>
      <c r="N129" s="18">
        <v>6</v>
      </c>
    </row>
    <row r="130" spans="1:14" x14ac:dyDescent="0.25">
      <c r="A130" t="s">
        <v>467</v>
      </c>
      <c r="B130" s="7">
        <v>43600</v>
      </c>
      <c r="C130" s="4">
        <v>0.60416666666666663</v>
      </c>
      <c r="D130" s="15">
        <f t="shared" si="2"/>
        <v>14</v>
      </c>
      <c r="E130" s="15" t="str">
        <f t="shared" si="3"/>
        <v>Before 15</v>
      </c>
      <c r="F130" t="s">
        <v>468</v>
      </c>
      <c r="G130" s="16" t="str">
        <f>VLOOKUP(F130,DISTRICTS!B$2:C$626,2,FALSE)</f>
        <v>CIUDAD LINEAL</v>
      </c>
      <c r="H130" s="16" t="str">
        <f>IFERROR(VLOOKUP(G130,'areas for question 4'!A$2:B$10,2,FALSE),"")</f>
        <v>East</v>
      </c>
      <c r="I130" t="s">
        <v>1447</v>
      </c>
      <c r="J130" t="s">
        <v>1450</v>
      </c>
      <c r="K130" t="s">
        <v>1456</v>
      </c>
      <c r="L130" t="s">
        <v>1463</v>
      </c>
      <c r="M130" t="s">
        <v>1477</v>
      </c>
      <c r="N130" s="18">
        <v>7</v>
      </c>
    </row>
    <row r="131" spans="1:14" x14ac:dyDescent="0.25">
      <c r="A131" t="s">
        <v>469</v>
      </c>
      <c r="B131" s="7">
        <v>43600</v>
      </c>
      <c r="C131" s="4">
        <v>0.58680555555555558</v>
      </c>
      <c r="D131" s="15">
        <f t="shared" ref="D131:D194" si="4">HOUR(C131)</f>
        <v>14</v>
      </c>
      <c r="E131" s="15" t="str">
        <f t="shared" ref="E131:E194" si="5">IF(D131&lt;15,"Before 15","After 15")</f>
        <v>Before 15</v>
      </c>
      <c r="F131" t="s">
        <v>470</v>
      </c>
      <c r="G131" s="16" t="str">
        <f>VLOOKUP(F131,DISTRICTS!B$2:C$626,2,FALSE)</f>
        <v>ARGANZUELA</v>
      </c>
      <c r="H131" s="16" t="str">
        <f>IFERROR(VLOOKUP(G131,'areas for question 4'!A$2:B$10,2,FALSE),"")</f>
        <v/>
      </c>
      <c r="I131" t="s">
        <v>1446</v>
      </c>
      <c r="J131" t="s">
        <v>1450</v>
      </c>
      <c r="K131" t="s">
        <v>1456</v>
      </c>
      <c r="L131" t="s">
        <v>1463</v>
      </c>
      <c r="M131" t="s">
        <v>1477</v>
      </c>
      <c r="N131" s="18">
        <v>14</v>
      </c>
    </row>
    <row r="132" spans="1:14" x14ac:dyDescent="0.25">
      <c r="A132" t="s">
        <v>475</v>
      </c>
      <c r="B132" s="7">
        <v>43601</v>
      </c>
      <c r="C132" s="4">
        <v>0.81944444444444453</v>
      </c>
      <c r="D132" s="15">
        <f t="shared" si="4"/>
        <v>19</v>
      </c>
      <c r="E132" s="15" t="str">
        <f t="shared" si="5"/>
        <v>After 15</v>
      </c>
      <c r="F132" t="s">
        <v>476</v>
      </c>
      <c r="G132" s="16" t="str">
        <f>VLOOKUP(F132,DISTRICTS!B$2:C$626,2,FALSE)</f>
        <v>CENTRO</v>
      </c>
      <c r="H132" s="16" t="str">
        <f>IFERROR(VLOOKUP(G132,'areas for question 4'!A$2:B$10,2,FALSE),"")</f>
        <v/>
      </c>
      <c r="I132" t="s">
        <v>1444</v>
      </c>
      <c r="J132" t="s">
        <v>1450</v>
      </c>
      <c r="K132" t="s">
        <v>1456</v>
      </c>
      <c r="L132" t="s">
        <v>1463</v>
      </c>
      <c r="M132" t="s">
        <v>1477</v>
      </c>
      <c r="N132" s="18">
        <v>5</v>
      </c>
    </row>
    <row r="133" spans="1:14" x14ac:dyDescent="0.25">
      <c r="A133" t="s">
        <v>482</v>
      </c>
      <c r="B133" s="7">
        <v>43602</v>
      </c>
      <c r="C133" s="4">
        <v>0.95277777777777783</v>
      </c>
      <c r="D133" s="15">
        <f t="shared" si="4"/>
        <v>22</v>
      </c>
      <c r="E133" s="15" t="str">
        <f t="shared" si="5"/>
        <v>After 15</v>
      </c>
      <c r="F133" t="s">
        <v>483</v>
      </c>
      <c r="G133" s="16" t="str">
        <f>VLOOKUP(F133,DISTRICTS!B$2:C$626,2,FALSE)</f>
        <v>CHAMBERÍ</v>
      </c>
      <c r="H133" s="16" t="str">
        <f>IFERROR(VLOOKUP(G133,'areas for question 4'!A$2:B$10,2,FALSE),"")</f>
        <v>North</v>
      </c>
      <c r="I133" t="s">
        <v>1441</v>
      </c>
      <c r="J133" t="s">
        <v>1450</v>
      </c>
      <c r="K133" t="s">
        <v>1456</v>
      </c>
      <c r="L133" t="s">
        <v>1463</v>
      </c>
      <c r="M133" t="s">
        <v>1478</v>
      </c>
      <c r="N133" s="18" t="s">
        <v>34</v>
      </c>
    </row>
    <row r="134" spans="1:14" x14ac:dyDescent="0.25">
      <c r="A134" t="s">
        <v>487</v>
      </c>
      <c r="B134" s="7">
        <v>43604</v>
      </c>
      <c r="C134" s="4">
        <v>0.85486111111111107</v>
      </c>
      <c r="D134" s="15">
        <f t="shared" si="4"/>
        <v>20</v>
      </c>
      <c r="E134" s="15" t="str">
        <f t="shared" si="5"/>
        <v>After 15</v>
      </c>
      <c r="F134" t="s">
        <v>488</v>
      </c>
      <c r="G134" s="16" t="str">
        <f>VLOOKUP(F134,DISTRICTS!B$2:C$626,2,FALSE)</f>
        <v>CENTRO</v>
      </c>
      <c r="H134" s="16" t="str">
        <f>IFERROR(VLOOKUP(G134,'areas for question 4'!A$2:B$10,2,FALSE),"")</f>
        <v/>
      </c>
      <c r="I134" t="s">
        <v>1443</v>
      </c>
      <c r="J134" t="s">
        <v>1450</v>
      </c>
      <c r="K134" t="s">
        <v>1456</v>
      </c>
      <c r="L134" t="s">
        <v>1463</v>
      </c>
      <c r="M134" t="s">
        <v>1477</v>
      </c>
      <c r="N134" s="18">
        <v>14</v>
      </c>
    </row>
    <row r="135" spans="1:14" x14ac:dyDescent="0.25">
      <c r="A135" t="s">
        <v>487</v>
      </c>
      <c r="B135" s="7">
        <v>43604</v>
      </c>
      <c r="C135" s="4">
        <v>0.85486111111111107</v>
      </c>
      <c r="D135" s="15">
        <f t="shared" si="4"/>
        <v>20</v>
      </c>
      <c r="E135" s="15" t="str">
        <f t="shared" si="5"/>
        <v>After 15</v>
      </c>
      <c r="F135" t="s">
        <v>488</v>
      </c>
      <c r="G135" s="16" t="str">
        <f>VLOOKUP(F135,DISTRICTS!B$2:C$626,2,FALSE)</f>
        <v>CENTRO</v>
      </c>
      <c r="H135" s="16" t="str">
        <f>IFERROR(VLOOKUP(G135,'areas for question 4'!A$2:B$10,2,FALSE),"")</f>
        <v/>
      </c>
      <c r="I135" t="s">
        <v>1443</v>
      </c>
      <c r="J135" t="s">
        <v>1450</v>
      </c>
      <c r="K135" t="s">
        <v>1458</v>
      </c>
      <c r="L135" t="s">
        <v>1463</v>
      </c>
      <c r="M135" t="s">
        <v>1478</v>
      </c>
      <c r="N135" s="18">
        <v>7</v>
      </c>
    </row>
    <row r="136" spans="1:14" x14ac:dyDescent="0.25">
      <c r="A136" t="s">
        <v>504</v>
      </c>
      <c r="B136" s="7">
        <v>43606</v>
      </c>
      <c r="C136" s="4">
        <v>7.2916666666666671E-2</v>
      </c>
      <c r="D136" s="15">
        <f t="shared" si="4"/>
        <v>1</v>
      </c>
      <c r="E136" s="15" t="str">
        <f t="shared" si="5"/>
        <v>Before 15</v>
      </c>
      <c r="F136" t="s">
        <v>505</v>
      </c>
      <c r="G136" s="16" t="str">
        <f>VLOOKUP(F136,DISTRICTS!B$2:C$626,2,FALSE)</f>
        <v>PUENTE DE VALLECAS</v>
      </c>
      <c r="H136" s="16" t="str">
        <f>IFERROR(VLOOKUP(G136,'areas for question 4'!A$2:B$10,2,FALSE),"")</f>
        <v/>
      </c>
      <c r="I136" t="s">
        <v>1444</v>
      </c>
      <c r="J136" t="s">
        <v>1450</v>
      </c>
      <c r="K136" t="s">
        <v>1456</v>
      </c>
      <c r="L136" t="s">
        <v>1463</v>
      </c>
      <c r="M136" t="s">
        <v>1477</v>
      </c>
      <c r="N136" s="18">
        <v>1</v>
      </c>
    </row>
    <row r="137" spans="1:14" x14ac:dyDescent="0.25">
      <c r="A137" t="s">
        <v>513</v>
      </c>
      <c r="B137" s="7">
        <v>43608</v>
      </c>
      <c r="C137" s="4">
        <v>0.88055555555555554</v>
      </c>
      <c r="D137" s="15">
        <f t="shared" si="4"/>
        <v>21</v>
      </c>
      <c r="E137" s="15" t="str">
        <f t="shared" si="5"/>
        <v>After 15</v>
      </c>
      <c r="F137" t="s">
        <v>514</v>
      </c>
      <c r="G137" s="16" t="str">
        <f>VLOOKUP(F137,DISTRICTS!B$2:C$626,2,FALSE)</f>
        <v>CIUDAD LINEAL</v>
      </c>
      <c r="H137" s="16" t="str">
        <f>IFERROR(VLOOKUP(G137,'areas for question 4'!A$2:B$10,2,FALSE),"")</f>
        <v>East</v>
      </c>
      <c r="I137" t="s">
        <v>1444</v>
      </c>
      <c r="J137" t="s">
        <v>1450</v>
      </c>
      <c r="K137" t="s">
        <v>1456</v>
      </c>
      <c r="L137" t="s">
        <v>1463</v>
      </c>
      <c r="M137" t="s">
        <v>1477</v>
      </c>
      <c r="N137" s="18">
        <v>2</v>
      </c>
    </row>
    <row r="138" spans="1:14" x14ac:dyDescent="0.25">
      <c r="A138" t="s">
        <v>515</v>
      </c>
      <c r="B138" s="7">
        <v>43608</v>
      </c>
      <c r="C138" s="4">
        <v>0.80555555555555547</v>
      </c>
      <c r="D138" s="15">
        <f t="shared" si="4"/>
        <v>19</v>
      </c>
      <c r="E138" s="15" t="str">
        <f t="shared" si="5"/>
        <v>After 15</v>
      </c>
      <c r="F138" t="s">
        <v>516</v>
      </c>
      <c r="G138" s="16" t="str">
        <f>VLOOKUP(F138,DISTRICTS!B$2:C$626,2,FALSE)</f>
        <v>FUENCARRAL-EL PARDO</v>
      </c>
      <c r="H138" s="16" t="str">
        <f>IFERROR(VLOOKUP(G138,'areas for question 4'!A$2:B$10,2,FALSE),"")</f>
        <v>North</v>
      </c>
      <c r="I138" t="s">
        <v>1446</v>
      </c>
      <c r="J138" t="s">
        <v>1450</v>
      </c>
      <c r="K138" t="s">
        <v>1456</v>
      </c>
      <c r="L138" t="s">
        <v>1463</v>
      </c>
      <c r="M138" t="s">
        <v>1477</v>
      </c>
      <c r="N138" s="18">
        <v>14</v>
      </c>
    </row>
    <row r="139" spans="1:14" x14ac:dyDescent="0.25">
      <c r="A139" t="s">
        <v>532</v>
      </c>
      <c r="B139" s="7">
        <v>43613</v>
      </c>
      <c r="C139" s="4">
        <v>0.875</v>
      </c>
      <c r="D139" s="15">
        <f t="shared" si="4"/>
        <v>21</v>
      </c>
      <c r="E139" s="15" t="str">
        <f t="shared" si="5"/>
        <v>After 15</v>
      </c>
      <c r="F139" t="s">
        <v>533</v>
      </c>
      <c r="G139" s="16" t="str">
        <f>VLOOKUP(F139,DISTRICTS!B$2:C$626,2,FALSE)</f>
        <v>PUENTE DE VALLECAS</v>
      </c>
      <c r="H139" s="16" t="str">
        <f>IFERROR(VLOOKUP(G139,'areas for question 4'!A$2:B$10,2,FALSE),"")</f>
        <v/>
      </c>
      <c r="I139" t="s">
        <v>1441</v>
      </c>
      <c r="J139" t="s">
        <v>1450</v>
      </c>
      <c r="K139" t="s">
        <v>1456</v>
      </c>
      <c r="L139" t="s">
        <v>1463</v>
      </c>
      <c r="M139" t="s">
        <v>1477</v>
      </c>
      <c r="N139" s="18">
        <v>7</v>
      </c>
    </row>
    <row r="140" spans="1:14" x14ac:dyDescent="0.25">
      <c r="A140" t="s">
        <v>550</v>
      </c>
      <c r="B140" s="7">
        <v>43616</v>
      </c>
      <c r="C140" s="4">
        <v>0.72291666666666676</v>
      </c>
      <c r="D140" s="15">
        <f t="shared" si="4"/>
        <v>17</v>
      </c>
      <c r="E140" s="15" t="str">
        <f t="shared" si="5"/>
        <v>After 15</v>
      </c>
      <c r="F140" t="s">
        <v>551</v>
      </c>
      <c r="G140" s="16" t="str">
        <f>VLOOKUP(F140,DISTRICTS!B$2:C$626,2,FALSE)</f>
        <v>CHAMARTÍN</v>
      </c>
      <c r="H140" s="16" t="str">
        <f>IFERROR(VLOOKUP(G140,'areas for question 4'!A$2:B$10,2,FALSE),"")</f>
        <v>North</v>
      </c>
      <c r="I140" t="s">
        <v>1445</v>
      </c>
      <c r="J140" t="s">
        <v>1450</v>
      </c>
      <c r="K140" t="s">
        <v>1456</v>
      </c>
      <c r="L140" t="s">
        <v>1463</v>
      </c>
      <c r="M140" t="s">
        <v>1477</v>
      </c>
      <c r="N140" s="18">
        <v>2</v>
      </c>
    </row>
    <row r="141" spans="1:14" x14ac:dyDescent="0.25">
      <c r="A141" t="s">
        <v>564</v>
      </c>
      <c r="B141" s="7">
        <v>43618</v>
      </c>
      <c r="C141" s="4">
        <v>0.96180555555555547</v>
      </c>
      <c r="D141" s="15">
        <f t="shared" si="4"/>
        <v>23</v>
      </c>
      <c r="E141" s="15" t="str">
        <f t="shared" si="5"/>
        <v>After 15</v>
      </c>
      <c r="F141" t="s">
        <v>565</v>
      </c>
      <c r="G141" s="16" t="str">
        <f>VLOOKUP(F141,DISTRICTS!B$2:C$626,2,FALSE)</f>
        <v>PUENTE DE VALLECAS</v>
      </c>
      <c r="H141" s="16" t="str">
        <f>IFERROR(VLOOKUP(G141,'areas for question 4'!A$2:B$10,2,FALSE),"")</f>
        <v/>
      </c>
      <c r="I141" t="s">
        <v>1449</v>
      </c>
      <c r="J141" t="s">
        <v>1450</v>
      </c>
      <c r="K141" t="s">
        <v>1456</v>
      </c>
      <c r="L141" t="s">
        <v>1463</v>
      </c>
      <c r="M141" t="s">
        <v>1477</v>
      </c>
      <c r="N141" s="18" t="s">
        <v>34</v>
      </c>
    </row>
    <row r="142" spans="1:14" x14ac:dyDescent="0.25">
      <c r="A142" t="s">
        <v>582</v>
      </c>
      <c r="B142" s="7">
        <v>43621</v>
      </c>
      <c r="C142" s="4">
        <v>0.63541666666666663</v>
      </c>
      <c r="D142" s="15">
        <f t="shared" si="4"/>
        <v>15</v>
      </c>
      <c r="E142" s="15" t="str">
        <f t="shared" si="5"/>
        <v>After 15</v>
      </c>
      <c r="F142" t="s">
        <v>126</v>
      </c>
      <c r="G142" s="16" t="str">
        <f>VLOOKUP(F142,DISTRICTS!B$2:C$626,2,FALSE)</f>
        <v>CENTRO</v>
      </c>
      <c r="H142" s="16" t="str">
        <f>IFERROR(VLOOKUP(G142,'areas for question 4'!A$2:B$10,2,FALSE),"")</f>
        <v/>
      </c>
      <c r="I142" t="s">
        <v>1447</v>
      </c>
      <c r="J142" t="s">
        <v>1450</v>
      </c>
      <c r="K142" t="s">
        <v>1456</v>
      </c>
      <c r="L142" t="s">
        <v>1463</v>
      </c>
      <c r="M142" t="s">
        <v>1477</v>
      </c>
      <c r="N142" s="18" t="s">
        <v>34</v>
      </c>
    </row>
    <row r="143" spans="1:14" x14ac:dyDescent="0.25">
      <c r="A143" t="s">
        <v>596</v>
      </c>
      <c r="B143" s="7">
        <v>43624</v>
      </c>
      <c r="C143" s="4">
        <v>0.90972222222222221</v>
      </c>
      <c r="D143" s="15">
        <f t="shared" si="4"/>
        <v>21</v>
      </c>
      <c r="E143" s="15" t="str">
        <f t="shared" si="5"/>
        <v>After 15</v>
      </c>
      <c r="F143" t="s">
        <v>597</v>
      </c>
      <c r="G143" s="16" t="str">
        <f>VLOOKUP(F143,DISTRICTS!B$2:C$626,2,FALSE)</f>
        <v>RETIRO</v>
      </c>
      <c r="H143" s="16" t="str">
        <f>IFERROR(VLOOKUP(G143,'areas for question 4'!A$2:B$10,2,FALSE),"")</f>
        <v/>
      </c>
      <c r="I143" t="s">
        <v>1444</v>
      </c>
      <c r="J143" t="s">
        <v>1450</v>
      </c>
      <c r="K143" t="s">
        <v>1456</v>
      </c>
      <c r="L143" t="s">
        <v>1463</v>
      </c>
      <c r="M143" t="s">
        <v>1477</v>
      </c>
      <c r="N143" s="18">
        <v>7</v>
      </c>
    </row>
    <row r="144" spans="1:14" x14ac:dyDescent="0.25">
      <c r="A144" t="s">
        <v>615</v>
      </c>
      <c r="B144" s="7">
        <v>43628</v>
      </c>
      <c r="C144" s="4">
        <v>0.81944444444444453</v>
      </c>
      <c r="D144" s="15">
        <f t="shared" si="4"/>
        <v>19</v>
      </c>
      <c r="E144" s="15" t="str">
        <f t="shared" si="5"/>
        <v>After 15</v>
      </c>
      <c r="F144" t="s">
        <v>156</v>
      </c>
      <c r="G144" s="16" t="str">
        <f>VLOOKUP(F144,DISTRICTS!B$2:C$626,2,FALSE)</f>
        <v>CHAMBERÍ</v>
      </c>
      <c r="H144" s="16" t="str">
        <f>IFERROR(VLOOKUP(G144,'areas for question 4'!A$2:B$10,2,FALSE),"")</f>
        <v>North</v>
      </c>
      <c r="I144" t="s">
        <v>1446</v>
      </c>
      <c r="J144" t="s">
        <v>1450</v>
      </c>
      <c r="K144" t="s">
        <v>1456</v>
      </c>
      <c r="L144" t="s">
        <v>1463</v>
      </c>
      <c r="M144" t="s">
        <v>1477</v>
      </c>
      <c r="N144" s="18" t="s">
        <v>34</v>
      </c>
    </row>
    <row r="145" spans="1:14" x14ac:dyDescent="0.25">
      <c r="A145" t="s">
        <v>626</v>
      </c>
      <c r="B145" s="7">
        <v>43629</v>
      </c>
      <c r="C145" s="4">
        <v>0.4513888888888889</v>
      </c>
      <c r="D145" s="15">
        <f t="shared" si="4"/>
        <v>10</v>
      </c>
      <c r="E145" s="15" t="str">
        <f t="shared" si="5"/>
        <v>Before 15</v>
      </c>
      <c r="F145" t="s">
        <v>627</v>
      </c>
      <c r="G145" s="16" t="str">
        <f>VLOOKUP(F145,DISTRICTS!B$2:C$626,2,FALSE)</f>
        <v>LATINA</v>
      </c>
      <c r="H145" s="16" t="str">
        <f>IFERROR(VLOOKUP(G145,'areas for question 4'!A$2:B$10,2,FALSE),"")</f>
        <v/>
      </c>
      <c r="I145" t="s">
        <v>1449</v>
      </c>
      <c r="J145" t="s">
        <v>1450</v>
      </c>
      <c r="K145" t="s">
        <v>1456</v>
      </c>
      <c r="L145" t="s">
        <v>1463</v>
      </c>
      <c r="M145" t="s">
        <v>1477</v>
      </c>
      <c r="N145" s="18">
        <v>7</v>
      </c>
    </row>
    <row r="146" spans="1:14" x14ac:dyDescent="0.25">
      <c r="A146" t="s">
        <v>634</v>
      </c>
      <c r="B146" s="7">
        <v>43630</v>
      </c>
      <c r="C146" s="4">
        <v>0.3923611111111111</v>
      </c>
      <c r="D146" s="15">
        <f t="shared" si="4"/>
        <v>9</v>
      </c>
      <c r="E146" s="15" t="str">
        <f t="shared" si="5"/>
        <v>Before 15</v>
      </c>
      <c r="F146" t="s">
        <v>635</v>
      </c>
      <c r="G146" s="16" t="str">
        <f>VLOOKUP(F146,DISTRICTS!B$2:C$626,2,FALSE)</f>
        <v>PUENTE DE VALLECAS</v>
      </c>
      <c r="H146" s="16" t="str">
        <f>IFERROR(VLOOKUP(G146,'areas for question 4'!A$2:B$10,2,FALSE),"")</f>
        <v/>
      </c>
      <c r="I146" t="s">
        <v>1446</v>
      </c>
      <c r="J146" t="s">
        <v>1450</v>
      </c>
      <c r="K146" t="s">
        <v>1456</v>
      </c>
      <c r="L146" t="s">
        <v>1463</v>
      </c>
      <c r="M146" t="s">
        <v>1477</v>
      </c>
      <c r="N146" s="18">
        <v>2</v>
      </c>
    </row>
    <row r="147" spans="1:14" x14ac:dyDescent="0.25">
      <c r="A147" t="s">
        <v>646</v>
      </c>
      <c r="B147" s="7">
        <v>43632</v>
      </c>
      <c r="C147" s="4">
        <v>0.95833333333333337</v>
      </c>
      <c r="D147" s="15">
        <f t="shared" si="4"/>
        <v>23</v>
      </c>
      <c r="E147" s="15" t="str">
        <f t="shared" si="5"/>
        <v>After 15</v>
      </c>
      <c r="F147" t="s">
        <v>647</v>
      </c>
      <c r="G147" s="16" t="str">
        <f>VLOOKUP(F147,DISTRICTS!B$2:C$626,2,FALSE)</f>
        <v>ARGANZUELA</v>
      </c>
      <c r="H147" s="16" t="str">
        <f>IFERROR(VLOOKUP(G147,'areas for question 4'!A$2:B$10,2,FALSE),"")</f>
        <v/>
      </c>
      <c r="I147" t="s">
        <v>1449</v>
      </c>
      <c r="J147" t="s">
        <v>1450</v>
      </c>
      <c r="K147" t="s">
        <v>1456</v>
      </c>
      <c r="L147" t="s">
        <v>1463</v>
      </c>
      <c r="M147" t="s">
        <v>1477</v>
      </c>
      <c r="N147" s="18">
        <v>7</v>
      </c>
    </row>
    <row r="148" spans="1:14" x14ac:dyDescent="0.25">
      <c r="A148" t="s">
        <v>648</v>
      </c>
      <c r="B148" s="7">
        <v>43633</v>
      </c>
      <c r="C148" s="4">
        <v>0.86458333333333337</v>
      </c>
      <c r="D148" s="15">
        <f t="shared" si="4"/>
        <v>20</v>
      </c>
      <c r="E148" s="15" t="str">
        <f t="shared" si="5"/>
        <v>After 15</v>
      </c>
      <c r="F148" t="s">
        <v>649</v>
      </c>
      <c r="G148" s="16" t="str">
        <f>VLOOKUP(F148,DISTRICTS!B$2:C$626,2,FALSE)</f>
        <v>FUENCARRAL-EL PARDO</v>
      </c>
      <c r="H148" s="16" t="str">
        <f>IFERROR(VLOOKUP(G148,'areas for question 4'!A$2:B$10,2,FALSE),"")</f>
        <v>North</v>
      </c>
      <c r="I148" t="s">
        <v>1441</v>
      </c>
      <c r="J148" t="s">
        <v>1450</v>
      </c>
      <c r="K148" t="s">
        <v>1456</v>
      </c>
      <c r="L148" t="s">
        <v>1463</v>
      </c>
      <c r="M148" t="s">
        <v>1477</v>
      </c>
      <c r="N148" s="18" t="s">
        <v>34</v>
      </c>
    </row>
    <row r="149" spans="1:14" x14ac:dyDescent="0.25">
      <c r="A149" t="s">
        <v>662</v>
      </c>
      <c r="B149" s="7">
        <v>43637</v>
      </c>
      <c r="C149" s="4">
        <v>0.67361111111111116</v>
      </c>
      <c r="D149" s="15">
        <f t="shared" si="4"/>
        <v>16</v>
      </c>
      <c r="E149" s="15" t="str">
        <f t="shared" si="5"/>
        <v>After 15</v>
      </c>
      <c r="F149" t="s">
        <v>663</v>
      </c>
      <c r="G149" s="16" t="str">
        <f>VLOOKUP(F149,DISTRICTS!B$2:C$626,2,FALSE)</f>
        <v>CHAMBERÍ</v>
      </c>
      <c r="H149" s="16" t="str">
        <f>IFERROR(VLOOKUP(G149,'areas for question 4'!A$2:B$10,2,FALSE),"")</f>
        <v>North</v>
      </c>
      <c r="I149" t="s">
        <v>1447</v>
      </c>
      <c r="J149" t="s">
        <v>1450</v>
      </c>
      <c r="K149" t="s">
        <v>1456</v>
      </c>
      <c r="L149" t="s">
        <v>1463</v>
      </c>
      <c r="M149" t="s">
        <v>1477</v>
      </c>
      <c r="N149" s="18" t="s">
        <v>34</v>
      </c>
    </row>
    <row r="150" spans="1:14" x14ac:dyDescent="0.25">
      <c r="A150" t="s">
        <v>682</v>
      </c>
      <c r="B150" s="7">
        <v>43642</v>
      </c>
      <c r="C150" s="4">
        <v>0.81944444444444453</v>
      </c>
      <c r="D150" s="15">
        <f t="shared" si="4"/>
        <v>19</v>
      </c>
      <c r="E150" s="15" t="str">
        <f t="shared" si="5"/>
        <v>After 15</v>
      </c>
      <c r="F150" t="s">
        <v>683</v>
      </c>
      <c r="G150" s="16" t="str">
        <f>VLOOKUP(F150,DISTRICTS!B$2:C$626,2,FALSE)</f>
        <v>RETIRO</v>
      </c>
      <c r="H150" s="16" t="str">
        <f>IFERROR(VLOOKUP(G150,'areas for question 4'!A$2:B$10,2,FALSE),"")</f>
        <v/>
      </c>
      <c r="I150" t="s">
        <v>1441</v>
      </c>
      <c r="J150" t="s">
        <v>1450</v>
      </c>
      <c r="K150" t="s">
        <v>1456</v>
      </c>
      <c r="L150" t="s">
        <v>1463</v>
      </c>
      <c r="M150" t="s">
        <v>1477</v>
      </c>
      <c r="N150" s="18">
        <v>7</v>
      </c>
    </row>
    <row r="151" spans="1:14" x14ac:dyDescent="0.25">
      <c r="A151" t="s">
        <v>684</v>
      </c>
      <c r="B151" s="7">
        <v>43642</v>
      </c>
      <c r="C151" s="4">
        <v>0.71250000000000002</v>
      </c>
      <c r="D151" s="15">
        <f t="shared" si="4"/>
        <v>17</v>
      </c>
      <c r="E151" s="15" t="str">
        <f t="shared" si="5"/>
        <v>After 15</v>
      </c>
      <c r="F151" t="s">
        <v>162</v>
      </c>
      <c r="G151" s="16" t="str">
        <f>VLOOKUP(F151,DISTRICTS!B$2:C$626,2,FALSE)</f>
        <v>RETIRO</v>
      </c>
      <c r="H151" s="16" t="str">
        <f>IFERROR(VLOOKUP(G151,'areas for question 4'!A$2:B$10,2,FALSE),"")</f>
        <v/>
      </c>
      <c r="I151" t="s">
        <v>1446</v>
      </c>
      <c r="K151" t="s">
        <v>1456</v>
      </c>
      <c r="L151" t="s">
        <v>1463</v>
      </c>
      <c r="M151" t="s">
        <v>1477</v>
      </c>
      <c r="N151" s="18">
        <v>14</v>
      </c>
    </row>
    <row r="152" spans="1:14" x14ac:dyDescent="0.25">
      <c r="A152" t="s">
        <v>696</v>
      </c>
      <c r="B152" s="7">
        <v>43644</v>
      </c>
      <c r="C152" s="4">
        <v>0.56736111111111109</v>
      </c>
      <c r="D152" s="15">
        <f t="shared" si="4"/>
        <v>13</v>
      </c>
      <c r="E152" s="15" t="str">
        <f t="shared" si="5"/>
        <v>Before 15</v>
      </c>
      <c r="F152" t="s">
        <v>697</v>
      </c>
      <c r="G152" s="16" t="str">
        <f>VLOOKUP(F152,DISTRICTS!B$2:C$626,2,FALSE)</f>
        <v>CIUDAD LINEAL</v>
      </c>
      <c r="H152" s="16" t="str">
        <f>IFERROR(VLOOKUP(G152,'areas for question 4'!A$2:B$10,2,FALSE),"")</f>
        <v>East</v>
      </c>
      <c r="I152" t="s">
        <v>1444</v>
      </c>
      <c r="J152" t="s">
        <v>1450</v>
      </c>
      <c r="K152" t="s">
        <v>1456</v>
      </c>
      <c r="L152" t="s">
        <v>1463</v>
      </c>
      <c r="M152" t="s">
        <v>1477</v>
      </c>
      <c r="N152" s="18">
        <v>2</v>
      </c>
    </row>
    <row r="153" spans="1:14" x14ac:dyDescent="0.25">
      <c r="A153" t="s">
        <v>706</v>
      </c>
      <c r="B153" s="7">
        <v>43646</v>
      </c>
      <c r="C153" s="4">
        <v>0.66666666666666663</v>
      </c>
      <c r="D153" s="15">
        <f t="shared" si="4"/>
        <v>16</v>
      </c>
      <c r="E153" s="15" t="str">
        <f t="shared" si="5"/>
        <v>After 15</v>
      </c>
      <c r="F153" t="s">
        <v>707</v>
      </c>
      <c r="G153" s="16" t="str">
        <f>VLOOKUP(F153,DISTRICTS!B$2:C$626,2,FALSE)</f>
        <v>LATINA</v>
      </c>
      <c r="H153" s="16" t="str">
        <f>IFERROR(VLOOKUP(G153,'areas for question 4'!A$2:B$10,2,FALSE),"")</f>
        <v/>
      </c>
      <c r="I153" t="s">
        <v>1441</v>
      </c>
      <c r="J153" t="s">
        <v>1450</v>
      </c>
      <c r="K153" t="s">
        <v>1456</v>
      </c>
      <c r="L153" t="s">
        <v>1463</v>
      </c>
      <c r="M153" t="s">
        <v>1477</v>
      </c>
      <c r="N153" s="18">
        <v>2</v>
      </c>
    </row>
    <row r="154" spans="1:14" x14ac:dyDescent="0.25">
      <c r="A154" t="s">
        <v>734</v>
      </c>
      <c r="B154" s="7">
        <v>43650</v>
      </c>
      <c r="C154" s="4">
        <v>0.18055555555555555</v>
      </c>
      <c r="D154" s="15">
        <f t="shared" si="4"/>
        <v>4</v>
      </c>
      <c r="E154" s="15" t="str">
        <f t="shared" si="5"/>
        <v>Before 15</v>
      </c>
      <c r="F154" t="s">
        <v>99</v>
      </c>
      <c r="G154" s="16" t="str">
        <f>VLOOKUP(F154,DISTRICTS!B$2:C$626,2,FALSE)</f>
        <v>CENTRO</v>
      </c>
      <c r="H154" s="16" t="str">
        <f>IFERROR(VLOOKUP(G154,'areas for question 4'!A$2:B$10,2,FALSE),"")</f>
        <v/>
      </c>
      <c r="I154" t="s">
        <v>1449</v>
      </c>
      <c r="J154" t="s">
        <v>1450</v>
      </c>
      <c r="K154" t="s">
        <v>1456</v>
      </c>
      <c r="L154" t="s">
        <v>1463</v>
      </c>
      <c r="M154" t="s">
        <v>1477</v>
      </c>
      <c r="N154" s="18">
        <v>14</v>
      </c>
    </row>
    <row r="155" spans="1:14" x14ac:dyDescent="0.25">
      <c r="A155" t="s">
        <v>734</v>
      </c>
      <c r="B155" s="7">
        <v>43650</v>
      </c>
      <c r="C155" s="4">
        <v>0.18055555555555555</v>
      </c>
      <c r="D155" s="15">
        <f t="shared" si="4"/>
        <v>4</v>
      </c>
      <c r="E155" s="15" t="str">
        <f t="shared" si="5"/>
        <v>Before 15</v>
      </c>
      <c r="F155" t="s">
        <v>99</v>
      </c>
      <c r="G155" s="16" t="str">
        <f>VLOOKUP(F155,DISTRICTS!B$2:C$626,2,FALSE)</f>
        <v>CENTRO</v>
      </c>
      <c r="H155" s="16" t="str">
        <f>IFERROR(VLOOKUP(G155,'areas for question 4'!A$2:B$10,2,FALSE),"")</f>
        <v/>
      </c>
      <c r="I155" t="s">
        <v>1449</v>
      </c>
      <c r="J155" t="s">
        <v>1450</v>
      </c>
      <c r="K155" t="s">
        <v>1457</v>
      </c>
      <c r="L155" t="s">
        <v>1463</v>
      </c>
      <c r="M155" t="s">
        <v>1478</v>
      </c>
      <c r="N155" s="18">
        <v>6</v>
      </c>
    </row>
    <row r="156" spans="1:14" x14ac:dyDescent="0.25">
      <c r="A156" t="s">
        <v>739</v>
      </c>
      <c r="B156" s="7">
        <v>43651</v>
      </c>
      <c r="C156" s="4">
        <v>0.81597222222222221</v>
      </c>
      <c r="D156" s="15">
        <f t="shared" si="4"/>
        <v>19</v>
      </c>
      <c r="E156" s="15" t="str">
        <f t="shared" si="5"/>
        <v>After 15</v>
      </c>
      <c r="F156" t="s">
        <v>740</v>
      </c>
      <c r="G156" s="16" t="str">
        <f>VLOOKUP(F156,DISTRICTS!B$2:C$626,2,FALSE)</f>
        <v>TETUÁN</v>
      </c>
      <c r="H156" s="16" t="str">
        <f>IFERROR(VLOOKUP(G156,'areas for question 4'!A$2:B$10,2,FALSE),"")</f>
        <v>North</v>
      </c>
      <c r="I156" t="s">
        <v>1446</v>
      </c>
      <c r="J156" t="s">
        <v>1450</v>
      </c>
      <c r="K156" t="s">
        <v>1456</v>
      </c>
      <c r="L156" t="s">
        <v>1463</v>
      </c>
      <c r="M156" t="s">
        <v>1477</v>
      </c>
      <c r="N156" s="18" t="s">
        <v>34</v>
      </c>
    </row>
    <row r="157" spans="1:14" x14ac:dyDescent="0.25">
      <c r="A157" t="s">
        <v>743</v>
      </c>
      <c r="B157" s="7">
        <v>43651</v>
      </c>
      <c r="C157" s="4">
        <v>5.2083333333333336E-2</v>
      </c>
      <c r="D157" s="15">
        <f t="shared" si="4"/>
        <v>1</v>
      </c>
      <c r="E157" s="15" t="str">
        <f t="shared" si="5"/>
        <v>Before 15</v>
      </c>
      <c r="F157" t="s">
        <v>744</v>
      </c>
      <c r="G157" s="16" t="str">
        <f>VLOOKUP(F157,DISTRICTS!B$2:C$626,2,FALSE)</f>
        <v>RETIRO</v>
      </c>
      <c r="H157" s="16" t="str">
        <f>IFERROR(VLOOKUP(G157,'areas for question 4'!A$2:B$10,2,FALSE),"")</f>
        <v/>
      </c>
      <c r="I157" t="s">
        <v>1441</v>
      </c>
      <c r="J157" t="s">
        <v>1450</v>
      </c>
      <c r="K157" t="s">
        <v>1456</v>
      </c>
      <c r="L157" t="s">
        <v>1463</v>
      </c>
      <c r="M157" t="s">
        <v>1477</v>
      </c>
      <c r="N157" s="18" t="s">
        <v>34</v>
      </c>
    </row>
    <row r="158" spans="1:14" x14ac:dyDescent="0.25">
      <c r="A158" t="s">
        <v>750</v>
      </c>
      <c r="B158" s="7">
        <v>43652</v>
      </c>
      <c r="C158" s="4">
        <v>0.1388888888888889</v>
      </c>
      <c r="D158" s="15">
        <f t="shared" si="4"/>
        <v>3</v>
      </c>
      <c r="E158" s="15" t="str">
        <f t="shared" si="5"/>
        <v>Before 15</v>
      </c>
      <c r="F158" t="s">
        <v>483</v>
      </c>
      <c r="G158" s="16" t="str">
        <f>VLOOKUP(F158,DISTRICTS!B$2:C$626,2,FALSE)</f>
        <v>CHAMBERÍ</v>
      </c>
      <c r="H158" s="16" t="str">
        <f>IFERROR(VLOOKUP(G158,'areas for question 4'!A$2:B$10,2,FALSE),"")</f>
        <v>North</v>
      </c>
      <c r="I158" t="s">
        <v>1444</v>
      </c>
      <c r="J158" t="s">
        <v>1450</v>
      </c>
      <c r="K158" t="s">
        <v>1456</v>
      </c>
      <c r="L158" t="s">
        <v>1463</v>
      </c>
      <c r="M158" t="s">
        <v>1477</v>
      </c>
      <c r="N158" s="18">
        <v>7</v>
      </c>
    </row>
    <row r="159" spans="1:14" x14ac:dyDescent="0.25">
      <c r="A159" t="s">
        <v>807</v>
      </c>
      <c r="B159" s="7">
        <v>43667</v>
      </c>
      <c r="C159" s="4">
        <v>0.92708333333333337</v>
      </c>
      <c r="D159" s="15">
        <f t="shared" si="4"/>
        <v>22</v>
      </c>
      <c r="E159" s="15" t="str">
        <f t="shared" si="5"/>
        <v>After 15</v>
      </c>
      <c r="F159" t="s">
        <v>808</v>
      </c>
      <c r="G159" s="16" t="str">
        <f>VLOOKUP(F159,DISTRICTS!B$2:C$626,2,FALSE)</f>
        <v>RETIRO</v>
      </c>
      <c r="H159" s="16" t="str">
        <f>IFERROR(VLOOKUP(G159,'areas for question 4'!A$2:B$10,2,FALSE),"")</f>
        <v/>
      </c>
      <c r="I159" t="s">
        <v>1444</v>
      </c>
      <c r="J159" t="s">
        <v>1450</v>
      </c>
      <c r="K159" t="s">
        <v>1456</v>
      </c>
      <c r="L159" t="s">
        <v>1463</v>
      </c>
      <c r="M159" t="s">
        <v>1477</v>
      </c>
      <c r="N159" s="18">
        <v>2</v>
      </c>
    </row>
    <row r="160" spans="1:14" x14ac:dyDescent="0.25">
      <c r="A160" t="s">
        <v>815</v>
      </c>
      <c r="B160" s="7">
        <v>43668</v>
      </c>
      <c r="C160" s="4">
        <v>0.35416666666666669</v>
      </c>
      <c r="D160" s="15">
        <f t="shared" si="4"/>
        <v>8</v>
      </c>
      <c r="E160" s="15" t="str">
        <f t="shared" si="5"/>
        <v>Before 15</v>
      </c>
      <c r="F160" t="s">
        <v>816</v>
      </c>
      <c r="G160" s="16" t="str">
        <f>VLOOKUP(F160,DISTRICTS!B$2:C$626,2,FALSE)</f>
        <v>TETUÁN</v>
      </c>
      <c r="H160" s="16" t="str">
        <f>IFERROR(VLOOKUP(G160,'areas for question 4'!A$2:B$10,2,FALSE),"")</f>
        <v>North</v>
      </c>
      <c r="I160" t="s">
        <v>1444</v>
      </c>
      <c r="J160" t="s">
        <v>1454</v>
      </c>
      <c r="K160" t="s">
        <v>1456</v>
      </c>
      <c r="L160" t="s">
        <v>1463</v>
      </c>
      <c r="M160" t="s">
        <v>1478</v>
      </c>
      <c r="N160" s="18">
        <v>7</v>
      </c>
    </row>
    <row r="161" spans="1:14" x14ac:dyDescent="0.25">
      <c r="A161" t="s">
        <v>839</v>
      </c>
      <c r="B161" s="7">
        <v>43676</v>
      </c>
      <c r="C161" s="4">
        <v>0.96180555555555547</v>
      </c>
      <c r="D161" s="15">
        <f t="shared" si="4"/>
        <v>23</v>
      </c>
      <c r="E161" s="15" t="str">
        <f t="shared" si="5"/>
        <v>After 15</v>
      </c>
      <c r="F161" t="s">
        <v>840</v>
      </c>
      <c r="G161" s="16" t="str">
        <f>VLOOKUP(F161,DISTRICTS!B$2:C$626,2,FALSE)</f>
        <v>CENTRO</v>
      </c>
      <c r="H161" s="16" t="str">
        <f>IFERROR(VLOOKUP(G161,'areas for question 4'!A$2:B$10,2,FALSE),"")</f>
        <v/>
      </c>
      <c r="I161" t="s">
        <v>1444</v>
      </c>
      <c r="J161" t="s">
        <v>1450</v>
      </c>
      <c r="K161" t="s">
        <v>1456</v>
      </c>
      <c r="L161" t="s">
        <v>1463</v>
      </c>
      <c r="M161" t="s">
        <v>1478</v>
      </c>
      <c r="N161" s="18">
        <v>7</v>
      </c>
    </row>
    <row r="162" spans="1:14" x14ac:dyDescent="0.25">
      <c r="A162" t="s">
        <v>917</v>
      </c>
      <c r="B162" s="7">
        <v>43703</v>
      </c>
      <c r="C162" s="4">
        <v>0.64583333333333337</v>
      </c>
      <c r="D162" s="15">
        <f t="shared" si="4"/>
        <v>15</v>
      </c>
      <c r="E162" s="15" t="str">
        <f t="shared" si="5"/>
        <v>After 15</v>
      </c>
      <c r="F162" t="s">
        <v>918</v>
      </c>
      <c r="G162" s="16" t="str">
        <f>VLOOKUP(F162,DISTRICTS!B$2:C$626,2,FALSE)</f>
        <v>MONCLOA-ARAVACA</v>
      </c>
      <c r="H162" s="16" t="str">
        <f>IFERROR(VLOOKUP(G162,'areas for question 4'!A$2:B$10,2,FALSE),"")</f>
        <v/>
      </c>
      <c r="I162" t="s">
        <v>1445</v>
      </c>
      <c r="J162" t="s">
        <v>1454</v>
      </c>
      <c r="K162" t="s">
        <v>1456</v>
      </c>
      <c r="L162" t="s">
        <v>1463</v>
      </c>
      <c r="M162" t="s">
        <v>1477</v>
      </c>
      <c r="N162" s="18">
        <v>6</v>
      </c>
    </row>
    <row r="163" spans="1:14" x14ac:dyDescent="0.25">
      <c r="A163" t="s">
        <v>933</v>
      </c>
      <c r="B163" s="7">
        <v>43707</v>
      </c>
      <c r="C163" s="4">
        <v>0.90277777777777779</v>
      </c>
      <c r="D163" s="15">
        <f t="shared" si="4"/>
        <v>21</v>
      </c>
      <c r="E163" s="15" t="str">
        <f t="shared" si="5"/>
        <v>After 15</v>
      </c>
      <c r="F163" t="s">
        <v>934</v>
      </c>
      <c r="G163" s="16" t="str">
        <f>VLOOKUP(F163,DISTRICTS!B$2:C$626,2,FALSE)</f>
        <v>MONCLOA-ARAVACA</v>
      </c>
      <c r="H163" s="16" t="str">
        <f>IFERROR(VLOOKUP(G163,'areas for question 4'!A$2:B$10,2,FALSE),"")</f>
        <v/>
      </c>
      <c r="I163" t="s">
        <v>1446</v>
      </c>
      <c r="J163" t="s">
        <v>1450</v>
      </c>
      <c r="K163" t="s">
        <v>1456</v>
      </c>
      <c r="L163" t="s">
        <v>1463</v>
      </c>
      <c r="M163" t="s">
        <v>1477</v>
      </c>
      <c r="N163" s="18">
        <v>5</v>
      </c>
    </row>
    <row r="164" spans="1:14" x14ac:dyDescent="0.25">
      <c r="A164" t="s">
        <v>1016</v>
      </c>
      <c r="B164" s="7">
        <v>43722</v>
      </c>
      <c r="C164" s="4">
        <v>7.5694444444444439E-2</v>
      </c>
      <c r="D164" s="15">
        <f t="shared" si="4"/>
        <v>1</v>
      </c>
      <c r="E164" s="15" t="str">
        <f t="shared" si="5"/>
        <v>Before 15</v>
      </c>
      <c r="F164" t="s">
        <v>99</v>
      </c>
      <c r="G164" s="16" t="str">
        <f>VLOOKUP(F164,DISTRICTS!B$2:C$626,2,FALSE)</f>
        <v>CENTRO</v>
      </c>
      <c r="H164" s="16" t="str">
        <f>IFERROR(VLOOKUP(G164,'areas for question 4'!A$2:B$10,2,FALSE),"")</f>
        <v/>
      </c>
      <c r="I164" t="s">
        <v>1444</v>
      </c>
      <c r="J164" t="s">
        <v>1450</v>
      </c>
      <c r="K164" t="s">
        <v>1456</v>
      </c>
      <c r="L164" t="s">
        <v>1463</v>
      </c>
      <c r="M164" t="s">
        <v>1477</v>
      </c>
      <c r="N164" s="18">
        <v>7</v>
      </c>
    </row>
    <row r="165" spans="1:14" x14ac:dyDescent="0.25">
      <c r="A165" t="s">
        <v>1034</v>
      </c>
      <c r="B165" s="7">
        <v>43726</v>
      </c>
      <c r="C165" s="4">
        <v>0.63888888888888895</v>
      </c>
      <c r="D165" s="15">
        <f t="shared" si="4"/>
        <v>15</v>
      </c>
      <c r="E165" s="15" t="str">
        <f t="shared" si="5"/>
        <v>After 15</v>
      </c>
      <c r="F165" t="s">
        <v>488</v>
      </c>
      <c r="G165" s="16" t="str">
        <f>VLOOKUP(F165,DISTRICTS!B$2:C$626,2,FALSE)</f>
        <v>CENTRO</v>
      </c>
      <c r="H165" s="16" t="str">
        <f>IFERROR(VLOOKUP(G165,'areas for question 4'!A$2:B$10,2,FALSE),"")</f>
        <v/>
      </c>
      <c r="I165" t="s">
        <v>1443</v>
      </c>
      <c r="J165" t="s">
        <v>1450</v>
      </c>
      <c r="K165" t="s">
        <v>1456</v>
      </c>
      <c r="L165" t="s">
        <v>1463</v>
      </c>
      <c r="M165" t="s">
        <v>1477</v>
      </c>
      <c r="N165" s="18">
        <v>14</v>
      </c>
    </row>
    <row r="166" spans="1:14" x14ac:dyDescent="0.25">
      <c r="A166" t="s">
        <v>1041</v>
      </c>
      <c r="B166" s="7">
        <v>43727</v>
      </c>
      <c r="C166" s="4">
        <v>0.55208333333333337</v>
      </c>
      <c r="D166" s="15">
        <f t="shared" si="4"/>
        <v>13</v>
      </c>
      <c r="E166" s="15" t="str">
        <f t="shared" si="5"/>
        <v>Before 15</v>
      </c>
      <c r="F166" t="s">
        <v>1042</v>
      </c>
      <c r="G166" s="16" t="str">
        <f>VLOOKUP(F166,DISTRICTS!B$2:C$626,2,FALSE)</f>
        <v>PUENTE DE VALLECAS</v>
      </c>
      <c r="H166" s="16" t="str">
        <f>IFERROR(VLOOKUP(G166,'areas for question 4'!A$2:B$10,2,FALSE),"")</f>
        <v/>
      </c>
      <c r="I166" t="s">
        <v>1446</v>
      </c>
      <c r="J166" t="s">
        <v>1450</v>
      </c>
      <c r="K166" t="s">
        <v>1456</v>
      </c>
      <c r="L166" t="s">
        <v>1463</v>
      </c>
      <c r="M166" t="s">
        <v>1477</v>
      </c>
      <c r="N166" s="18">
        <v>14</v>
      </c>
    </row>
    <row r="167" spans="1:14" x14ac:dyDescent="0.25">
      <c r="A167" t="s">
        <v>1044</v>
      </c>
      <c r="B167" s="7">
        <v>43728</v>
      </c>
      <c r="C167" s="4">
        <v>0.90138888888888891</v>
      </c>
      <c r="D167" s="15">
        <f t="shared" si="4"/>
        <v>21</v>
      </c>
      <c r="E167" s="15" t="str">
        <f t="shared" si="5"/>
        <v>After 15</v>
      </c>
      <c r="F167" t="s">
        <v>1045</v>
      </c>
      <c r="G167" s="16" t="str">
        <f>VLOOKUP(F167,DISTRICTS!B$2:C$626,2,FALSE)</f>
        <v>CHAMBERÍ</v>
      </c>
      <c r="H167" s="16" t="str">
        <f>IFERROR(VLOOKUP(G167,'areas for question 4'!A$2:B$10,2,FALSE),"")</f>
        <v>North</v>
      </c>
      <c r="I167" t="s">
        <v>1446</v>
      </c>
      <c r="J167" t="s">
        <v>1452</v>
      </c>
      <c r="K167" t="s">
        <v>1456</v>
      </c>
      <c r="L167" t="s">
        <v>1463</v>
      </c>
      <c r="M167" t="s">
        <v>1477</v>
      </c>
      <c r="N167" s="18" t="s">
        <v>34</v>
      </c>
    </row>
    <row r="168" spans="1:14" x14ac:dyDescent="0.25">
      <c r="A168" t="s">
        <v>1064</v>
      </c>
      <c r="B168" s="7">
        <v>43732</v>
      </c>
      <c r="C168" s="4">
        <v>0.81944444444444453</v>
      </c>
      <c r="D168" s="15">
        <f t="shared" si="4"/>
        <v>19</v>
      </c>
      <c r="E168" s="15" t="str">
        <f t="shared" si="5"/>
        <v>After 15</v>
      </c>
      <c r="F168" t="s">
        <v>925</v>
      </c>
      <c r="G168" s="16" t="str">
        <f>VLOOKUP(F168,DISTRICTS!B$2:C$626,2,FALSE)</f>
        <v>MORATALAZ</v>
      </c>
      <c r="H168" s="16" t="str">
        <f>IFERROR(VLOOKUP(G168,'areas for question 4'!A$2:B$10,2,FALSE),"")</f>
        <v>East</v>
      </c>
      <c r="I168" t="s">
        <v>1446</v>
      </c>
      <c r="J168" t="s">
        <v>1450</v>
      </c>
      <c r="K168" t="s">
        <v>1456</v>
      </c>
      <c r="L168" t="s">
        <v>1463</v>
      </c>
      <c r="M168" t="s">
        <v>1477</v>
      </c>
      <c r="N168" s="18">
        <v>5</v>
      </c>
    </row>
    <row r="169" spans="1:14" x14ac:dyDescent="0.25">
      <c r="A169" t="s">
        <v>1067</v>
      </c>
      <c r="B169" s="7">
        <v>43734</v>
      </c>
      <c r="C169" s="4">
        <v>0.98819444444444438</v>
      </c>
      <c r="D169" s="15">
        <f t="shared" si="4"/>
        <v>23</v>
      </c>
      <c r="E169" s="15" t="str">
        <f t="shared" si="5"/>
        <v>After 15</v>
      </c>
      <c r="F169" t="s">
        <v>1068</v>
      </c>
      <c r="G169" s="16" t="str">
        <f>VLOOKUP(F169,DISTRICTS!B$2:C$626,2,FALSE)</f>
        <v>CENTRO</v>
      </c>
      <c r="H169" s="16" t="str">
        <f>IFERROR(VLOOKUP(G169,'areas for question 4'!A$2:B$10,2,FALSE),"")</f>
        <v/>
      </c>
      <c r="I169" t="s">
        <v>1441</v>
      </c>
      <c r="J169" t="s">
        <v>1450</v>
      </c>
      <c r="K169" t="s">
        <v>1456</v>
      </c>
      <c r="L169" t="s">
        <v>1463</v>
      </c>
      <c r="M169" t="s">
        <v>1477</v>
      </c>
      <c r="N169" s="18">
        <v>14</v>
      </c>
    </row>
    <row r="170" spans="1:14" x14ac:dyDescent="0.25">
      <c r="A170" t="s">
        <v>1075</v>
      </c>
      <c r="B170" s="7">
        <v>43735</v>
      </c>
      <c r="C170" s="4">
        <v>0.68055555555555547</v>
      </c>
      <c r="D170" s="15">
        <f t="shared" si="4"/>
        <v>16</v>
      </c>
      <c r="E170" s="15" t="str">
        <f t="shared" si="5"/>
        <v>After 15</v>
      </c>
      <c r="F170" t="s">
        <v>1076</v>
      </c>
      <c r="G170" s="16" t="str">
        <f>VLOOKUP(F170,DISTRICTS!B$2:C$626,2,FALSE)</f>
        <v>ARGANZUELA</v>
      </c>
      <c r="H170" s="16" t="str">
        <f>IFERROR(VLOOKUP(G170,'areas for question 4'!A$2:B$10,2,FALSE),"")</f>
        <v/>
      </c>
      <c r="I170" t="s">
        <v>1446</v>
      </c>
      <c r="J170" t="s">
        <v>1450</v>
      </c>
      <c r="K170" t="s">
        <v>1456</v>
      </c>
      <c r="L170" t="s">
        <v>1463</v>
      </c>
      <c r="M170" t="s">
        <v>1477</v>
      </c>
      <c r="N170" s="18">
        <v>7</v>
      </c>
    </row>
    <row r="171" spans="1:14" x14ac:dyDescent="0.25">
      <c r="A171" t="s">
        <v>1085</v>
      </c>
      <c r="B171" s="7">
        <v>43737</v>
      </c>
      <c r="C171" s="4">
        <v>0.93402777777777779</v>
      </c>
      <c r="D171" s="15">
        <f t="shared" si="4"/>
        <v>22</v>
      </c>
      <c r="E171" s="15" t="str">
        <f t="shared" si="5"/>
        <v>After 15</v>
      </c>
      <c r="F171" t="s">
        <v>1086</v>
      </c>
      <c r="G171" s="16" t="str">
        <f>VLOOKUP(F171,DISTRICTS!B$2:C$626,2,FALSE)</f>
        <v>SALAMANCA</v>
      </c>
      <c r="H171" s="16" t="str">
        <f>IFERROR(VLOOKUP(G171,'areas for question 4'!A$2:B$10,2,FALSE),"")</f>
        <v/>
      </c>
      <c r="I171" t="s">
        <v>1444</v>
      </c>
      <c r="J171" t="s">
        <v>1450</v>
      </c>
      <c r="K171" t="s">
        <v>1456</v>
      </c>
      <c r="L171" t="s">
        <v>1463</v>
      </c>
      <c r="M171" t="s">
        <v>1477</v>
      </c>
      <c r="N171" s="18">
        <v>1</v>
      </c>
    </row>
    <row r="172" spans="1:14" x14ac:dyDescent="0.25">
      <c r="A172" t="s">
        <v>1137</v>
      </c>
      <c r="B172" s="7">
        <v>43742</v>
      </c>
      <c r="C172" s="4">
        <v>0.84375</v>
      </c>
      <c r="D172" s="15">
        <f t="shared" si="4"/>
        <v>20</v>
      </c>
      <c r="E172" s="15" t="str">
        <f t="shared" si="5"/>
        <v>After 15</v>
      </c>
      <c r="F172" t="s">
        <v>99</v>
      </c>
      <c r="G172" s="16" t="str">
        <f>VLOOKUP(F172,DISTRICTS!B$2:C$626,2,FALSE)</f>
        <v>CENTRO</v>
      </c>
      <c r="H172" s="16" t="str">
        <f>IFERROR(VLOOKUP(G172,'areas for question 4'!A$2:B$10,2,FALSE),"")</f>
        <v/>
      </c>
      <c r="I172" t="s">
        <v>1444</v>
      </c>
      <c r="J172" t="s">
        <v>1450</v>
      </c>
      <c r="K172" t="s">
        <v>1456</v>
      </c>
      <c r="L172" t="s">
        <v>1463</v>
      </c>
      <c r="M172" t="s">
        <v>1477</v>
      </c>
      <c r="N172" s="18">
        <v>7</v>
      </c>
    </row>
    <row r="173" spans="1:14" x14ac:dyDescent="0.25">
      <c r="A173" t="s">
        <v>1173</v>
      </c>
      <c r="B173" s="7">
        <v>43748</v>
      </c>
      <c r="C173" s="4">
        <v>0.86458333333333337</v>
      </c>
      <c r="D173" s="15">
        <f t="shared" si="4"/>
        <v>20</v>
      </c>
      <c r="E173" s="15" t="str">
        <f t="shared" si="5"/>
        <v>After 15</v>
      </c>
      <c r="F173" t="s">
        <v>1174</v>
      </c>
      <c r="G173" s="16" t="str">
        <f>VLOOKUP(F173,DISTRICTS!B$2:C$626,2,FALSE)</f>
        <v>MORATALAZ</v>
      </c>
      <c r="H173" s="16" t="str">
        <f>IFERROR(VLOOKUP(G173,'areas for question 4'!A$2:B$10,2,FALSE),"")</f>
        <v>East</v>
      </c>
      <c r="I173" t="s">
        <v>1446</v>
      </c>
      <c r="J173" t="s">
        <v>1450</v>
      </c>
      <c r="K173" t="s">
        <v>1456</v>
      </c>
      <c r="L173" t="s">
        <v>1463</v>
      </c>
      <c r="M173" t="s">
        <v>1477</v>
      </c>
      <c r="N173" s="18">
        <v>7</v>
      </c>
    </row>
    <row r="174" spans="1:14" x14ac:dyDescent="0.25">
      <c r="A174" t="s">
        <v>1187</v>
      </c>
      <c r="B174" s="7">
        <v>43752</v>
      </c>
      <c r="C174" s="4">
        <v>0.3298611111111111</v>
      </c>
      <c r="D174" s="15">
        <f t="shared" si="4"/>
        <v>7</v>
      </c>
      <c r="E174" s="15" t="str">
        <f t="shared" si="5"/>
        <v>Before 15</v>
      </c>
      <c r="F174" t="s">
        <v>1188</v>
      </c>
      <c r="G174" s="16" t="str">
        <f>VLOOKUP(F174,DISTRICTS!B$2:C$626,2,FALSE)</f>
        <v>USERA</v>
      </c>
      <c r="H174" s="16" t="str">
        <f>IFERROR(VLOOKUP(G174,'areas for question 4'!A$2:B$10,2,FALSE),"")</f>
        <v/>
      </c>
      <c r="I174" t="s">
        <v>1446</v>
      </c>
      <c r="J174" t="s">
        <v>1452</v>
      </c>
      <c r="K174" t="s">
        <v>1456</v>
      </c>
      <c r="L174" t="s">
        <v>1463</v>
      </c>
      <c r="M174" t="s">
        <v>1477</v>
      </c>
      <c r="N174" s="18">
        <v>7</v>
      </c>
    </row>
    <row r="175" spans="1:14" x14ac:dyDescent="0.25">
      <c r="A175" t="s">
        <v>1246</v>
      </c>
      <c r="B175" s="7">
        <v>43766</v>
      </c>
      <c r="C175" s="4">
        <v>0.65625</v>
      </c>
      <c r="D175" s="15">
        <f t="shared" si="4"/>
        <v>15</v>
      </c>
      <c r="E175" s="15" t="str">
        <f t="shared" si="5"/>
        <v>After 15</v>
      </c>
      <c r="F175" t="s">
        <v>158</v>
      </c>
      <c r="G175" s="16" t="str">
        <f>VLOOKUP(F175,DISTRICTS!B$2:C$626,2,FALSE)</f>
        <v>RETIRO</v>
      </c>
      <c r="H175" s="16" t="str">
        <f>IFERROR(VLOOKUP(G175,'areas for question 4'!A$2:B$10,2,FALSE),"")</f>
        <v/>
      </c>
      <c r="I175" t="s">
        <v>1444</v>
      </c>
      <c r="J175" t="s">
        <v>1450</v>
      </c>
      <c r="K175" t="s">
        <v>1456</v>
      </c>
      <c r="L175" t="s">
        <v>1463</v>
      </c>
      <c r="M175" t="s">
        <v>1477</v>
      </c>
      <c r="N175" s="18">
        <v>3</v>
      </c>
    </row>
    <row r="176" spans="1:14" x14ac:dyDescent="0.25">
      <c r="A176" t="s">
        <v>1253</v>
      </c>
      <c r="B176" s="7">
        <v>43769</v>
      </c>
      <c r="C176" s="4">
        <v>0.87847222222222221</v>
      </c>
      <c r="D176" s="15">
        <f t="shared" si="4"/>
        <v>21</v>
      </c>
      <c r="E176" s="15" t="str">
        <f t="shared" si="5"/>
        <v>After 15</v>
      </c>
      <c r="F176" t="s">
        <v>148</v>
      </c>
      <c r="G176" s="16" t="str">
        <f>VLOOKUP(F176,DISTRICTS!B$2:C$626,2,FALSE)</f>
        <v>CENTRO</v>
      </c>
      <c r="H176" s="16" t="str">
        <f>IFERROR(VLOOKUP(G176,'areas for question 4'!A$2:B$10,2,FALSE),"")</f>
        <v/>
      </c>
      <c r="I176" t="s">
        <v>1441</v>
      </c>
      <c r="J176" t="s">
        <v>1450</v>
      </c>
      <c r="K176" t="s">
        <v>1456</v>
      </c>
      <c r="L176" t="s">
        <v>1463</v>
      </c>
      <c r="M176" t="s">
        <v>1477</v>
      </c>
      <c r="N176" s="18">
        <v>2</v>
      </c>
    </row>
    <row r="177" spans="1:14" x14ac:dyDescent="0.25">
      <c r="A177" t="s">
        <v>1254</v>
      </c>
      <c r="B177" s="7">
        <v>43769</v>
      </c>
      <c r="C177" s="4">
        <v>0.65972222222222221</v>
      </c>
      <c r="D177" s="15">
        <f t="shared" si="4"/>
        <v>15</v>
      </c>
      <c r="E177" s="15" t="str">
        <f t="shared" si="5"/>
        <v>After 15</v>
      </c>
      <c r="F177" t="s">
        <v>946</v>
      </c>
      <c r="G177" s="16" t="str">
        <f>VLOOKUP(F177,DISTRICTS!B$2:C$626,2,FALSE)</f>
        <v>ARGANZUELA</v>
      </c>
      <c r="H177" s="16" t="str">
        <f>IFERROR(VLOOKUP(G177,'areas for question 4'!A$2:B$10,2,FALSE),"")</f>
        <v/>
      </c>
      <c r="I177" t="s">
        <v>1444</v>
      </c>
      <c r="J177" t="s">
        <v>1450</v>
      </c>
      <c r="K177" t="s">
        <v>1456</v>
      </c>
      <c r="L177" t="s">
        <v>1463</v>
      </c>
      <c r="M177" t="s">
        <v>1477</v>
      </c>
      <c r="N177" s="18">
        <v>1</v>
      </c>
    </row>
    <row r="178" spans="1:14" x14ac:dyDescent="0.25">
      <c r="A178" t="s">
        <v>1279</v>
      </c>
      <c r="B178" s="7">
        <v>43779</v>
      </c>
      <c r="C178" s="4">
        <v>6.9444444444444441E-3</v>
      </c>
      <c r="D178" s="15">
        <f t="shared" si="4"/>
        <v>0</v>
      </c>
      <c r="E178" s="15" t="str">
        <f t="shared" si="5"/>
        <v>Before 15</v>
      </c>
      <c r="F178" t="s">
        <v>1280</v>
      </c>
      <c r="G178" s="16" t="str">
        <f>VLOOKUP(F178,DISTRICTS!B$2:C$626,2,FALSE)</f>
        <v>CENTRO</v>
      </c>
      <c r="H178" s="16" t="str">
        <f>IFERROR(VLOOKUP(G178,'areas for question 4'!A$2:B$10,2,FALSE),"")</f>
        <v/>
      </c>
      <c r="I178" t="s">
        <v>1446</v>
      </c>
      <c r="K178" t="s">
        <v>1456</v>
      </c>
      <c r="L178" t="s">
        <v>1463</v>
      </c>
      <c r="M178" t="s">
        <v>1477</v>
      </c>
      <c r="N178" s="18" t="s">
        <v>34</v>
      </c>
    </row>
    <row r="179" spans="1:14" x14ac:dyDescent="0.25">
      <c r="A179" t="s">
        <v>1294</v>
      </c>
      <c r="B179" s="7">
        <v>43782</v>
      </c>
      <c r="C179" s="4">
        <v>0.81944444444444453</v>
      </c>
      <c r="D179" s="15">
        <f t="shared" si="4"/>
        <v>19</v>
      </c>
      <c r="E179" s="15" t="str">
        <f t="shared" si="5"/>
        <v>After 15</v>
      </c>
      <c r="F179" t="s">
        <v>1295</v>
      </c>
      <c r="G179" s="16" t="str">
        <f>VLOOKUP(F179,DISTRICTS!B$2:C$626,2,FALSE)</f>
        <v>CARABANCHEL</v>
      </c>
      <c r="H179" s="16" t="str">
        <f>IFERROR(VLOOKUP(G179,'areas for question 4'!A$2:B$10,2,FALSE),"")</f>
        <v/>
      </c>
      <c r="I179" t="s">
        <v>1446</v>
      </c>
      <c r="J179" t="s">
        <v>1450</v>
      </c>
      <c r="K179" t="s">
        <v>1456</v>
      </c>
      <c r="L179" t="s">
        <v>1463</v>
      </c>
      <c r="M179" t="s">
        <v>1478</v>
      </c>
      <c r="N179" s="18">
        <v>14</v>
      </c>
    </row>
    <row r="180" spans="1:14" x14ac:dyDescent="0.25">
      <c r="A180" t="s">
        <v>1298</v>
      </c>
      <c r="B180" s="7">
        <v>43782</v>
      </c>
      <c r="C180" s="4">
        <v>0.55902777777777779</v>
      </c>
      <c r="D180" s="15">
        <f t="shared" si="4"/>
        <v>13</v>
      </c>
      <c r="E180" s="15" t="str">
        <f t="shared" si="5"/>
        <v>Before 15</v>
      </c>
      <c r="F180" t="s">
        <v>1299</v>
      </c>
      <c r="G180" s="16" t="str">
        <f>VLOOKUP(F180,DISTRICTS!B$2:C$626,2,FALSE)</f>
        <v>ARGANZUELA</v>
      </c>
      <c r="H180" s="16" t="str">
        <f>IFERROR(VLOOKUP(G180,'areas for question 4'!A$2:B$10,2,FALSE),"")</f>
        <v/>
      </c>
      <c r="I180" t="s">
        <v>1444</v>
      </c>
      <c r="J180" t="s">
        <v>1450</v>
      </c>
      <c r="K180" t="s">
        <v>1456</v>
      </c>
      <c r="L180" t="s">
        <v>1463</v>
      </c>
      <c r="M180" t="s">
        <v>1478</v>
      </c>
      <c r="N180" s="18">
        <v>7</v>
      </c>
    </row>
    <row r="181" spans="1:14" x14ac:dyDescent="0.25">
      <c r="A181" t="s">
        <v>1306</v>
      </c>
      <c r="B181" s="7">
        <v>43783</v>
      </c>
      <c r="C181" s="4">
        <v>0.5</v>
      </c>
      <c r="D181" s="15">
        <f t="shared" si="4"/>
        <v>12</v>
      </c>
      <c r="E181" s="15" t="str">
        <f t="shared" si="5"/>
        <v>Before 15</v>
      </c>
      <c r="F181" t="s">
        <v>1307</v>
      </c>
      <c r="G181" s="16" t="str">
        <f>VLOOKUP(F181,DISTRICTS!B$2:C$626,2,FALSE)</f>
        <v>LATINA</v>
      </c>
      <c r="H181" s="16" t="str">
        <f>IFERROR(VLOOKUP(G181,'areas for question 4'!A$2:B$10,2,FALSE),"")</f>
        <v/>
      </c>
      <c r="I181" t="s">
        <v>1443</v>
      </c>
      <c r="J181" t="s">
        <v>1450</v>
      </c>
      <c r="K181" t="s">
        <v>1456</v>
      </c>
      <c r="L181" t="s">
        <v>1463</v>
      </c>
      <c r="M181" t="s">
        <v>1477</v>
      </c>
      <c r="N181" s="18">
        <v>1</v>
      </c>
    </row>
    <row r="182" spans="1:14" x14ac:dyDescent="0.25">
      <c r="A182" t="s">
        <v>1328</v>
      </c>
      <c r="B182" s="7">
        <v>43792</v>
      </c>
      <c r="C182" s="4">
        <v>0.96875</v>
      </c>
      <c r="D182" s="15">
        <f t="shared" si="4"/>
        <v>23</v>
      </c>
      <c r="E182" s="15" t="str">
        <f t="shared" si="5"/>
        <v>After 15</v>
      </c>
      <c r="F182" t="s">
        <v>1329</v>
      </c>
      <c r="G182" s="16" t="str">
        <f>VLOOKUP(F182,DISTRICTS!B$2:C$626,2,FALSE)</f>
        <v>SALAMANCA</v>
      </c>
      <c r="H182" s="16" t="str">
        <f>IFERROR(VLOOKUP(G182,'areas for question 4'!A$2:B$10,2,FALSE),"")</f>
        <v/>
      </c>
      <c r="I182" t="s">
        <v>1449</v>
      </c>
      <c r="J182" t="s">
        <v>1454</v>
      </c>
      <c r="K182" t="s">
        <v>1456</v>
      </c>
      <c r="L182" t="s">
        <v>1463</v>
      </c>
      <c r="M182" t="s">
        <v>1478</v>
      </c>
      <c r="N182" s="18">
        <v>2</v>
      </c>
    </row>
    <row r="183" spans="1:14" x14ac:dyDescent="0.25">
      <c r="A183" t="s">
        <v>1343</v>
      </c>
      <c r="B183" s="7">
        <v>43796</v>
      </c>
      <c r="C183" s="4">
        <v>0.7270833333333333</v>
      </c>
      <c r="D183" s="15">
        <f t="shared" si="4"/>
        <v>17</v>
      </c>
      <c r="E183" s="15" t="str">
        <f t="shared" si="5"/>
        <v>After 15</v>
      </c>
      <c r="F183" t="s">
        <v>1344</v>
      </c>
      <c r="G183" s="16" t="str">
        <f>VLOOKUP(F183,DISTRICTS!B$2:C$626,2,FALSE)</f>
        <v>FUENCARRAL-EL PARDO</v>
      </c>
      <c r="H183" s="16" t="str">
        <f>IFERROR(VLOOKUP(G183,'areas for question 4'!A$2:B$10,2,FALSE),"")</f>
        <v>North</v>
      </c>
      <c r="I183" t="s">
        <v>1446</v>
      </c>
      <c r="J183" t="s">
        <v>1454</v>
      </c>
      <c r="K183" t="s">
        <v>1456</v>
      </c>
      <c r="L183" t="s">
        <v>1463</v>
      </c>
      <c r="M183" t="s">
        <v>1477</v>
      </c>
      <c r="N183" s="18" t="s">
        <v>34</v>
      </c>
    </row>
    <row r="184" spans="1:14" x14ac:dyDescent="0.25">
      <c r="A184" t="s">
        <v>1348</v>
      </c>
      <c r="B184" s="7">
        <v>43798</v>
      </c>
      <c r="C184" s="4">
        <v>0.65277777777777779</v>
      </c>
      <c r="D184" s="15">
        <f t="shared" si="4"/>
        <v>15</v>
      </c>
      <c r="E184" s="15" t="str">
        <f t="shared" si="5"/>
        <v>After 15</v>
      </c>
      <c r="F184" t="s">
        <v>1349</v>
      </c>
      <c r="G184" s="16" t="str">
        <f>VLOOKUP(F184,DISTRICTS!B$2:C$626,2,FALSE)</f>
        <v>CENTRO</v>
      </c>
      <c r="H184" s="16" t="str">
        <f>IFERROR(VLOOKUP(G184,'areas for question 4'!A$2:B$10,2,FALSE),"")</f>
        <v/>
      </c>
      <c r="I184" t="s">
        <v>1444</v>
      </c>
      <c r="J184" t="s">
        <v>1452</v>
      </c>
      <c r="K184" t="s">
        <v>1456</v>
      </c>
      <c r="L184" t="s">
        <v>1463</v>
      </c>
      <c r="M184" t="s">
        <v>1477</v>
      </c>
      <c r="N184" s="18">
        <v>6</v>
      </c>
    </row>
    <row r="185" spans="1:14" x14ac:dyDescent="0.25">
      <c r="A185" t="s">
        <v>1350</v>
      </c>
      <c r="B185" s="7">
        <v>43799</v>
      </c>
      <c r="C185" s="4">
        <v>0.92708333333333337</v>
      </c>
      <c r="D185" s="15">
        <f t="shared" si="4"/>
        <v>22</v>
      </c>
      <c r="E185" s="15" t="str">
        <f t="shared" si="5"/>
        <v>After 15</v>
      </c>
      <c r="F185" t="s">
        <v>1351</v>
      </c>
      <c r="G185" s="16" t="str">
        <f>VLOOKUP(F185,DISTRICTS!B$2:C$626,2,FALSE)</f>
        <v>CHAMBERÍ</v>
      </c>
      <c r="H185" s="16" t="str">
        <f>IFERROR(VLOOKUP(G185,'areas for question 4'!A$2:B$10,2,FALSE),"")</f>
        <v>North</v>
      </c>
      <c r="I185" t="s">
        <v>1444</v>
      </c>
      <c r="J185" t="s">
        <v>1452</v>
      </c>
      <c r="K185" t="s">
        <v>1456</v>
      </c>
      <c r="L185" t="s">
        <v>1463</v>
      </c>
      <c r="M185" t="s">
        <v>1477</v>
      </c>
      <c r="N185" s="18">
        <v>7</v>
      </c>
    </row>
    <row r="186" spans="1:14" x14ac:dyDescent="0.25">
      <c r="A186" t="s">
        <v>1352</v>
      </c>
      <c r="B186" s="7">
        <v>43799</v>
      </c>
      <c r="C186" s="4">
        <v>0.63541666666666663</v>
      </c>
      <c r="D186" s="15">
        <f t="shared" si="4"/>
        <v>15</v>
      </c>
      <c r="E186" s="15" t="str">
        <f t="shared" si="5"/>
        <v>After 15</v>
      </c>
      <c r="F186" t="s">
        <v>1353</v>
      </c>
      <c r="G186" s="16" t="str">
        <f>VLOOKUP(F186,DISTRICTS!B$2:C$626,2,FALSE)</f>
        <v>CIUDAD LINEAL</v>
      </c>
      <c r="H186" s="16" t="str">
        <f>IFERROR(VLOOKUP(G186,'areas for question 4'!A$2:B$10,2,FALSE),"")</f>
        <v>East</v>
      </c>
      <c r="I186" t="s">
        <v>1446</v>
      </c>
      <c r="J186" t="s">
        <v>1450</v>
      </c>
      <c r="K186" t="s">
        <v>1456</v>
      </c>
      <c r="L186" t="s">
        <v>1463</v>
      </c>
      <c r="M186" t="s">
        <v>1477</v>
      </c>
      <c r="N186" s="18">
        <v>7</v>
      </c>
    </row>
    <row r="187" spans="1:14" x14ac:dyDescent="0.25">
      <c r="A187" t="s">
        <v>1354</v>
      </c>
      <c r="B187" s="7">
        <v>43799</v>
      </c>
      <c r="C187" s="4">
        <v>6.9444444444444434E-2</v>
      </c>
      <c r="D187" s="15">
        <f t="shared" si="4"/>
        <v>1</v>
      </c>
      <c r="E187" s="15" t="str">
        <f t="shared" si="5"/>
        <v>Before 15</v>
      </c>
      <c r="F187" t="s">
        <v>258</v>
      </c>
      <c r="G187" s="16" t="str">
        <f>VLOOKUP(F187,DISTRICTS!B$2:C$626,2,FALSE)</f>
        <v>TETUÁN</v>
      </c>
      <c r="H187" s="16" t="str">
        <f>IFERROR(VLOOKUP(G187,'areas for question 4'!A$2:B$10,2,FALSE),"")</f>
        <v>North</v>
      </c>
      <c r="I187" t="s">
        <v>1447</v>
      </c>
      <c r="J187" t="s">
        <v>1450</v>
      </c>
      <c r="K187" t="s">
        <v>1456</v>
      </c>
      <c r="L187" t="s">
        <v>1463</v>
      </c>
      <c r="M187" t="s">
        <v>1477</v>
      </c>
      <c r="N187" s="18">
        <v>7</v>
      </c>
    </row>
    <row r="188" spans="1:14" x14ac:dyDescent="0.25">
      <c r="A188" t="s">
        <v>1364</v>
      </c>
      <c r="B188" s="7">
        <v>43804</v>
      </c>
      <c r="C188" s="4">
        <v>0.97916666666666663</v>
      </c>
      <c r="D188" s="15">
        <f t="shared" si="4"/>
        <v>23</v>
      </c>
      <c r="E188" s="15" t="str">
        <f t="shared" si="5"/>
        <v>After 15</v>
      </c>
      <c r="F188" t="s">
        <v>1365</v>
      </c>
      <c r="G188" s="16" t="str">
        <f>VLOOKUP(F188,DISTRICTS!B$2:C$626,2,FALSE)</f>
        <v>CHAMBERÍ</v>
      </c>
      <c r="H188" s="16" t="str">
        <f>IFERROR(VLOOKUP(G188,'areas for question 4'!A$2:B$10,2,FALSE),"")</f>
        <v>North</v>
      </c>
      <c r="I188" t="s">
        <v>1443</v>
      </c>
      <c r="J188" t="s">
        <v>1450</v>
      </c>
      <c r="K188" t="s">
        <v>1456</v>
      </c>
      <c r="L188" t="s">
        <v>1463</v>
      </c>
      <c r="M188" t="s">
        <v>1478</v>
      </c>
      <c r="N188" s="18">
        <v>14</v>
      </c>
    </row>
    <row r="189" spans="1:14" x14ac:dyDescent="0.25">
      <c r="A189" t="s">
        <v>1364</v>
      </c>
      <c r="B189" s="7">
        <v>43804</v>
      </c>
      <c r="C189" s="4">
        <v>0.97916666666666663</v>
      </c>
      <c r="D189" s="15">
        <f t="shared" si="4"/>
        <v>23</v>
      </c>
      <c r="E189" s="15" t="str">
        <f t="shared" si="5"/>
        <v>After 15</v>
      </c>
      <c r="F189" t="s">
        <v>1365</v>
      </c>
      <c r="G189" s="16" t="str">
        <f>VLOOKUP(F189,DISTRICTS!B$2:C$626,2,FALSE)</f>
        <v>CHAMBERÍ</v>
      </c>
      <c r="H189" s="16" t="str">
        <f>IFERROR(VLOOKUP(G189,'areas for question 4'!A$2:B$10,2,FALSE),"")</f>
        <v>North</v>
      </c>
      <c r="I189" t="s">
        <v>1443</v>
      </c>
      <c r="J189" t="s">
        <v>1450</v>
      </c>
      <c r="K189" t="s">
        <v>1458</v>
      </c>
      <c r="L189" t="s">
        <v>1463</v>
      </c>
      <c r="M189" t="s">
        <v>1478</v>
      </c>
      <c r="N189" s="18">
        <v>7</v>
      </c>
    </row>
    <row r="190" spans="1:14" x14ac:dyDescent="0.25">
      <c r="A190" t="s">
        <v>1388</v>
      </c>
      <c r="B190" s="7">
        <v>43813</v>
      </c>
      <c r="C190" s="4">
        <v>0.27777777777777779</v>
      </c>
      <c r="D190" s="15">
        <f t="shared" si="4"/>
        <v>6</v>
      </c>
      <c r="E190" s="15" t="str">
        <f t="shared" si="5"/>
        <v>Before 15</v>
      </c>
      <c r="F190" t="s">
        <v>148</v>
      </c>
      <c r="G190" s="16" t="str">
        <f>VLOOKUP(F190,DISTRICTS!B$2:C$626,2,FALSE)</f>
        <v>CENTRO</v>
      </c>
      <c r="H190" s="16" t="str">
        <f>IFERROR(VLOOKUP(G190,'areas for question 4'!A$2:B$10,2,FALSE),"")</f>
        <v/>
      </c>
      <c r="I190" t="s">
        <v>1444</v>
      </c>
      <c r="J190" t="s">
        <v>1450</v>
      </c>
      <c r="K190" t="s">
        <v>1456</v>
      </c>
      <c r="L190" t="s">
        <v>1463</v>
      </c>
      <c r="M190" t="s">
        <v>1477</v>
      </c>
      <c r="N190" s="18">
        <v>2</v>
      </c>
    </row>
    <row r="191" spans="1:14" x14ac:dyDescent="0.25">
      <c r="A191" t="s">
        <v>1411</v>
      </c>
      <c r="B191" s="7">
        <v>43820</v>
      </c>
      <c r="C191" s="4">
        <v>0.91666666666666663</v>
      </c>
      <c r="D191" s="15">
        <f t="shared" si="4"/>
        <v>22</v>
      </c>
      <c r="E191" s="15" t="str">
        <f t="shared" si="5"/>
        <v>After 15</v>
      </c>
      <c r="F191" t="s">
        <v>1412</v>
      </c>
      <c r="G191" s="16" t="str">
        <f>VLOOKUP(F191,DISTRICTS!B$2:C$626,2,FALSE)</f>
        <v>CENTRO</v>
      </c>
      <c r="H191" s="16" t="str">
        <f>IFERROR(VLOOKUP(G191,'areas for question 4'!A$2:B$10,2,FALSE),"")</f>
        <v/>
      </c>
      <c r="I191" t="s">
        <v>1443</v>
      </c>
      <c r="J191" t="s">
        <v>1450</v>
      </c>
      <c r="K191" t="s">
        <v>1456</v>
      </c>
      <c r="L191" t="s">
        <v>1463</v>
      </c>
      <c r="M191" t="s">
        <v>1477</v>
      </c>
      <c r="N191" s="18">
        <v>7</v>
      </c>
    </row>
    <row r="192" spans="1:14" x14ac:dyDescent="0.25">
      <c r="A192" s="5" t="s">
        <v>0</v>
      </c>
      <c r="B192" s="7">
        <v>43466</v>
      </c>
      <c r="C192" s="4">
        <v>0.58333333333333337</v>
      </c>
      <c r="D192" s="15">
        <f t="shared" si="4"/>
        <v>14</v>
      </c>
      <c r="E192" s="15" t="str">
        <f t="shared" si="5"/>
        <v>Before 15</v>
      </c>
      <c r="F192" t="s">
        <v>1</v>
      </c>
      <c r="G192" s="16" t="str">
        <f>VLOOKUP(F192,DISTRICTS!B$2:C$626,2,FALSE)</f>
        <v>SALAMANCA</v>
      </c>
      <c r="H192" s="16" t="str">
        <f>IFERROR(VLOOKUP(G192,'areas for question 4'!A$2:B$10,2,FALSE),"")</f>
        <v/>
      </c>
      <c r="I192" t="s">
        <v>1441</v>
      </c>
      <c r="J192" t="s">
        <v>1450</v>
      </c>
      <c r="K192" t="s">
        <v>1456</v>
      </c>
      <c r="L192" t="s">
        <v>1464</v>
      </c>
      <c r="M192" s="5" t="s">
        <v>1477</v>
      </c>
      <c r="N192" s="18">
        <v>1</v>
      </c>
    </row>
    <row r="193" spans="1:14" x14ac:dyDescent="0.25">
      <c r="A193" s="5" t="s">
        <v>26</v>
      </c>
      <c r="B193" s="7">
        <v>43473</v>
      </c>
      <c r="C193" s="4">
        <v>0.54375000000000007</v>
      </c>
      <c r="D193" s="15">
        <f t="shared" si="4"/>
        <v>13</v>
      </c>
      <c r="E193" s="15" t="str">
        <f t="shared" si="5"/>
        <v>Before 15</v>
      </c>
      <c r="F193" t="s">
        <v>27</v>
      </c>
      <c r="G193" s="16" t="str">
        <f>VLOOKUP(F193,DISTRICTS!B$2:C$626,2,FALSE)</f>
        <v>FUENCARRAL-EL PARDO</v>
      </c>
      <c r="H193" s="16" t="str">
        <f>IFERROR(VLOOKUP(G193,'areas for question 4'!A$2:B$10,2,FALSE),"")</f>
        <v>North</v>
      </c>
      <c r="I193" t="s">
        <v>1444</v>
      </c>
      <c r="J193" t="s">
        <v>1450</v>
      </c>
      <c r="K193" t="s">
        <v>1456</v>
      </c>
      <c r="L193" t="s">
        <v>1464</v>
      </c>
      <c r="M193" s="5" t="s">
        <v>1477</v>
      </c>
      <c r="N193" s="18">
        <v>2</v>
      </c>
    </row>
    <row r="194" spans="1:14" x14ac:dyDescent="0.25">
      <c r="A194" s="5" t="s">
        <v>37</v>
      </c>
      <c r="B194" s="7">
        <v>43476</v>
      </c>
      <c r="C194" s="4">
        <v>0.66666666666666663</v>
      </c>
      <c r="D194" s="15">
        <f t="shared" si="4"/>
        <v>16</v>
      </c>
      <c r="E194" s="15" t="str">
        <f t="shared" si="5"/>
        <v>After 15</v>
      </c>
      <c r="F194" t="s">
        <v>38</v>
      </c>
      <c r="G194" s="16" t="str">
        <f>VLOOKUP(F194,DISTRICTS!B$2:C$626,2,FALSE)</f>
        <v>CENTRO</v>
      </c>
      <c r="H194" s="16" t="str">
        <f>IFERROR(VLOOKUP(G194,'areas for question 4'!A$2:B$10,2,FALSE),"")</f>
        <v/>
      </c>
      <c r="I194" t="s">
        <v>1446</v>
      </c>
      <c r="J194" t="s">
        <v>1450</v>
      </c>
      <c r="K194" t="s">
        <v>1456</v>
      </c>
      <c r="L194" t="s">
        <v>1464</v>
      </c>
      <c r="M194" s="5" t="s">
        <v>1477</v>
      </c>
      <c r="N194" s="18">
        <v>14</v>
      </c>
    </row>
    <row r="195" spans="1:14" x14ac:dyDescent="0.25">
      <c r="A195" s="5" t="s">
        <v>39</v>
      </c>
      <c r="B195" s="7">
        <v>43477</v>
      </c>
      <c r="C195" s="4">
        <v>0.94791666666666663</v>
      </c>
      <c r="D195" s="15">
        <f t="shared" ref="D195:D258" si="6">HOUR(C195)</f>
        <v>22</v>
      </c>
      <c r="E195" s="15" t="str">
        <f t="shared" ref="E195:E258" si="7">IF(D195&lt;15,"Before 15","After 15")</f>
        <v>After 15</v>
      </c>
      <c r="F195" t="s">
        <v>40</v>
      </c>
      <c r="G195" s="16" t="str">
        <f>VLOOKUP(F195,DISTRICTS!B$2:C$626,2,FALSE)</f>
        <v>LATINA</v>
      </c>
      <c r="H195" s="16" t="str">
        <f>IFERROR(VLOOKUP(G195,'areas for question 4'!A$2:B$10,2,FALSE),"")</f>
        <v/>
      </c>
      <c r="I195" t="s">
        <v>1445</v>
      </c>
      <c r="J195" t="s">
        <v>1450</v>
      </c>
      <c r="K195" t="s">
        <v>1456</v>
      </c>
      <c r="L195" t="s">
        <v>1464</v>
      </c>
      <c r="M195" s="5" t="s">
        <v>1477</v>
      </c>
      <c r="N195" s="18">
        <v>6</v>
      </c>
    </row>
    <row r="196" spans="1:14" x14ac:dyDescent="0.25">
      <c r="A196" s="5" t="s">
        <v>44</v>
      </c>
      <c r="B196" s="7">
        <v>43477</v>
      </c>
      <c r="C196" s="4">
        <v>0.92708333333333337</v>
      </c>
      <c r="D196" s="15">
        <f t="shared" si="6"/>
        <v>22</v>
      </c>
      <c r="E196" s="15" t="str">
        <f t="shared" si="7"/>
        <v>After 15</v>
      </c>
      <c r="F196" t="s">
        <v>45</v>
      </c>
      <c r="G196" s="16" t="str">
        <f>VLOOKUP(F196,DISTRICTS!B$2:C$626,2,FALSE)</f>
        <v>CARABANCHEL</v>
      </c>
      <c r="H196" s="16" t="str">
        <f>IFERROR(VLOOKUP(G196,'areas for question 4'!A$2:B$10,2,FALSE),"")</f>
        <v/>
      </c>
      <c r="I196" t="s">
        <v>1445</v>
      </c>
      <c r="J196" t="s">
        <v>1450</v>
      </c>
      <c r="K196" t="s">
        <v>1456</v>
      </c>
      <c r="L196" t="s">
        <v>1464</v>
      </c>
      <c r="M196" s="5" t="s">
        <v>1477</v>
      </c>
      <c r="N196" s="18">
        <v>2</v>
      </c>
    </row>
    <row r="197" spans="1:14" x14ac:dyDescent="0.25">
      <c r="A197" s="5" t="s">
        <v>50</v>
      </c>
      <c r="B197" s="7">
        <v>43479</v>
      </c>
      <c r="C197" s="4">
        <v>0.94791666666666663</v>
      </c>
      <c r="D197" s="15">
        <f t="shared" si="6"/>
        <v>22</v>
      </c>
      <c r="E197" s="15" t="str">
        <f t="shared" si="7"/>
        <v>After 15</v>
      </c>
      <c r="F197" t="s">
        <v>51</v>
      </c>
      <c r="G197" s="16" t="str">
        <f>VLOOKUP(F197,DISTRICTS!B$2:C$626,2,FALSE)</f>
        <v>CHAMBERÍ</v>
      </c>
      <c r="H197" s="16" t="str">
        <f>IFERROR(VLOOKUP(G197,'areas for question 4'!A$2:B$10,2,FALSE),"")</f>
        <v>North</v>
      </c>
      <c r="I197" t="s">
        <v>1446</v>
      </c>
      <c r="K197" t="s">
        <v>1456</v>
      </c>
      <c r="L197" t="s">
        <v>1464</v>
      </c>
      <c r="M197" s="5" t="s">
        <v>1477</v>
      </c>
      <c r="N197" s="18" t="s">
        <v>34</v>
      </c>
    </row>
    <row r="198" spans="1:14" x14ac:dyDescent="0.25">
      <c r="A198" s="5" t="s">
        <v>79</v>
      </c>
      <c r="B198" s="7">
        <v>43484</v>
      </c>
      <c r="C198" s="4">
        <v>0.88194444444444453</v>
      </c>
      <c r="D198" s="15">
        <f t="shared" si="6"/>
        <v>21</v>
      </c>
      <c r="E198" s="15" t="str">
        <f t="shared" si="7"/>
        <v>After 15</v>
      </c>
      <c r="F198" t="s">
        <v>80</v>
      </c>
      <c r="G198" s="16" t="str">
        <f>VLOOKUP(F198,DISTRICTS!B$2:C$626,2,FALSE)</f>
        <v>SALAMANCA</v>
      </c>
      <c r="H198" s="16" t="str">
        <f>IFERROR(VLOOKUP(G198,'areas for question 4'!A$2:B$10,2,FALSE),"")</f>
        <v/>
      </c>
      <c r="I198" t="s">
        <v>1446</v>
      </c>
      <c r="J198" t="s">
        <v>1452</v>
      </c>
      <c r="K198" t="s">
        <v>1456</v>
      </c>
      <c r="L198" t="s">
        <v>1464</v>
      </c>
      <c r="M198" s="5" t="s">
        <v>1477</v>
      </c>
      <c r="N198" s="18">
        <v>6</v>
      </c>
    </row>
    <row r="199" spans="1:14" x14ac:dyDescent="0.25">
      <c r="A199" s="5" t="s">
        <v>96</v>
      </c>
      <c r="B199" s="7">
        <v>43491</v>
      </c>
      <c r="C199" s="4">
        <v>0.89930555555555547</v>
      </c>
      <c r="D199" s="15">
        <f t="shared" si="6"/>
        <v>21</v>
      </c>
      <c r="E199" s="15" t="str">
        <f t="shared" si="7"/>
        <v>After 15</v>
      </c>
      <c r="F199" t="s">
        <v>97</v>
      </c>
      <c r="G199" s="16" t="str">
        <f>VLOOKUP(F199,DISTRICTS!B$2:C$626,2,FALSE)</f>
        <v>SALAMANCA</v>
      </c>
      <c r="H199" s="16" t="str">
        <f>IFERROR(VLOOKUP(G199,'areas for question 4'!A$2:B$10,2,FALSE),"")</f>
        <v/>
      </c>
      <c r="I199" t="s">
        <v>1441</v>
      </c>
      <c r="J199" t="s">
        <v>1450</v>
      </c>
      <c r="K199" t="s">
        <v>1456</v>
      </c>
      <c r="L199" t="s">
        <v>1464</v>
      </c>
      <c r="M199" s="5" t="s">
        <v>1477</v>
      </c>
      <c r="N199" s="18">
        <v>7</v>
      </c>
    </row>
    <row r="200" spans="1:14" x14ac:dyDescent="0.25">
      <c r="A200" s="5" t="s">
        <v>98</v>
      </c>
      <c r="B200" s="7">
        <v>43492</v>
      </c>
      <c r="C200" s="4">
        <v>0.67708333333333337</v>
      </c>
      <c r="D200" s="15">
        <f t="shared" si="6"/>
        <v>16</v>
      </c>
      <c r="E200" s="15" t="str">
        <f t="shared" si="7"/>
        <v>After 15</v>
      </c>
      <c r="F200" t="s">
        <v>99</v>
      </c>
      <c r="G200" s="16" t="str">
        <f>VLOOKUP(F200,DISTRICTS!B$2:C$626,2,FALSE)</f>
        <v>CENTRO</v>
      </c>
      <c r="H200" s="16" t="str">
        <f>IFERROR(VLOOKUP(G200,'areas for question 4'!A$2:B$10,2,FALSE),"")</f>
        <v/>
      </c>
      <c r="I200" t="s">
        <v>1443</v>
      </c>
      <c r="J200" t="s">
        <v>1450</v>
      </c>
      <c r="K200" t="s">
        <v>1456</v>
      </c>
      <c r="L200" t="s">
        <v>1464</v>
      </c>
      <c r="M200" s="5" t="s">
        <v>1477</v>
      </c>
      <c r="N200" s="18">
        <v>2</v>
      </c>
    </row>
    <row r="201" spans="1:14" x14ac:dyDescent="0.25">
      <c r="A201" s="5" t="s">
        <v>98</v>
      </c>
      <c r="B201" s="7">
        <v>43492</v>
      </c>
      <c r="C201" s="4">
        <v>0.67708333333333337</v>
      </c>
      <c r="D201" s="15">
        <f t="shared" si="6"/>
        <v>16</v>
      </c>
      <c r="E201" s="15" t="str">
        <f t="shared" si="7"/>
        <v>After 15</v>
      </c>
      <c r="F201" t="s">
        <v>99</v>
      </c>
      <c r="G201" s="16" t="str">
        <f>VLOOKUP(F201,DISTRICTS!B$2:C$626,2,FALSE)</f>
        <v>CENTRO</v>
      </c>
      <c r="H201" s="16" t="str">
        <f>IFERROR(VLOOKUP(G201,'areas for question 4'!A$2:B$10,2,FALSE),"")</f>
        <v/>
      </c>
      <c r="I201" t="s">
        <v>1443</v>
      </c>
      <c r="J201" t="s">
        <v>1450</v>
      </c>
      <c r="K201" t="s">
        <v>1458</v>
      </c>
      <c r="L201" t="s">
        <v>1464</v>
      </c>
      <c r="M201" s="5" t="s">
        <v>1478</v>
      </c>
      <c r="N201" s="18">
        <v>14</v>
      </c>
    </row>
    <row r="202" spans="1:14" x14ac:dyDescent="0.25">
      <c r="A202" t="s">
        <v>137</v>
      </c>
      <c r="B202" s="7">
        <v>43504</v>
      </c>
      <c r="C202" s="4">
        <v>0.90277777777777779</v>
      </c>
      <c r="D202" s="15">
        <f t="shared" si="6"/>
        <v>21</v>
      </c>
      <c r="E202" s="15" t="str">
        <f t="shared" si="7"/>
        <v>After 15</v>
      </c>
      <c r="F202" t="s">
        <v>138</v>
      </c>
      <c r="G202" s="16" t="str">
        <f>VLOOKUP(F202,DISTRICTS!B$2:C$626,2,FALSE)</f>
        <v>CENTRO</v>
      </c>
      <c r="H202" s="16" t="str">
        <f>IFERROR(VLOOKUP(G202,'areas for question 4'!A$2:B$10,2,FALSE),"")</f>
        <v/>
      </c>
      <c r="I202" t="s">
        <v>1446</v>
      </c>
      <c r="J202" t="s">
        <v>1450</v>
      </c>
      <c r="K202" t="s">
        <v>1456</v>
      </c>
      <c r="L202" t="s">
        <v>1464</v>
      </c>
      <c r="M202" t="s">
        <v>1477</v>
      </c>
      <c r="N202" s="18">
        <v>7</v>
      </c>
    </row>
    <row r="203" spans="1:14" x14ac:dyDescent="0.25">
      <c r="A203" t="s">
        <v>144</v>
      </c>
      <c r="B203" s="7">
        <v>43507</v>
      </c>
      <c r="C203" s="4">
        <v>0.59375</v>
      </c>
      <c r="D203" s="15">
        <f t="shared" si="6"/>
        <v>14</v>
      </c>
      <c r="E203" s="15" t="str">
        <f t="shared" si="7"/>
        <v>Before 15</v>
      </c>
      <c r="F203" t="s">
        <v>99</v>
      </c>
      <c r="G203" s="16" t="str">
        <f>VLOOKUP(F203,DISTRICTS!B$2:C$626,2,FALSE)</f>
        <v>CENTRO</v>
      </c>
      <c r="H203" s="16" t="str">
        <f>IFERROR(VLOOKUP(G203,'areas for question 4'!A$2:B$10,2,FALSE),"")</f>
        <v/>
      </c>
      <c r="I203" t="s">
        <v>1441</v>
      </c>
      <c r="J203" t="s">
        <v>1450</v>
      </c>
      <c r="K203" t="s">
        <v>1456</v>
      </c>
      <c r="L203" t="s">
        <v>1464</v>
      </c>
      <c r="M203" t="s">
        <v>1477</v>
      </c>
      <c r="N203" s="18">
        <v>1</v>
      </c>
    </row>
    <row r="204" spans="1:14" x14ac:dyDescent="0.25">
      <c r="A204" t="s">
        <v>145</v>
      </c>
      <c r="B204" s="7">
        <v>43507</v>
      </c>
      <c r="C204" s="4">
        <v>0.38541666666666669</v>
      </c>
      <c r="D204" s="15">
        <f t="shared" si="6"/>
        <v>9</v>
      </c>
      <c r="E204" s="15" t="str">
        <f t="shared" si="7"/>
        <v>Before 15</v>
      </c>
      <c r="F204" t="s">
        <v>146</v>
      </c>
      <c r="G204" s="16" t="str">
        <f>VLOOKUP(F204,DISTRICTS!B$2:C$626,2,FALSE)</f>
        <v>CHAMBERÍ</v>
      </c>
      <c r="H204" s="16" t="str">
        <f>IFERROR(VLOOKUP(G204,'areas for question 4'!A$2:B$10,2,FALSE),"")</f>
        <v>North</v>
      </c>
      <c r="I204" t="s">
        <v>1446</v>
      </c>
      <c r="J204" t="s">
        <v>1450</v>
      </c>
      <c r="K204" t="s">
        <v>1456</v>
      </c>
      <c r="L204" t="s">
        <v>1464</v>
      </c>
      <c r="M204" t="s">
        <v>1477</v>
      </c>
      <c r="N204" s="18">
        <v>6</v>
      </c>
    </row>
    <row r="205" spans="1:14" x14ac:dyDescent="0.25">
      <c r="A205" t="s">
        <v>147</v>
      </c>
      <c r="B205" s="7">
        <v>43508</v>
      </c>
      <c r="C205" s="4">
        <v>0.91666666666666663</v>
      </c>
      <c r="D205" s="15">
        <f t="shared" si="6"/>
        <v>22</v>
      </c>
      <c r="E205" s="15" t="str">
        <f t="shared" si="7"/>
        <v>After 15</v>
      </c>
      <c r="F205" t="s">
        <v>148</v>
      </c>
      <c r="G205" s="16" t="str">
        <f>VLOOKUP(F205,DISTRICTS!B$2:C$626,2,FALSE)</f>
        <v>CENTRO</v>
      </c>
      <c r="H205" s="16" t="str">
        <f>IFERROR(VLOOKUP(G205,'areas for question 4'!A$2:B$10,2,FALSE),"")</f>
        <v/>
      </c>
      <c r="I205" t="s">
        <v>1441</v>
      </c>
      <c r="J205" t="s">
        <v>1450</v>
      </c>
      <c r="K205" t="s">
        <v>1456</v>
      </c>
      <c r="L205" t="s">
        <v>1464</v>
      </c>
      <c r="M205" t="s">
        <v>1477</v>
      </c>
      <c r="N205" s="18">
        <v>2</v>
      </c>
    </row>
    <row r="206" spans="1:14" x14ac:dyDescent="0.25">
      <c r="A206" t="s">
        <v>155</v>
      </c>
      <c r="B206" s="7">
        <v>43510</v>
      </c>
      <c r="C206" s="4">
        <v>0.83333333333333337</v>
      </c>
      <c r="D206" s="15">
        <f t="shared" si="6"/>
        <v>20</v>
      </c>
      <c r="E206" s="15" t="str">
        <f t="shared" si="7"/>
        <v>After 15</v>
      </c>
      <c r="F206" t="s">
        <v>156</v>
      </c>
      <c r="G206" s="16" t="str">
        <f>VLOOKUP(F206,DISTRICTS!B$2:C$626,2,FALSE)</f>
        <v>CHAMBERÍ</v>
      </c>
      <c r="H206" s="16" t="str">
        <f>IFERROR(VLOOKUP(G206,'areas for question 4'!A$2:B$10,2,FALSE),"")</f>
        <v>North</v>
      </c>
      <c r="I206" t="s">
        <v>1443</v>
      </c>
      <c r="J206" t="s">
        <v>1450</v>
      </c>
      <c r="K206" t="s">
        <v>1456</v>
      </c>
      <c r="L206" t="s">
        <v>1464</v>
      </c>
      <c r="M206" t="s">
        <v>1477</v>
      </c>
      <c r="N206" s="18">
        <v>6</v>
      </c>
    </row>
    <row r="207" spans="1:14" x14ac:dyDescent="0.25">
      <c r="A207" t="s">
        <v>155</v>
      </c>
      <c r="B207" s="7">
        <v>43510</v>
      </c>
      <c r="C207" s="4">
        <v>0.83333333333333337</v>
      </c>
      <c r="D207" s="15">
        <f t="shared" si="6"/>
        <v>20</v>
      </c>
      <c r="E207" s="15" t="str">
        <f t="shared" si="7"/>
        <v>After 15</v>
      </c>
      <c r="F207" t="s">
        <v>156</v>
      </c>
      <c r="G207" s="16" t="str">
        <f>VLOOKUP(F207,DISTRICTS!B$2:C$626,2,FALSE)</f>
        <v>CHAMBERÍ</v>
      </c>
      <c r="H207" s="16" t="str">
        <f>IFERROR(VLOOKUP(G207,'areas for question 4'!A$2:B$10,2,FALSE),"")</f>
        <v>North</v>
      </c>
      <c r="I207" t="s">
        <v>1443</v>
      </c>
      <c r="J207" t="s">
        <v>1450</v>
      </c>
      <c r="K207" t="s">
        <v>1458</v>
      </c>
      <c r="L207" t="s">
        <v>1464</v>
      </c>
      <c r="M207" t="s">
        <v>1477</v>
      </c>
      <c r="N207" s="18">
        <v>14</v>
      </c>
    </row>
    <row r="208" spans="1:14" x14ac:dyDescent="0.25">
      <c r="A208" t="s">
        <v>175</v>
      </c>
      <c r="B208" s="7">
        <v>43516</v>
      </c>
      <c r="C208" s="4">
        <v>0.4375</v>
      </c>
      <c r="D208" s="15">
        <f t="shared" si="6"/>
        <v>10</v>
      </c>
      <c r="E208" s="15" t="str">
        <f t="shared" si="7"/>
        <v>Before 15</v>
      </c>
      <c r="F208" t="s">
        <v>176</v>
      </c>
      <c r="G208" s="16" t="str">
        <f>VLOOKUP(F208,DISTRICTS!B$2:C$626,2,FALSE)</f>
        <v>PUENTE DE VALLECAS</v>
      </c>
      <c r="H208" s="16" t="str">
        <f>IFERROR(VLOOKUP(G208,'areas for question 4'!A$2:B$10,2,FALSE),"")</f>
        <v/>
      </c>
      <c r="I208" t="s">
        <v>1447</v>
      </c>
      <c r="J208" t="s">
        <v>1450</v>
      </c>
      <c r="K208" t="s">
        <v>1456</v>
      </c>
      <c r="L208" t="s">
        <v>1464</v>
      </c>
      <c r="M208" t="s">
        <v>1477</v>
      </c>
      <c r="N208" s="18">
        <v>6</v>
      </c>
    </row>
    <row r="209" spans="1:14" x14ac:dyDescent="0.25">
      <c r="A209" t="s">
        <v>207</v>
      </c>
      <c r="B209" s="7">
        <v>43526</v>
      </c>
      <c r="C209" s="4">
        <v>0.5625</v>
      </c>
      <c r="D209" s="15">
        <f t="shared" si="6"/>
        <v>13</v>
      </c>
      <c r="E209" s="15" t="str">
        <f t="shared" si="7"/>
        <v>Before 15</v>
      </c>
      <c r="F209" t="s">
        <v>208</v>
      </c>
      <c r="G209" s="16" t="str">
        <f>VLOOKUP(F209,DISTRICTS!B$2:C$626,2,FALSE)</f>
        <v>ARGANZUELA</v>
      </c>
      <c r="H209" s="16" t="str">
        <f>IFERROR(VLOOKUP(G209,'areas for question 4'!A$2:B$10,2,FALSE),"")</f>
        <v/>
      </c>
      <c r="I209" t="s">
        <v>1444</v>
      </c>
      <c r="J209" t="s">
        <v>1450</v>
      </c>
      <c r="K209" t="s">
        <v>1456</v>
      </c>
      <c r="L209" t="s">
        <v>1464</v>
      </c>
      <c r="M209" t="s">
        <v>1478</v>
      </c>
      <c r="N209" s="18">
        <v>3</v>
      </c>
    </row>
    <row r="210" spans="1:14" x14ac:dyDescent="0.25">
      <c r="A210" t="s">
        <v>230</v>
      </c>
      <c r="B210" s="7">
        <v>43532</v>
      </c>
      <c r="C210" s="4">
        <v>0.69791666666666663</v>
      </c>
      <c r="D210" s="15">
        <f t="shared" si="6"/>
        <v>16</v>
      </c>
      <c r="E210" s="15" t="str">
        <f t="shared" si="7"/>
        <v>After 15</v>
      </c>
      <c r="F210" t="s">
        <v>231</v>
      </c>
      <c r="G210" s="16" t="str">
        <f>VLOOKUP(F210,DISTRICTS!B$2:C$626,2,FALSE)</f>
        <v>TETUÁN</v>
      </c>
      <c r="H210" s="16" t="str">
        <f>IFERROR(VLOOKUP(G210,'areas for question 4'!A$2:B$10,2,FALSE),"")</f>
        <v>North</v>
      </c>
      <c r="I210" t="s">
        <v>1446</v>
      </c>
      <c r="J210" t="s">
        <v>1450</v>
      </c>
      <c r="K210" t="s">
        <v>1456</v>
      </c>
      <c r="L210" t="s">
        <v>1464</v>
      </c>
      <c r="M210" t="s">
        <v>1477</v>
      </c>
      <c r="N210" s="18">
        <v>7</v>
      </c>
    </row>
    <row r="211" spans="1:14" x14ac:dyDescent="0.25">
      <c r="A211" t="s">
        <v>234</v>
      </c>
      <c r="B211" s="7">
        <v>43534</v>
      </c>
      <c r="C211" s="4">
        <v>0.91666666666666663</v>
      </c>
      <c r="D211" s="15">
        <f t="shared" si="6"/>
        <v>22</v>
      </c>
      <c r="E211" s="15" t="str">
        <f t="shared" si="7"/>
        <v>After 15</v>
      </c>
      <c r="F211" t="s">
        <v>235</v>
      </c>
      <c r="G211" s="16" t="str">
        <f>VLOOKUP(F211,DISTRICTS!B$2:C$626,2,FALSE)</f>
        <v>LATINA</v>
      </c>
      <c r="H211" s="16" t="str">
        <f>IFERROR(VLOOKUP(G211,'areas for question 4'!A$2:B$10,2,FALSE),"")</f>
        <v/>
      </c>
      <c r="I211" t="s">
        <v>1444</v>
      </c>
      <c r="J211" t="s">
        <v>1450</v>
      </c>
      <c r="K211" t="s">
        <v>1456</v>
      </c>
      <c r="L211" t="s">
        <v>1464</v>
      </c>
      <c r="M211" t="s">
        <v>1478</v>
      </c>
      <c r="N211" s="18">
        <v>7</v>
      </c>
    </row>
    <row r="212" spans="1:14" x14ac:dyDescent="0.25">
      <c r="A212" t="s">
        <v>236</v>
      </c>
      <c r="B212" s="7">
        <v>43534</v>
      </c>
      <c r="C212" s="4">
        <v>0.80555555555555547</v>
      </c>
      <c r="D212" s="15">
        <f t="shared" si="6"/>
        <v>19</v>
      </c>
      <c r="E212" s="15" t="str">
        <f t="shared" si="7"/>
        <v>After 15</v>
      </c>
      <c r="F212" t="s">
        <v>237</v>
      </c>
      <c r="G212" s="16" t="str">
        <f>VLOOKUP(F212,DISTRICTS!B$2:C$626,2,FALSE)</f>
        <v>LATINA</v>
      </c>
      <c r="H212" s="16" t="str">
        <f>IFERROR(VLOOKUP(G212,'areas for question 4'!A$2:B$10,2,FALSE),"")</f>
        <v/>
      </c>
      <c r="I212" t="s">
        <v>1446</v>
      </c>
      <c r="J212" t="s">
        <v>1450</v>
      </c>
      <c r="K212" t="s">
        <v>1456</v>
      </c>
      <c r="L212" t="s">
        <v>1464</v>
      </c>
      <c r="M212" t="s">
        <v>1478</v>
      </c>
      <c r="N212" s="18">
        <v>2</v>
      </c>
    </row>
    <row r="213" spans="1:14" x14ac:dyDescent="0.25">
      <c r="A213" t="s">
        <v>246</v>
      </c>
      <c r="B213" s="7">
        <v>43535</v>
      </c>
      <c r="C213" s="4">
        <v>0.84375</v>
      </c>
      <c r="D213" s="15">
        <f t="shared" si="6"/>
        <v>20</v>
      </c>
      <c r="E213" s="15" t="str">
        <f t="shared" si="7"/>
        <v>After 15</v>
      </c>
      <c r="F213" t="s">
        <v>247</v>
      </c>
      <c r="G213" s="16" t="str">
        <f>VLOOKUP(F213,DISTRICTS!B$2:C$626,2,FALSE)</f>
        <v>VILLAVERDE</v>
      </c>
      <c r="H213" s="16" t="str">
        <f>IFERROR(VLOOKUP(G213,'areas for question 4'!A$2:B$10,2,FALSE),"")</f>
        <v/>
      </c>
      <c r="I213" t="s">
        <v>1449</v>
      </c>
      <c r="J213" t="s">
        <v>1450</v>
      </c>
      <c r="K213" t="s">
        <v>1456</v>
      </c>
      <c r="L213" t="s">
        <v>1464</v>
      </c>
      <c r="M213" t="s">
        <v>1478</v>
      </c>
      <c r="N213" s="18" t="s">
        <v>34</v>
      </c>
    </row>
    <row r="214" spans="1:14" x14ac:dyDescent="0.25">
      <c r="A214" t="s">
        <v>269</v>
      </c>
      <c r="B214" s="7">
        <v>43541</v>
      </c>
      <c r="C214" s="4">
        <v>0.86111111111111116</v>
      </c>
      <c r="D214" s="15">
        <f t="shared" si="6"/>
        <v>20</v>
      </c>
      <c r="E214" s="15" t="str">
        <f t="shared" si="7"/>
        <v>After 15</v>
      </c>
      <c r="F214" t="s">
        <v>270</v>
      </c>
      <c r="G214" s="16" t="str">
        <f>VLOOKUP(F214,DISTRICTS!B$2:C$626,2,FALSE)</f>
        <v>CHAMARTÍN</v>
      </c>
      <c r="H214" s="16" t="str">
        <f>IFERROR(VLOOKUP(G214,'areas for question 4'!A$2:B$10,2,FALSE),"")</f>
        <v>North</v>
      </c>
      <c r="I214" t="s">
        <v>1444</v>
      </c>
      <c r="J214" t="s">
        <v>1450</v>
      </c>
      <c r="K214" t="s">
        <v>1456</v>
      </c>
      <c r="L214" t="s">
        <v>1464</v>
      </c>
      <c r="M214" t="s">
        <v>1478</v>
      </c>
      <c r="N214" s="18">
        <v>6</v>
      </c>
    </row>
    <row r="215" spans="1:14" x14ac:dyDescent="0.25">
      <c r="A215" t="s">
        <v>277</v>
      </c>
      <c r="B215" s="7">
        <v>43542</v>
      </c>
      <c r="C215" s="4">
        <v>0.60069444444444442</v>
      </c>
      <c r="D215" s="15">
        <f t="shared" si="6"/>
        <v>14</v>
      </c>
      <c r="E215" s="15" t="str">
        <f t="shared" si="7"/>
        <v>Before 15</v>
      </c>
      <c r="F215" t="s">
        <v>278</v>
      </c>
      <c r="G215" s="16" t="str">
        <f>VLOOKUP(F215,DISTRICTS!B$2:C$626,2,FALSE)</f>
        <v>CENTRO</v>
      </c>
      <c r="H215" s="16" t="str">
        <f>IFERROR(VLOOKUP(G215,'areas for question 4'!A$2:B$10,2,FALSE),"")</f>
        <v/>
      </c>
      <c r="I215" t="s">
        <v>1447</v>
      </c>
      <c r="J215" t="s">
        <v>1450</v>
      </c>
      <c r="K215" t="s">
        <v>1456</v>
      </c>
      <c r="L215" t="s">
        <v>1464</v>
      </c>
      <c r="M215" t="s">
        <v>1477</v>
      </c>
      <c r="N215" s="18">
        <v>7</v>
      </c>
    </row>
    <row r="216" spans="1:14" x14ac:dyDescent="0.25">
      <c r="A216" t="s">
        <v>279</v>
      </c>
      <c r="B216" s="7">
        <v>43542</v>
      </c>
      <c r="C216" s="4">
        <v>0</v>
      </c>
      <c r="D216" s="15">
        <f t="shared" si="6"/>
        <v>0</v>
      </c>
      <c r="E216" s="15" t="str">
        <f t="shared" si="7"/>
        <v>Before 15</v>
      </c>
      <c r="F216" t="s">
        <v>280</v>
      </c>
      <c r="G216" s="16" t="str">
        <f>VLOOKUP(F216,DISTRICTS!B$2:C$626,2,FALSE)</f>
        <v>CENTRO</v>
      </c>
      <c r="H216" s="16" t="str">
        <f>IFERROR(VLOOKUP(G216,'areas for question 4'!A$2:B$10,2,FALSE),"")</f>
        <v/>
      </c>
      <c r="I216" t="s">
        <v>1444</v>
      </c>
      <c r="J216" t="s">
        <v>1450</v>
      </c>
      <c r="K216" t="s">
        <v>1456</v>
      </c>
      <c r="L216" t="s">
        <v>1464</v>
      </c>
      <c r="M216" t="s">
        <v>1477</v>
      </c>
      <c r="N216" s="18">
        <v>3</v>
      </c>
    </row>
    <row r="217" spans="1:14" x14ac:dyDescent="0.25">
      <c r="A217" t="s">
        <v>283</v>
      </c>
      <c r="B217" s="7">
        <v>43544</v>
      </c>
      <c r="C217" s="4">
        <v>0.76041666666666663</v>
      </c>
      <c r="D217" s="15">
        <f t="shared" si="6"/>
        <v>18</v>
      </c>
      <c r="E217" s="15" t="str">
        <f t="shared" si="7"/>
        <v>After 15</v>
      </c>
      <c r="F217" t="s">
        <v>284</v>
      </c>
      <c r="G217" s="16" t="str">
        <f>VLOOKUP(F217,DISTRICTS!B$2:C$626,2,FALSE)</f>
        <v>PUENTE DE VALLECAS</v>
      </c>
      <c r="H217" s="16" t="str">
        <f>IFERROR(VLOOKUP(G217,'areas for question 4'!A$2:B$10,2,FALSE),"")</f>
        <v/>
      </c>
      <c r="I217" t="s">
        <v>1444</v>
      </c>
      <c r="J217" t="s">
        <v>1450</v>
      </c>
      <c r="K217" t="s">
        <v>1456</v>
      </c>
      <c r="L217" t="s">
        <v>1464</v>
      </c>
      <c r="M217" t="s">
        <v>1478</v>
      </c>
      <c r="N217" s="18">
        <v>7</v>
      </c>
    </row>
    <row r="218" spans="1:14" x14ac:dyDescent="0.25">
      <c r="A218" t="s">
        <v>291</v>
      </c>
      <c r="B218" s="7">
        <v>43546</v>
      </c>
      <c r="C218" s="4">
        <v>0.6875</v>
      </c>
      <c r="D218" s="15">
        <f t="shared" si="6"/>
        <v>16</v>
      </c>
      <c r="E218" s="15" t="str">
        <f t="shared" si="7"/>
        <v>After 15</v>
      </c>
      <c r="F218" t="s">
        <v>292</v>
      </c>
      <c r="G218" s="16" t="str">
        <f>VLOOKUP(F218,DISTRICTS!B$2:C$626,2,FALSE)</f>
        <v>CIUDAD LINEAL</v>
      </c>
      <c r="H218" s="16" t="str">
        <f>IFERROR(VLOOKUP(G218,'areas for question 4'!A$2:B$10,2,FALSE),"")</f>
        <v>East</v>
      </c>
      <c r="I218" t="s">
        <v>1446</v>
      </c>
      <c r="J218" t="s">
        <v>1450</v>
      </c>
      <c r="K218" t="s">
        <v>1456</v>
      </c>
      <c r="L218" t="s">
        <v>1464</v>
      </c>
      <c r="M218" t="s">
        <v>1477</v>
      </c>
      <c r="N218" s="18">
        <v>14</v>
      </c>
    </row>
    <row r="219" spans="1:14" x14ac:dyDescent="0.25">
      <c r="A219" t="s">
        <v>293</v>
      </c>
      <c r="B219" s="7">
        <v>43546</v>
      </c>
      <c r="C219" s="4">
        <v>0.59722222222222221</v>
      </c>
      <c r="D219" s="15">
        <f t="shared" si="6"/>
        <v>14</v>
      </c>
      <c r="E219" s="15" t="str">
        <f t="shared" si="7"/>
        <v>Before 15</v>
      </c>
      <c r="F219" t="s">
        <v>294</v>
      </c>
      <c r="G219" s="16" t="str">
        <f>VLOOKUP(F219,DISTRICTS!B$2:C$626,2,FALSE)</f>
        <v>VILLAVERDE</v>
      </c>
      <c r="H219" s="16" t="str">
        <f>IFERROR(VLOOKUP(G219,'areas for question 4'!A$2:B$10,2,FALSE),"")</f>
        <v/>
      </c>
      <c r="I219" t="s">
        <v>1444</v>
      </c>
      <c r="J219" t="s">
        <v>1450</v>
      </c>
      <c r="K219" t="s">
        <v>1456</v>
      </c>
      <c r="L219" t="s">
        <v>1464</v>
      </c>
      <c r="M219" t="s">
        <v>1477</v>
      </c>
      <c r="N219" s="18">
        <v>3</v>
      </c>
    </row>
    <row r="220" spans="1:14" x14ac:dyDescent="0.25">
      <c r="A220" t="s">
        <v>300</v>
      </c>
      <c r="B220" s="7">
        <v>43548</v>
      </c>
      <c r="C220" s="4">
        <v>0.90625</v>
      </c>
      <c r="D220" s="15">
        <f t="shared" si="6"/>
        <v>21</v>
      </c>
      <c r="E220" s="15" t="str">
        <f t="shared" si="7"/>
        <v>After 15</v>
      </c>
      <c r="F220" t="s">
        <v>301</v>
      </c>
      <c r="G220" s="16" t="str">
        <f>VLOOKUP(F220,DISTRICTS!B$2:C$626,2,FALSE)</f>
        <v>CENTRO</v>
      </c>
      <c r="H220" s="16" t="str">
        <f>IFERROR(VLOOKUP(G220,'areas for question 4'!A$2:B$10,2,FALSE),"")</f>
        <v/>
      </c>
      <c r="I220" t="s">
        <v>1441</v>
      </c>
      <c r="K220" t="s">
        <v>1456</v>
      </c>
      <c r="L220" t="s">
        <v>1464</v>
      </c>
      <c r="M220" t="s">
        <v>1477</v>
      </c>
      <c r="N220" s="18" t="s">
        <v>34</v>
      </c>
    </row>
    <row r="221" spans="1:14" x14ac:dyDescent="0.25">
      <c r="A221" t="s">
        <v>300</v>
      </c>
      <c r="B221" s="7">
        <v>43548</v>
      </c>
      <c r="C221" s="4">
        <v>0.90625</v>
      </c>
      <c r="D221" s="15">
        <f t="shared" si="6"/>
        <v>21</v>
      </c>
      <c r="E221" s="15" t="str">
        <f t="shared" si="7"/>
        <v>After 15</v>
      </c>
      <c r="F221" t="s">
        <v>301</v>
      </c>
      <c r="G221" s="16" t="str">
        <f>VLOOKUP(F221,DISTRICTS!B$2:C$626,2,FALSE)</f>
        <v>CENTRO</v>
      </c>
      <c r="H221" s="16" t="str">
        <f>IFERROR(VLOOKUP(G221,'areas for question 4'!A$2:B$10,2,FALSE),"")</f>
        <v/>
      </c>
      <c r="I221" t="s">
        <v>1441</v>
      </c>
      <c r="K221" t="s">
        <v>1456</v>
      </c>
      <c r="L221" t="s">
        <v>1464</v>
      </c>
      <c r="M221" t="s">
        <v>1478</v>
      </c>
      <c r="N221" s="18" t="s">
        <v>34</v>
      </c>
    </row>
    <row r="222" spans="1:14" x14ac:dyDescent="0.25">
      <c r="A222" t="s">
        <v>304</v>
      </c>
      <c r="B222" s="7">
        <v>43548</v>
      </c>
      <c r="C222" s="4">
        <v>8.3333333333333329E-2</v>
      </c>
      <c r="D222" s="15">
        <f t="shared" si="6"/>
        <v>2</v>
      </c>
      <c r="E222" s="15" t="str">
        <f t="shared" si="7"/>
        <v>Before 15</v>
      </c>
      <c r="F222" t="s">
        <v>258</v>
      </c>
      <c r="G222" s="16" t="str">
        <f>VLOOKUP(F222,DISTRICTS!B$2:C$626,2,FALSE)</f>
        <v>TETUÁN</v>
      </c>
      <c r="H222" s="16" t="str">
        <f>IFERROR(VLOOKUP(G222,'areas for question 4'!A$2:B$10,2,FALSE),"")</f>
        <v>North</v>
      </c>
      <c r="I222" t="s">
        <v>1444</v>
      </c>
      <c r="J222" t="s">
        <v>1450</v>
      </c>
      <c r="K222" t="s">
        <v>1456</v>
      </c>
      <c r="L222" t="s">
        <v>1464</v>
      </c>
      <c r="M222" t="s">
        <v>1477</v>
      </c>
      <c r="N222" s="18">
        <v>14</v>
      </c>
    </row>
    <row r="223" spans="1:14" x14ac:dyDescent="0.25">
      <c r="A223" t="s">
        <v>308</v>
      </c>
      <c r="B223" s="7">
        <v>43549</v>
      </c>
      <c r="C223" s="4">
        <v>0.4236111111111111</v>
      </c>
      <c r="D223" s="15">
        <f t="shared" si="6"/>
        <v>10</v>
      </c>
      <c r="E223" s="15" t="str">
        <f t="shared" si="7"/>
        <v>Before 15</v>
      </c>
      <c r="F223" t="s">
        <v>309</v>
      </c>
      <c r="G223" s="16" t="str">
        <f>VLOOKUP(F223,DISTRICTS!B$2:C$626,2,FALSE)</f>
        <v>SALAMANCA</v>
      </c>
      <c r="H223" s="16" t="str">
        <f>IFERROR(VLOOKUP(G223,'areas for question 4'!A$2:B$10,2,FALSE),"")</f>
        <v/>
      </c>
      <c r="I223" t="s">
        <v>1441</v>
      </c>
      <c r="J223" t="s">
        <v>1450</v>
      </c>
      <c r="K223" t="s">
        <v>1456</v>
      </c>
      <c r="L223" t="s">
        <v>1464</v>
      </c>
      <c r="M223" t="s">
        <v>1477</v>
      </c>
      <c r="N223" s="18" t="s">
        <v>34</v>
      </c>
    </row>
    <row r="224" spans="1:14" x14ac:dyDescent="0.25">
      <c r="A224" t="s">
        <v>316</v>
      </c>
      <c r="B224" s="7">
        <v>43551</v>
      </c>
      <c r="C224" s="4">
        <v>0.93402777777777779</v>
      </c>
      <c r="D224" s="15">
        <f t="shared" si="6"/>
        <v>22</v>
      </c>
      <c r="E224" s="15" t="str">
        <f t="shared" si="7"/>
        <v>After 15</v>
      </c>
      <c r="F224" t="s">
        <v>317</v>
      </c>
      <c r="G224" s="16" t="str">
        <f>VLOOKUP(F224,DISTRICTS!B$2:C$626,2,FALSE)</f>
        <v>CENTRO</v>
      </c>
      <c r="H224" s="16" t="str">
        <f>IFERROR(VLOOKUP(G224,'areas for question 4'!A$2:B$10,2,FALSE),"")</f>
        <v/>
      </c>
      <c r="I224" t="s">
        <v>1444</v>
      </c>
      <c r="J224" t="s">
        <v>1450</v>
      </c>
      <c r="K224" t="s">
        <v>1456</v>
      </c>
      <c r="L224" t="s">
        <v>1464</v>
      </c>
      <c r="M224" t="s">
        <v>1477</v>
      </c>
      <c r="N224" s="18">
        <v>1</v>
      </c>
    </row>
    <row r="225" spans="1:14" x14ac:dyDescent="0.25">
      <c r="A225" t="s">
        <v>339</v>
      </c>
      <c r="B225" s="7">
        <v>43556</v>
      </c>
      <c r="C225" s="4">
        <v>0.9472222222222223</v>
      </c>
      <c r="D225" s="15">
        <f t="shared" si="6"/>
        <v>22</v>
      </c>
      <c r="E225" s="15" t="str">
        <f t="shared" si="7"/>
        <v>After 15</v>
      </c>
      <c r="F225" t="s">
        <v>340</v>
      </c>
      <c r="G225" s="16" t="str">
        <f>VLOOKUP(F225,DISTRICTS!B$2:C$626,2,FALSE)</f>
        <v>ARGANZUELA</v>
      </c>
      <c r="H225" s="16" t="str">
        <f>IFERROR(VLOOKUP(G225,'areas for question 4'!A$2:B$10,2,FALSE),"")</f>
        <v/>
      </c>
      <c r="I225" t="s">
        <v>1441</v>
      </c>
      <c r="J225" t="s">
        <v>1450</v>
      </c>
      <c r="K225" t="s">
        <v>1456</v>
      </c>
      <c r="L225" t="s">
        <v>1464</v>
      </c>
      <c r="M225" t="s">
        <v>1477</v>
      </c>
      <c r="N225" s="18" t="s">
        <v>34</v>
      </c>
    </row>
    <row r="226" spans="1:14" x14ac:dyDescent="0.25">
      <c r="A226" t="s">
        <v>352</v>
      </c>
      <c r="B226" s="7">
        <v>43559</v>
      </c>
      <c r="C226" s="4">
        <v>0.90277777777777779</v>
      </c>
      <c r="D226" s="15">
        <f t="shared" si="6"/>
        <v>21</v>
      </c>
      <c r="E226" s="15" t="str">
        <f t="shared" si="7"/>
        <v>After 15</v>
      </c>
      <c r="F226" t="s">
        <v>353</v>
      </c>
      <c r="G226" s="16" t="str">
        <f>VLOOKUP(F226,DISTRICTS!B$2:C$626,2,FALSE)</f>
        <v>CENTRO</v>
      </c>
      <c r="H226" s="16" t="str">
        <f>IFERROR(VLOOKUP(G226,'areas for question 4'!A$2:B$10,2,FALSE),"")</f>
        <v/>
      </c>
      <c r="I226" t="s">
        <v>1441</v>
      </c>
      <c r="K226" t="s">
        <v>1456</v>
      </c>
      <c r="L226" t="s">
        <v>1464</v>
      </c>
      <c r="M226" t="s">
        <v>1477</v>
      </c>
      <c r="N226" s="18" t="s">
        <v>34</v>
      </c>
    </row>
    <row r="227" spans="1:14" x14ac:dyDescent="0.25">
      <c r="A227" t="s">
        <v>356</v>
      </c>
      <c r="B227" s="7">
        <v>43561</v>
      </c>
      <c r="C227" s="4">
        <v>0.89236111111111116</v>
      </c>
      <c r="D227" s="15">
        <f t="shared" si="6"/>
        <v>21</v>
      </c>
      <c r="E227" s="15" t="str">
        <f t="shared" si="7"/>
        <v>After 15</v>
      </c>
      <c r="F227" t="s">
        <v>357</v>
      </c>
      <c r="G227" s="16" t="str">
        <f>VLOOKUP(F227,DISTRICTS!B$2:C$626,2,FALSE)</f>
        <v>ARGANZUELA</v>
      </c>
      <c r="H227" s="16" t="str">
        <f>IFERROR(VLOOKUP(G227,'areas for question 4'!A$2:B$10,2,FALSE),"")</f>
        <v/>
      </c>
      <c r="I227" t="s">
        <v>1446</v>
      </c>
      <c r="J227" t="s">
        <v>1452</v>
      </c>
      <c r="K227" t="s">
        <v>1456</v>
      </c>
      <c r="L227" t="s">
        <v>1464</v>
      </c>
      <c r="M227" t="s">
        <v>1477</v>
      </c>
      <c r="N227" s="18">
        <v>1</v>
      </c>
    </row>
    <row r="228" spans="1:14" x14ac:dyDescent="0.25">
      <c r="A228" t="s">
        <v>358</v>
      </c>
      <c r="B228" s="7">
        <v>43561</v>
      </c>
      <c r="C228" s="4">
        <v>0.84375</v>
      </c>
      <c r="D228" s="15">
        <f t="shared" si="6"/>
        <v>20</v>
      </c>
      <c r="E228" s="15" t="str">
        <f t="shared" si="7"/>
        <v>After 15</v>
      </c>
      <c r="F228" t="s">
        <v>359</v>
      </c>
      <c r="G228" s="16" t="str">
        <f>VLOOKUP(F228,DISTRICTS!B$2:C$626,2,FALSE)</f>
        <v>CENTRO</v>
      </c>
      <c r="H228" s="16" t="str">
        <f>IFERROR(VLOOKUP(G228,'areas for question 4'!A$2:B$10,2,FALSE),"")</f>
        <v/>
      </c>
      <c r="I228" t="s">
        <v>1444</v>
      </c>
      <c r="J228" t="s">
        <v>1452</v>
      </c>
      <c r="K228" t="s">
        <v>1456</v>
      </c>
      <c r="L228" t="s">
        <v>1464</v>
      </c>
      <c r="M228" t="s">
        <v>1478</v>
      </c>
      <c r="N228" s="18">
        <v>2</v>
      </c>
    </row>
    <row r="229" spans="1:14" x14ac:dyDescent="0.25">
      <c r="A229" t="s">
        <v>381</v>
      </c>
      <c r="B229" s="7">
        <v>43567</v>
      </c>
      <c r="C229" s="4">
        <v>0.59375</v>
      </c>
      <c r="D229" s="15">
        <f t="shared" si="6"/>
        <v>14</v>
      </c>
      <c r="E229" s="15" t="str">
        <f t="shared" si="7"/>
        <v>Before 15</v>
      </c>
      <c r="F229" t="s">
        <v>382</v>
      </c>
      <c r="G229" s="16" t="str">
        <f>VLOOKUP(F229,DISTRICTS!B$2:C$626,2,FALSE)</f>
        <v>CENTRO</v>
      </c>
      <c r="H229" s="16" t="str">
        <f>IFERROR(VLOOKUP(G229,'areas for question 4'!A$2:B$10,2,FALSE),"")</f>
        <v/>
      </c>
      <c r="I229" t="s">
        <v>1444</v>
      </c>
      <c r="J229" t="s">
        <v>1450</v>
      </c>
      <c r="K229" t="s">
        <v>1456</v>
      </c>
      <c r="L229" t="s">
        <v>1464</v>
      </c>
      <c r="M229" t="s">
        <v>1477</v>
      </c>
      <c r="N229" s="18">
        <v>2</v>
      </c>
    </row>
    <row r="230" spans="1:14" x14ac:dyDescent="0.25">
      <c r="A230" t="s">
        <v>387</v>
      </c>
      <c r="B230" s="7">
        <v>43571</v>
      </c>
      <c r="C230" s="4">
        <v>0.77430555555555547</v>
      </c>
      <c r="D230" s="15">
        <f t="shared" si="6"/>
        <v>18</v>
      </c>
      <c r="E230" s="15" t="str">
        <f t="shared" si="7"/>
        <v>After 15</v>
      </c>
      <c r="F230" t="s">
        <v>388</v>
      </c>
      <c r="G230" s="16" t="str">
        <f>VLOOKUP(F230,DISTRICTS!B$2:C$626,2,FALSE)</f>
        <v>RETIRO</v>
      </c>
      <c r="H230" s="16" t="str">
        <f>IFERROR(VLOOKUP(G230,'areas for question 4'!A$2:B$10,2,FALSE),"")</f>
        <v/>
      </c>
      <c r="I230" t="s">
        <v>1444</v>
      </c>
      <c r="J230" t="s">
        <v>1450</v>
      </c>
      <c r="K230" t="s">
        <v>1456</v>
      </c>
      <c r="L230" t="s">
        <v>1464</v>
      </c>
      <c r="M230" t="s">
        <v>1478</v>
      </c>
      <c r="N230" s="18">
        <v>2</v>
      </c>
    </row>
    <row r="231" spans="1:14" x14ac:dyDescent="0.25">
      <c r="A231" t="s">
        <v>402</v>
      </c>
      <c r="B231" s="7">
        <v>43579</v>
      </c>
      <c r="C231" s="4">
        <v>0.66666666666666663</v>
      </c>
      <c r="D231" s="15">
        <f t="shared" si="6"/>
        <v>16</v>
      </c>
      <c r="E231" s="15" t="str">
        <f t="shared" si="7"/>
        <v>After 15</v>
      </c>
      <c r="F231" t="s">
        <v>403</v>
      </c>
      <c r="G231" s="16" t="str">
        <f>VLOOKUP(F231,DISTRICTS!B$2:C$626,2,FALSE)</f>
        <v>MORATALAZ</v>
      </c>
      <c r="H231" s="16" t="str">
        <f>IFERROR(VLOOKUP(G231,'areas for question 4'!A$2:B$10,2,FALSE),"")</f>
        <v>East</v>
      </c>
      <c r="I231" t="s">
        <v>1449</v>
      </c>
      <c r="J231" t="s">
        <v>1453</v>
      </c>
      <c r="K231" t="s">
        <v>1456</v>
      </c>
      <c r="L231" t="s">
        <v>1464</v>
      </c>
      <c r="M231" t="s">
        <v>1478</v>
      </c>
      <c r="N231" s="18">
        <v>7</v>
      </c>
    </row>
    <row r="232" spans="1:14" x14ac:dyDescent="0.25">
      <c r="A232" t="s">
        <v>414</v>
      </c>
      <c r="B232" s="7">
        <v>43584</v>
      </c>
      <c r="C232" s="4">
        <v>0.86111111111111116</v>
      </c>
      <c r="D232" s="15">
        <f t="shared" si="6"/>
        <v>20</v>
      </c>
      <c r="E232" s="15" t="str">
        <f t="shared" si="7"/>
        <v>After 15</v>
      </c>
      <c r="F232" t="s">
        <v>415</v>
      </c>
      <c r="G232" s="16" t="str">
        <f>VLOOKUP(F232,DISTRICTS!B$2:C$626,2,FALSE)</f>
        <v>CHAMBERÍ</v>
      </c>
      <c r="H232" s="16" t="str">
        <f>IFERROR(VLOOKUP(G232,'areas for question 4'!A$2:B$10,2,FALSE),"")</f>
        <v>North</v>
      </c>
      <c r="I232" t="s">
        <v>1444</v>
      </c>
      <c r="J232" t="s">
        <v>1450</v>
      </c>
      <c r="K232" t="s">
        <v>1456</v>
      </c>
      <c r="L232" t="s">
        <v>1464</v>
      </c>
      <c r="M232" t="s">
        <v>1477</v>
      </c>
      <c r="N232" s="18">
        <v>14</v>
      </c>
    </row>
    <row r="233" spans="1:14" x14ac:dyDescent="0.25">
      <c r="A233" t="s">
        <v>420</v>
      </c>
      <c r="B233" s="7">
        <v>43588</v>
      </c>
      <c r="C233" s="4">
        <v>0.93055555555555547</v>
      </c>
      <c r="D233" s="15">
        <f t="shared" si="6"/>
        <v>22</v>
      </c>
      <c r="E233" s="15" t="str">
        <f t="shared" si="7"/>
        <v>After 15</v>
      </c>
      <c r="F233" t="s">
        <v>421</v>
      </c>
      <c r="G233" s="16" t="str">
        <f>VLOOKUP(F233,DISTRICTS!B$2:C$626,2,FALSE)</f>
        <v>CENTRO</v>
      </c>
      <c r="H233" s="16" t="str">
        <f>IFERROR(VLOOKUP(G233,'areas for question 4'!A$2:B$10,2,FALSE),"")</f>
        <v/>
      </c>
      <c r="I233" t="s">
        <v>1444</v>
      </c>
      <c r="J233" t="s">
        <v>1450</v>
      </c>
      <c r="K233" t="s">
        <v>1456</v>
      </c>
      <c r="L233" t="s">
        <v>1464</v>
      </c>
      <c r="M233" t="s">
        <v>1477</v>
      </c>
      <c r="N233" s="18">
        <v>1</v>
      </c>
    </row>
    <row r="234" spans="1:14" x14ac:dyDescent="0.25">
      <c r="A234" t="s">
        <v>457</v>
      </c>
      <c r="B234" s="7">
        <v>43598</v>
      </c>
      <c r="C234" s="4">
        <v>0.97083333333333333</v>
      </c>
      <c r="D234" s="15">
        <f t="shared" si="6"/>
        <v>23</v>
      </c>
      <c r="E234" s="15" t="str">
        <f t="shared" si="7"/>
        <v>After 15</v>
      </c>
      <c r="F234" t="s">
        <v>458</v>
      </c>
      <c r="G234" s="16" t="str">
        <f>VLOOKUP(F234,DISTRICTS!B$2:C$626,2,FALSE)</f>
        <v>SALAMANCA</v>
      </c>
      <c r="H234" s="16" t="str">
        <f>IFERROR(VLOOKUP(G234,'areas for question 4'!A$2:B$10,2,FALSE),"")</f>
        <v/>
      </c>
      <c r="I234" t="s">
        <v>1447</v>
      </c>
      <c r="J234" t="s">
        <v>1450</v>
      </c>
      <c r="K234" t="s">
        <v>1456</v>
      </c>
      <c r="L234" t="s">
        <v>1464</v>
      </c>
      <c r="M234" t="s">
        <v>1478</v>
      </c>
      <c r="N234" s="18" t="s">
        <v>34</v>
      </c>
    </row>
    <row r="235" spans="1:14" x14ac:dyDescent="0.25">
      <c r="A235" t="s">
        <v>485</v>
      </c>
      <c r="B235" s="7">
        <v>43603</v>
      </c>
      <c r="C235" s="4">
        <v>0.7368055555555556</v>
      </c>
      <c r="D235" s="15">
        <f t="shared" si="6"/>
        <v>17</v>
      </c>
      <c r="E235" s="15" t="str">
        <f t="shared" si="7"/>
        <v>After 15</v>
      </c>
      <c r="F235" t="s">
        <v>486</v>
      </c>
      <c r="G235" s="16" t="str">
        <f>VLOOKUP(F235,DISTRICTS!B$2:C$626,2,FALSE)</f>
        <v>MONCLOA-ARAVACA</v>
      </c>
      <c r="H235" s="16" t="str">
        <f>IFERROR(VLOOKUP(G235,'areas for question 4'!A$2:B$10,2,FALSE),"")</f>
        <v/>
      </c>
      <c r="I235" t="s">
        <v>1443</v>
      </c>
      <c r="J235" t="s">
        <v>1450</v>
      </c>
      <c r="K235" t="s">
        <v>1456</v>
      </c>
      <c r="L235" t="s">
        <v>1464</v>
      </c>
      <c r="M235" t="s">
        <v>1477</v>
      </c>
      <c r="N235" s="18">
        <v>14</v>
      </c>
    </row>
    <row r="236" spans="1:14" x14ac:dyDescent="0.25">
      <c r="A236" t="s">
        <v>489</v>
      </c>
      <c r="B236" s="7">
        <v>43604</v>
      </c>
      <c r="C236" s="4">
        <v>0.73958333333333337</v>
      </c>
      <c r="D236" s="15">
        <f t="shared" si="6"/>
        <v>17</v>
      </c>
      <c r="E236" s="15" t="str">
        <f t="shared" si="7"/>
        <v>After 15</v>
      </c>
      <c r="F236" t="s">
        <v>490</v>
      </c>
      <c r="G236" s="16" t="str">
        <f>VLOOKUP(F236,DISTRICTS!B$2:C$626,2,FALSE)</f>
        <v>MONCLOA-ARAVACA</v>
      </c>
      <c r="H236" s="16" t="str">
        <f>IFERROR(VLOOKUP(G236,'areas for question 4'!A$2:B$10,2,FALSE),"")</f>
        <v/>
      </c>
      <c r="I236" t="s">
        <v>1444</v>
      </c>
      <c r="J236" t="s">
        <v>1450</v>
      </c>
      <c r="K236" t="s">
        <v>1456</v>
      </c>
      <c r="L236" t="s">
        <v>1464</v>
      </c>
      <c r="M236" t="s">
        <v>1478</v>
      </c>
      <c r="N236" s="18">
        <v>7</v>
      </c>
    </row>
    <row r="237" spans="1:14" x14ac:dyDescent="0.25">
      <c r="A237" t="s">
        <v>523</v>
      </c>
      <c r="B237" s="7">
        <v>43610</v>
      </c>
      <c r="C237" s="4">
        <v>0.35416666666666669</v>
      </c>
      <c r="D237" s="15">
        <f t="shared" si="6"/>
        <v>8</v>
      </c>
      <c r="E237" s="15" t="str">
        <f t="shared" si="7"/>
        <v>Before 15</v>
      </c>
      <c r="F237" t="s">
        <v>481</v>
      </c>
      <c r="G237" s="16" t="str">
        <f>VLOOKUP(F237,DISTRICTS!B$2:C$626,2,FALSE)</f>
        <v>ARGANZUELA</v>
      </c>
      <c r="H237" s="16" t="str">
        <f>IFERROR(VLOOKUP(G237,'areas for question 4'!A$2:B$10,2,FALSE),"")</f>
        <v/>
      </c>
      <c r="I237" t="s">
        <v>1441</v>
      </c>
      <c r="J237" t="s">
        <v>1450</v>
      </c>
      <c r="K237" t="s">
        <v>1456</v>
      </c>
      <c r="L237" t="s">
        <v>1464</v>
      </c>
      <c r="M237" t="s">
        <v>1478</v>
      </c>
      <c r="N237" s="18">
        <v>7</v>
      </c>
    </row>
    <row r="238" spans="1:14" x14ac:dyDescent="0.25">
      <c r="A238" t="s">
        <v>541</v>
      </c>
      <c r="B238" s="7">
        <v>43613</v>
      </c>
      <c r="C238" s="4">
        <v>0.40625</v>
      </c>
      <c r="D238" s="15">
        <f t="shared" si="6"/>
        <v>9</v>
      </c>
      <c r="E238" s="15" t="str">
        <f t="shared" si="7"/>
        <v>Before 15</v>
      </c>
      <c r="F238" t="s">
        <v>156</v>
      </c>
      <c r="G238" s="16" t="str">
        <f>VLOOKUP(F238,DISTRICTS!B$2:C$626,2,FALSE)</f>
        <v>CHAMBERÍ</v>
      </c>
      <c r="H238" s="16" t="str">
        <f>IFERROR(VLOOKUP(G238,'areas for question 4'!A$2:B$10,2,FALSE),"")</f>
        <v>North</v>
      </c>
      <c r="I238" t="s">
        <v>1446</v>
      </c>
      <c r="J238" t="s">
        <v>1450</v>
      </c>
      <c r="K238" t="s">
        <v>1456</v>
      </c>
      <c r="L238" t="s">
        <v>1464</v>
      </c>
      <c r="M238" t="s">
        <v>1478</v>
      </c>
      <c r="N238" s="18">
        <v>5</v>
      </c>
    </row>
    <row r="239" spans="1:14" x14ac:dyDescent="0.25">
      <c r="A239" t="s">
        <v>554</v>
      </c>
      <c r="B239" s="7">
        <v>43617</v>
      </c>
      <c r="C239" s="4">
        <v>0.5625</v>
      </c>
      <c r="D239" s="15">
        <f t="shared" si="6"/>
        <v>13</v>
      </c>
      <c r="E239" s="15" t="str">
        <f t="shared" si="7"/>
        <v>Before 15</v>
      </c>
      <c r="F239" t="s">
        <v>555</v>
      </c>
      <c r="G239" s="16" t="str">
        <f>VLOOKUP(F239,DISTRICTS!B$2:C$626,2,FALSE)</f>
        <v>MORATALAZ</v>
      </c>
      <c r="H239" s="16" t="str">
        <f>IFERROR(VLOOKUP(G239,'areas for question 4'!A$2:B$10,2,FALSE),"")</f>
        <v>East</v>
      </c>
      <c r="I239" t="s">
        <v>1446</v>
      </c>
      <c r="J239" t="s">
        <v>1450</v>
      </c>
      <c r="K239" t="s">
        <v>1456</v>
      </c>
      <c r="L239" t="s">
        <v>1464</v>
      </c>
      <c r="M239" t="s">
        <v>1477</v>
      </c>
      <c r="N239" s="18">
        <v>1</v>
      </c>
    </row>
    <row r="240" spans="1:14" x14ac:dyDescent="0.25">
      <c r="A240" t="s">
        <v>556</v>
      </c>
      <c r="B240" s="7">
        <v>43617</v>
      </c>
      <c r="C240" s="4">
        <v>0.54166666666666663</v>
      </c>
      <c r="D240" s="15">
        <f t="shared" si="6"/>
        <v>13</v>
      </c>
      <c r="E240" s="15" t="str">
        <f t="shared" si="7"/>
        <v>Before 15</v>
      </c>
      <c r="F240" t="s">
        <v>557</v>
      </c>
      <c r="G240" s="16" t="str">
        <f>VLOOKUP(F240,DISTRICTS!B$2:C$626,2,FALSE)</f>
        <v>LATINA</v>
      </c>
      <c r="H240" s="16" t="str">
        <f>IFERROR(VLOOKUP(G240,'areas for question 4'!A$2:B$10,2,FALSE),"")</f>
        <v/>
      </c>
      <c r="I240" t="s">
        <v>1444</v>
      </c>
      <c r="J240" t="s">
        <v>1450</v>
      </c>
      <c r="K240" t="s">
        <v>1456</v>
      </c>
      <c r="L240" t="s">
        <v>1464</v>
      </c>
      <c r="M240" t="s">
        <v>1478</v>
      </c>
      <c r="N240" s="18">
        <v>7</v>
      </c>
    </row>
    <row r="241" spans="1:14" x14ac:dyDescent="0.25">
      <c r="A241" t="s">
        <v>560</v>
      </c>
      <c r="B241" s="7">
        <v>43617</v>
      </c>
      <c r="C241" s="4">
        <v>0.3298611111111111</v>
      </c>
      <c r="D241" s="15">
        <f t="shared" si="6"/>
        <v>7</v>
      </c>
      <c r="E241" s="15" t="str">
        <f t="shared" si="7"/>
        <v>Before 15</v>
      </c>
      <c r="F241" t="s">
        <v>561</v>
      </c>
      <c r="G241" s="16" t="str">
        <f>VLOOKUP(F241,DISTRICTS!B$2:C$626,2,FALSE)</f>
        <v>CIUDAD LINEAL</v>
      </c>
      <c r="H241" s="16" t="str">
        <f>IFERROR(VLOOKUP(G241,'areas for question 4'!A$2:B$10,2,FALSE),"")</f>
        <v>East</v>
      </c>
      <c r="I241" t="s">
        <v>1446</v>
      </c>
      <c r="J241" t="s">
        <v>1451</v>
      </c>
      <c r="K241" t="s">
        <v>1456</v>
      </c>
      <c r="L241" t="s">
        <v>1464</v>
      </c>
      <c r="M241" t="s">
        <v>1477</v>
      </c>
      <c r="N241" s="18">
        <v>7</v>
      </c>
    </row>
    <row r="242" spans="1:14" x14ac:dyDescent="0.25">
      <c r="A242" t="s">
        <v>570</v>
      </c>
      <c r="B242" s="7">
        <v>43619</v>
      </c>
      <c r="C242" s="4">
        <v>0.80902777777777779</v>
      </c>
      <c r="D242" s="15">
        <f t="shared" si="6"/>
        <v>19</v>
      </c>
      <c r="E242" s="15" t="str">
        <f t="shared" si="7"/>
        <v>After 15</v>
      </c>
      <c r="F242" t="s">
        <v>315</v>
      </c>
      <c r="G242" s="16" t="str">
        <f>VLOOKUP(F242,DISTRICTS!B$2:C$626,2,FALSE)</f>
        <v>CENTRO</v>
      </c>
      <c r="H242" s="16" t="str">
        <f>IFERROR(VLOOKUP(G242,'areas for question 4'!A$2:B$10,2,FALSE),"")</f>
        <v/>
      </c>
      <c r="I242" t="s">
        <v>1447</v>
      </c>
      <c r="J242" t="s">
        <v>1450</v>
      </c>
      <c r="K242" t="s">
        <v>1456</v>
      </c>
      <c r="L242" t="s">
        <v>1464</v>
      </c>
      <c r="M242" t="s">
        <v>1477</v>
      </c>
      <c r="N242" s="18">
        <v>7</v>
      </c>
    </row>
    <row r="243" spans="1:14" x14ac:dyDescent="0.25">
      <c r="A243" t="s">
        <v>571</v>
      </c>
      <c r="B243" s="7">
        <v>43619</v>
      </c>
      <c r="C243" s="4">
        <v>0.64027777777777783</v>
      </c>
      <c r="D243" s="15">
        <f t="shared" si="6"/>
        <v>15</v>
      </c>
      <c r="E243" s="15" t="str">
        <f t="shared" si="7"/>
        <v>After 15</v>
      </c>
      <c r="F243" t="s">
        <v>572</v>
      </c>
      <c r="G243" s="16" t="str">
        <f>VLOOKUP(F243,DISTRICTS!B$2:C$626,2,FALSE)</f>
        <v>CHAMBERÍ</v>
      </c>
      <c r="H243" s="16" t="str">
        <f>IFERROR(VLOOKUP(G243,'areas for question 4'!A$2:B$10,2,FALSE),"")</f>
        <v>North</v>
      </c>
      <c r="I243" t="s">
        <v>1443</v>
      </c>
      <c r="J243" t="s">
        <v>1450</v>
      </c>
      <c r="K243" t="s">
        <v>1456</v>
      </c>
      <c r="L243" t="s">
        <v>1464</v>
      </c>
      <c r="M243" t="s">
        <v>1477</v>
      </c>
      <c r="N243" s="18">
        <v>14</v>
      </c>
    </row>
    <row r="244" spans="1:14" x14ac:dyDescent="0.25">
      <c r="A244" t="s">
        <v>580</v>
      </c>
      <c r="B244" s="7">
        <v>43621</v>
      </c>
      <c r="C244" s="4">
        <v>0.63958333333333328</v>
      </c>
      <c r="D244" s="15">
        <f t="shared" si="6"/>
        <v>15</v>
      </c>
      <c r="E244" s="15" t="str">
        <f t="shared" si="7"/>
        <v>After 15</v>
      </c>
      <c r="F244" t="s">
        <v>581</v>
      </c>
      <c r="G244" s="16" t="str">
        <f>VLOOKUP(F244,DISTRICTS!B$2:C$626,2,FALSE)</f>
        <v>RETIRO</v>
      </c>
      <c r="H244" s="16" t="str">
        <f>IFERROR(VLOOKUP(G244,'areas for question 4'!A$2:B$10,2,FALSE),"")</f>
        <v/>
      </c>
      <c r="I244" t="s">
        <v>1448</v>
      </c>
      <c r="J244" t="s">
        <v>1450</v>
      </c>
      <c r="K244" t="s">
        <v>1456</v>
      </c>
      <c r="L244" t="s">
        <v>1464</v>
      </c>
      <c r="M244" t="s">
        <v>1478</v>
      </c>
      <c r="N244" s="18">
        <v>2</v>
      </c>
    </row>
    <row r="245" spans="1:14" x14ac:dyDescent="0.25">
      <c r="A245" t="s">
        <v>583</v>
      </c>
      <c r="B245" s="7">
        <v>43621</v>
      </c>
      <c r="C245" s="4">
        <v>0.3263888888888889</v>
      </c>
      <c r="D245" s="15">
        <f t="shared" si="6"/>
        <v>7</v>
      </c>
      <c r="E245" s="15" t="str">
        <f t="shared" si="7"/>
        <v>Before 15</v>
      </c>
      <c r="F245" t="s">
        <v>584</v>
      </c>
      <c r="G245" s="16" t="str">
        <f>VLOOKUP(F245,DISTRICTS!B$2:C$626,2,FALSE)</f>
        <v>CARABANCHEL</v>
      </c>
      <c r="H245" s="16" t="str">
        <f>IFERROR(VLOOKUP(G245,'areas for question 4'!A$2:B$10,2,FALSE),"")</f>
        <v/>
      </c>
      <c r="I245" t="s">
        <v>1443</v>
      </c>
      <c r="J245" t="s">
        <v>1450</v>
      </c>
      <c r="K245" t="s">
        <v>1456</v>
      </c>
      <c r="L245" t="s">
        <v>1464</v>
      </c>
      <c r="M245" t="s">
        <v>1477</v>
      </c>
      <c r="N245" s="18">
        <v>14</v>
      </c>
    </row>
    <row r="246" spans="1:14" x14ac:dyDescent="0.25">
      <c r="A246" t="s">
        <v>585</v>
      </c>
      <c r="B246" s="7">
        <v>43622</v>
      </c>
      <c r="C246" s="4">
        <v>0.86458333333333337</v>
      </c>
      <c r="D246" s="15">
        <f t="shared" si="6"/>
        <v>20</v>
      </c>
      <c r="E246" s="15" t="str">
        <f t="shared" si="7"/>
        <v>After 15</v>
      </c>
      <c r="F246" t="s">
        <v>442</v>
      </c>
      <c r="G246" s="16" t="str">
        <f>VLOOKUP(F246,DISTRICTS!B$2:C$626,2,FALSE)</f>
        <v>CARABANCHEL</v>
      </c>
      <c r="H246" s="16" t="str">
        <f>IFERROR(VLOOKUP(G246,'areas for question 4'!A$2:B$10,2,FALSE),"")</f>
        <v/>
      </c>
      <c r="I246" t="s">
        <v>1444</v>
      </c>
      <c r="J246" t="s">
        <v>1450</v>
      </c>
      <c r="K246" t="s">
        <v>1456</v>
      </c>
      <c r="L246" t="s">
        <v>1464</v>
      </c>
      <c r="M246" t="s">
        <v>1477</v>
      </c>
      <c r="N246" s="18">
        <v>2</v>
      </c>
    </row>
    <row r="247" spans="1:14" x14ac:dyDescent="0.25">
      <c r="A247" t="s">
        <v>592</v>
      </c>
      <c r="B247" s="7">
        <v>43623</v>
      </c>
      <c r="C247" s="4">
        <v>0.34375</v>
      </c>
      <c r="D247" s="15">
        <f t="shared" si="6"/>
        <v>8</v>
      </c>
      <c r="E247" s="15" t="str">
        <f t="shared" si="7"/>
        <v>Before 15</v>
      </c>
      <c r="F247" t="s">
        <v>593</v>
      </c>
      <c r="G247" s="16" t="str">
        <f>VLOOKUP(F247,DISTRICTS!B$2:C$626,2,FALSE)</f>
        <v>MONCLOA-ARAVACA</v>
      </c>
      <c r="H247" s="16" t="str">
        <f>IFERROR(VLOOKUP(G247,'areas for question 4'!A$2:B$10,2,FALSE),"")</f>
        <v/>
      </c>
      <c r="I247" t="s">
        <v>1446</v>
      </c>
      <c r="J247" t="s">
        <v>1450</v>
      </c>
      <c r="K247" t="s">
        <v>1456</v>
      </c>
      <c r="L247" t="s">
        <v>1464</v>
      </c>
      <c r="M247" t="s">
        <v>1478</v>
      </c>
      <c r="N247" s="18">
        <v>6</v>
      </c>
    </row>
    <row r="248" spans="1:14" x14ac:dyDescent="0.25">
      <c r="A248" t="s">
        <v>602</v>
      </c>
      <c r="B248" s="7">
        <v>43626</v>
      </c>
      <c r="C248" s="4">
        <v>0.90416666666666667</v>
      </c>
      <c r="D248" s="15">
        <f t="shared" si="6"/>
        <v>21</v>
      </c>
      <c r="E248" s="15" t="str">
        <f t="shared" si="7"/>
        <v>After 15</v>
      </c>
      <c r="F248" t="s">
        <v>327</v>
      </c>
      <c r="G248" s="16" t="str">
        <f>VLOOKUP(F248,DISTRICTS!B$2:C$626,2,FALSE)</f>
        <v>MONCLOA-ARAVACA</v>
      </c>
      <c r="H248" s="16" t="str">
        <f>IFERROR(VLOOKUP(G248,'areas for question 4'!A$2:B$10,2,FALSE),"")</f>
        <v/>
      </c>
      <c r="I248" t="s">
        <v>1444</v>
      </c>
      <c r="J248" t="s">
        <v>1450</v>
      </c>
      <c r="K248" t="s">
        <v>1456</v>
      </c>
      <c r="L248" t="s">
        <v>1464</v>
      </c>
      <c r="M248" t="s">
        <v>1477</v>
      </c>
      <c r="N248" s="18">
        <v>6</v>
      </c>
    </row>
    <row r="249" spans="1:14" x14ac:dyDescent="0.25">
      <c r="A249" t="s">
        <v>613</v>
      </c>
      <c r="B249" s="7">
        <v>43628</v>
      </c>
      <c r="C249" s="4">
        <v>0.90277777777777779</v>
      </c>
      <c r="D249" s="15">
        <f t="shared" si="6"/>
        <v>21</v>
      </c>
      <c r="E249" s="15" t="str">
        <f t="shared" si="7"/>
        <v>After 15</v>
      </c>
      <c r="F249" t="s">
        <v>614</v>
      </c>
      <c r="G249" s="16" t="str">
        <f>VLOOKUP(F249,DISTRICTS!B$2:C$626,2,FALSE)</f>
        <v>PUENTE DE VALLECAS</v>
      </c>
      <c r="H249" s="16" t="str">
        <f>IFERROR(VLOOKUP(G249,'areas for question 4'!A$2:B$10,2,FALSE),"")</f>
        <v/>
      </c>
      <c r="I249" t="s">
        <v>1444</v>
      </c>
      <c r="J249" t="s">
        <v>1450</v>
      </c>
      <c r="K249" t="s">
        <v>1456</v>
      </c>
      <c r="L249" t="s">
        <v>1464</v>
      </c>
      <c r="M249" t="s">
        <v>1478</v>
      </c>
      <c r="N249" s="18">
        <v>6</v>
      </c>
    </row>
    <row r="250" spans="1:14" x14ac:dyDescent="0.25">
      <c r="A250" t="s">
        <v>630</v>
      </c>
      <c r="B250" s="7">
        <v>43630</v>
      </c>
      <c r="C250" s="4">
        <v>0.99652777777777779</v>
      </c>
      <c r="D250" s="15">
        <f t="shared" si="6"/>
        <v>23</v>
      </c>
      <c r="E250" s="15" t="str">
        <f t="shared" si="7"/>
        <v>After 15</v>
      </c>
      <c r="F250" t="s">
        <v>631</v>
      </c>
      <c r="G250" s="16" t="str">
        <f>VLOOKUP(F250,DISTRICTS!B$2:C$626,2,FALSE)</f>
        <v>ARGANZUELA</v>
      </c>
      <c r="H250" s="16" t="str">
        <f>IFERROR(VLOOKUP(G250,'areas for question 4'!A$2:B$10,2,FALSE),"")</f>
        <v/>
      </c>
      <c r="I250" t="s">
        <v>1444</v>
      </c>
      <c r="J250" t="s">
        <v>1450</v>
      </c>
      <c r="K250" t="s">
        <v>1456</v>
      </c>
      <c r="L250" t="s">
        <v>1464</v>
      </c>
      <c r="M250" t="s">
        <v>1477</v>
      </c>
      <c r="N250" s="18">
        <v>7</v>
      </c>
    </row>
    <row r="251" spans="1:14" x14ac:dyDescent="0.25">
      <c r="A251" t="s">
        <v>658</v>
      </c>
      <c r="B251" s="7">
        <v>43635</v>
      </c>
      <c r="C251" s="4">
        <v>9.7222222222222224E-3</v>
      </c>
      <c r="D251" s="15">
        <f t="shared" si="6"/>
        <v>0</v>
      </c>
      <c r="E251" s="15" t="str">
        <f t="shared" si="7"/>
        <v>Before 15</v>
      </c>
      <c r="F251" t="s">
        <v>659</v>
      </c>
      <c r="G251" s="16" t="str">
        <f>VLOOKUP(F251,DISTRICTS!B$2:C$626,2,FALSE)</f>
        <v>ARGANZUELA</v>
      </c>
      <c r="H251" s="16" t="str">
        <f>IFERROR(VLOOKUP(G251,'areas for question 4'!A$2:B$10,2,FALSE),"")</f>
        <v/>
      </c>
      <c r="I251" t="s">
        <v>1446</v>
      </c>
      <c r="J251" t="s">
        <v>1450</v>
      </c>
      <c r="K251" t="s">
        <v>1456</v>
      </c>
      <c r="L251" t="s">
        <v>1464</v>
      </c>
      <c r="M251" t="s">
        <v>1477</v>
      </c>
      <c r="N251" s="18">
        <v>14</v>
      </c>
    </row>
    <row r="252" spans="1:14" x14ac:dyDescent="0.25">
      <c r="A252" t="s">
        <v>668</v>
      </c>
      <c r="B252" s="7">
        <v>43638</v>
      </c>
      <c r="C252" s="4">
        <v>0.77777777777777779</v>
      </c>
      <c r="D252" s="15">
        <f t="shared" si="6"/>
        <v>18</v>
      </c>
      <c r="E252" s="15" t="str">
        <f t="shared" si="7"/>
        <v>After 15</v>
      </c>
      <c r="F252" t="s">
        <v>99</v>
      </c>
      <c r="G252" s="16" t="str">
        <f>VLOOKUP(F252,DISTRICTS!B$2:C$626,2,FALSE)</f>
        <v>CENTRO</v>
      </c>
      <c r="H252" s="16" t="str">
        <f>IFERROR(VLOOKUP(G252,'areas for question 4'!A$2:B$10,2,FALSE),"")</f>
        <v/>
      </c>
      <c r="I252" t="s">
        <v>1444</v>
      </c>
      <c r="J252" t="s">
        <v>1450</v>
      </c>
      <c r="K252" t="s">
        <v>1456</v>
      </c>
      <c r="L252" t="s">
        <v>1464</v>
      </c>
      <c r="M252" t="s">
        <v>1477</v>
      </c>
      <c r="N252" s="18">
        <v>1</v>
      </c>
    </row>
    <row r="253" spans="1:14" x14ac:dyDescent="0.25">
      <c r="A253" t="s">
        <v>680</v>
      </c>
      <c r="B253" s="7">
        <v>43641</v>
      </c>
      <c r="C253" s="4">
        <v>0.1875</v>
      </c>
      <c r="D253" s="15">
        <f t="shared" si="6"/>
        <v>4</v>
      </c>
      <c r="E253" s="15" t="str">
        <f t="shared" si="7"/>
        <v>Before 15</v>
      </c>
      <c r="F253" t="s">
        <v>681</v>
      </c>
      <c r="G253" s="16" t="str">
        <f>VLOOKUP(F253,DISTRICTS!B$2:C$626,2,FALSE)</f>
        <v>CHAMBERÍ</v>
      </c>
      <c r="H253" s="16" t="str">
        <f>IFERROR(VLOOKUP(G253,'areas for question 4'!A$2:B$10,2,FALSE),"")</f>
        <v>North</v>
      </c>
      <c r="I253" t="s">
        <v>1447</v>
      </c>
      <c r="J253" t="s">
        <v>1450</v>
      </c>
      <c r="K253" t="s">
        <v>1456</v>
      </c>
      <c r="L253" t="s">
        <v>1464</v>
      </c>
      <c r="M253" t="s">
        <v>1477</v>
      </c>
      <c r="N253" s="18">
        <v>7</v>
      </c>
    </row>
    <row r="254" spans="1:14" x14ac:dyDescent="0.25">
      <c r="A254" t="s">
        <v>685</v>
      </c>
      <c r="B254" s="7">
        <v>43642</v>
      </c>
      <c r="C254" s="4">
        <v>0.68055555555555547</v>
      </c>
      <c r="D254" s="15">
        <f t="shared" si="6"/>
        <v>16</v>
      </c>
      <c r="E254" s="15" t="str">
        <f t="shared" si="7"/>
        <v>After 15</v>
      </c>
      <c r="F254" t="s">
        <v>686</v>
      </c>
      <c r="G254" s="16" t="str">
        <f>VLOOKUP(F254,DISTRICTS!B$2:C$626,2,FALSE)</f>
        <v>CHAMBERÍ</v>
      </c>
      <c r="H254" s="16" t="str">
        <f>IFERROR(VLOOKUP(G254,'areas for question 4'!A$2:B$10,2,FALSE),"")</f>
        <v>North</v>
      </c>
      <c r="I254" t="s">
        <v>1441</v>
      </c>
      <c r="J254" t="s">
        <v>1450</v>
      </c>
      <c r="K254" t="s">
        <v>1456</v>
      </c>
      <c r="L254" t="s">
        <v>1464</v>
      </c>
      <c r="M254" t="s">
        <v>1478</v>
      </c>
      <c r="N254" s="18">
        <v>7</v>
      </c>
    </row>
    <row r="255" spans="1:14" x14ac:dyDescent="0.25">
      <c r="A255" t="s">
        <v>687</v>
      </c>
      <c r="B255" s="7">
        <v>43643</v>
      </c>
      <c r="C255" s="4">
        <v>0.84375</v>
      </c>
      <c r="D255" s="15">
        <f t="shared" si="6"/>
        <v>20</v>
      </c>
      <c r="E255" s="15" t="str">
        <f t="shared" si="7"/>
        <v>After 15</v>
      </c>
      <c r="F255" t="s">
        <v>688</v>
      </c>
      <c r="G255" s="16" t="str">
        <f>VLOOKUP(F255,DISTRICTS!B$2:C$626,2,FALSE)</f>
        <v>ARGANZUELA</v>
      </c>
      <c r="H255" s="16" t="str">
        <f>IFERROR(VLOOKUP(G255,'areas for question 4'!A$2:B$10,2,FALSE),"")</f>
        <v/>
      </c>
      <c r="I255" t="s">
        <v>1446</v>
      </c>
      <c r="K255" t="s">
        <v>1456</v>
      </c>
      <c r="L255" t="s">
        <v>1464</v>
      </c>
      <c r="M255" t="s">
        <v>1478</v>
      </c>
      <c r="N255" s="18" t="s">
        <v>34</v>
      </c>
    </row>
    <row r="256" spans="1:14" x14ac:dyDescent="0.25">
      <c r="A256" t="s">
        <v>719</v>
      </c>
      <c r="B256" s="7">
        <v>43647</v>
      </c>
      <c r="C256" s="4">
        <v>0.38541666666666669</v>
      </c>
      <c r="D256" s="15">
        <f t="shared" si="6"/>
        <v>9</v>
      </c>
      <c r="E256" s="15" t="str">
        <f t="shared" si="7"/>
        <v>Before 15</v>
      </c>
      <c r="F256" t="s">
        <v>720</v>
      </c>
      <c r="G256" s="16" t="str">
        <f>VLOOKUP(F256,DISTRICTS!B$2:C$626,2,FALSE)</f>
        <v>CENTRO</v>
      </c>
      <c r="H256" s="16" t="str">
        <f>IFERROR(VLOOKUP(G256,'areas for question 4'!A$2:B$10,2,FALSE),"")</f>
        <v/>
      </c>
      <c r="I256" t="s">
        <v>1441</v>
      </c>
      <c r="J256" t="s">
        <v>1450</v>
      </c>
      <c r="K256" t="s">
        <v>1456</v>
      </c>
      <c r="L256" t="s">
        <v>1464</v>
      </c>
      <c r="M256" t="s">
        <v>1477</v>
      </c>
      <c r="N256" s="18">
        <v>7</v>
      </c>
    </row>
    <row r="257" spans="1:14" x14ac:dyDescent="0.25">
      <c r="A257" t="s">
        <v>745</v>
      </c>
      <c r="B257" s="7">
        <v>43652</v>
      </c>
      <c r="C257" s="4">
        <v>0.67361111111111116</v>
      </c>
      <c r="D257" s="15">
        <f t="shared" si="6"/>
        <v>16</v>
      </c>
      <c r="E257" s="15" t="str">
        <f t="shared" si="7"/>
        <v>After 15</v>
      </c>
      <c r="F257" t="s">
        <v>746</v>
      </c>
      <c r="G257" s="16" t="str">
        <f>VLOOKUP(F257,DISTRICTS!B$2:C$626,2,FALSE)</f>
        <v>CENTRO</v>
      </c>
      <c r="H257" s="16" t="str">
        <f>IFERROR(VLOOKUP(G257,'areas for question 4'!A$2:B$10,2,FALSE),"")</f>
        <v/>
      </c>
      <c r="I257" t="s">
        <v>1443</v>
      </c>
      <c r="J257" t="s">
        <v>1450</v>
      </c>
      <c r="K257" t="s">
        <v>1456</v>
      </c>
      <c r="L257" t="s">
        <v>1464</v>
      </c>
      <c r="M257" t="s">
        <v>1478</v>
      </c>
      <c r="N257" s="18">
        <v>14</v>
      </c>
    </row>
    <row r="258" spans="1:14" x14ac:dyDescent="0.25">
      <c r="A258" t="s">
        <v>764</v>
      </c>
      <c r="B258" s="7">
        <v>43655</v>
      </c>
      <c r="C258" s="4">
        <v>0.45833333333333331</v>
      </c>
      <c r="D258" s="15">
        <f t="shared" si="6"/>
        <v>11</v>
      </c>
      <c r="E258" s="15" t="str">
        <f t="shared" si="7"/>
        <v>Before 15</v>
      </c>
      <c r="F258" t="s">
        <v>679</v>
      </c>
      <c r="G258" s="16" t="str">
        <f>VLOOKUP(F258,DISTRICTS!B$2:C$626,2,FALSE)</f>
        <v>CHAMBERÍ</v>
      </c>
      <c r="H258" s="16" t="str">
        <f>IFERROR(VLOOKUP(G258,'areas for question 4'!A$2:B$10,2,FALSE),"")</f>
        <v>North</v>
      </c>
      <c r="I258" t="s">
        <v>1441</v>
      </c>
      <c r="J258" t="s">
        <v>1450</v>
      </c>
      <c r="K258" t="s">
        <v>1456</v>
      </c>
      <c r="L258" t="s">
        <v>1464</v>
      </c>
      <c r="M258" t="s">
        <v>1478</v>
      </c>
      <c r="N258" s="18">
        <v>7</v>
      </c>
    </row>
    <row r="259" spans="1:14" x14ac:dyDescent="0.25">
      <c r="A259" t="s">
        <v>769</v>
      </c>
      <c r="B259" s="7">
        <v>43657</v>
      </c>
      <c r="C259" s="4">
        <v>0.36458333333333331</v>
      </c>
      <c r="D259" s="15">
        <f t="shared" ref="D259:D322" si="8">HOUR(C259)</f>
        <v>8</v>
      </c>
      <c r="E259" s="15" t="str">
        <f t="shared" ref="E259:E322" si="9">IF(D259&lt;15,"Before 15","After 15")</f>
        <v>Before 15</v>
      </c>
      <c r="F259" t="s">
        <v>770</v>
      </c>
      <c r="G259" s="16" t="str">
        <f>VLOOKUP(F259,DISTRICTS!B$2:C$626,2,FALSE)</f>
        <v>VILLAVERDE</v>
      </c>
      <c r="H259" s="16" t="str">
        <f>IFERROR(VLOOKUP(G259,'areas for question 4'!A$2:B$10,2,FALSE),"")</f>
        <v/>
      </c>
      <c r="I259" t="s">
        <v>1447</v>
      </c>
      <c r="J259" t="s">
        <v>1450</v>
      </c>
      <c r="K259" t="s">
        <v>1456</v>
      </c>
      <c r="L259" t="s">
        <v>1464</v>
      </c>
      <c r="M259" t="s">
        <v>1478</v>
      </c>
      <c r="N259" s="18" t="s">
        <v>34</v>
      </c>
    </row>
    <row r="260" spans="1:14" x14ac:dyDescent="0.25">
      <c r="A260" t="s">
        <v>775</v>
      </c>
      <c r="B260" s="7">
        <v>43659</v>
      </c>
      <c r="C260" s="4">
        <v>0.64236111111111105</v>
      </c>
      <c r="D260" s="15">
        <f t="shared" si="8"/>
        <v>15</v>
      </c>
      <c r="E260" s="15" t="str">
        <f t="shared" si="9"/>
        <v>After 15</v>
      </c>
      <c r="F260" t="s">
        <v>776</v>
      </c>
      <c r="G260" s="16" t="str">
        <f>VLOOKUP(F260,DISTRICTS!B$2:C$626,2,FALSE)</f>
        <v>SALAMANCA</v>
      </c>
      <c r="H260" s="16" t="str">
        <f>IFERROR(VLOOKUP(G260,'areas for question 4'!A$2:B$10,2,FALSE),"")</f>
        <v/>
      </c>
      <c r="I260" t="s">
        <v>1444</v>
      </c>
      <c r="J260" t="s">
        <v>1450</v>
      </c>
      <c r="K260" t="s">
        <v>1456</v>
      </c>
      <c r="L260" t="s">
        <v>1464</v>
      </c>
      <c r="M260" t="s">
        <v>1477</v>
      </c>
      <c r="N260" s="18">
        <v>6</v>
      </c>
    </row>
    <row r="261" spans="1:14" x14ac:dyDescent="0.25">
      <c r="A261" t="s">
        <v>787</v>
      </c>
      <c r="B261" s="7">
        <v>43662</v>
      </c>
      <c r="C261" s="4">
        <v>0.78125</v>
      </c>
      <c r="D261" s="15">
        <f t="shared" si="8"/>
        <v>18</v>
      </c>
      <c r="E261" s="15" t="str">
        <f t="shared" si="9"/>
        <v>After 15</v>
      </c>
      <c r="F261" t="s">
        <v>788</v>
      </c>
      <c r="G261" s="16" t="str">
        <f>VLOOKUP(F261,DISTRICTS!B$2:C$626,2,FALSE)</f>
        <v>CENTRO</v>
      </c>
      <c r="H261" s="16" t="str">
        <f>IFERROR(VLOOKUP(G261,'areas for question 4'!A$2:B$10,2,FALSE),"")</f>
        <v/>
      </c>
      <c r="I261" t="s">
        <v>1444</v>
      </c>
      <c r="J261" t="s">
        <v>1450</v>
      </c>
      <c r="K261" t="s">
        <v>1456</v>
      </c>
      <c r="L261" t="s">
        <v>1464</v>
      </c>
      <c r="M261" t="s">
        <v>1477</v>
      </c>
      <c r="N261" s="18">
        <v>2</v>
      </c>
    </row>
    <row r="262" spans="1:14" x14ac:dyDescent="0.25">
      <c r="A262" t="s">
        <v>789</v>
      </c>
      <c r="B262" s="7">
        <v>43663</v>
      </c>
      <c r="C262" s="4">
        <v>0.91666666666666663</v>
      </c>
      <c r="D262" s="15">
        <f t="shared" si="8"/>
        <v>22</v>
      </c>
      <c r="E262" s="15" t="str">
        <f t="shared" si="9"/>
        <v>After 15</v>
      </c>
      <c r="F262" t="s">
        <v>790</v>
      </c>
      <c r="G262" s="16" t="str">
        <f>VLOOKUP(F262,DISTRICTS!B$2:C$626,2,FALSE)</f>
        <v>CENTRO</v>
      </c>
      <c r="H262" s="16" t="str">
        <f>IFERROR(VLOOKUP(G262,'areas for question 4'!A$2:B$10,2,FALSE),"")</f>
        <v/>
      </c>
      <c r="I262" t="s">
        <v>1444</v>
      </c>
      <c r="J262" t="s">
        <v>1450</v>
      </c>
      <c r="K262" t="s">
        <v>1456</v>
      </c>
      <c r="L262" t="s">
        <v>1464</v>
      </c>
      <c r="M262" t="s">
        <v>1477</v>
      </c>
      <c r="N262" s="18" t="s">
        <v>34</v>
      </c>
    </row>
    <row r="263" spans="1:14" x14ac:dyDescent="0.25">
      <c r="A263" t="s">
        <v>797</v>
      </c>
      <c r="B263" s="7">
        <v>43664</v>
      </c>
      <c r="C263" s="4">
        <v>0.875</v>
      </c>
      <c r="D263" s="15">
        <f t="shared" si="8"/>
        <v>21</v>
      </c>
      <c r="E263" s="15" t="str">
        <f t="shared" si="9"/>
        <v>After 15</v>
      </c>
      <c r="F263" t="s">
        <v>798</v>
      </c>
      <c r="G263" s="16" t="str">
        <f>VLOOKUP(F263,DISTRICTS!B$2:C$626,2,FALSE)</f>
        <v>MONCLOA-ARAVACA</v>
      </c>
      <c r="H263" s="16" t="str">
        <f>IFERROR(VLOOKUP(G263,'areas for question 4'!A$2:B$10,2,FALSE),"")</f>
        <v/>
      </c>
      <c r="I263" t="s">
        <v>1444</v>
      </c>
      <c r="J263" t="s">
        <v>1450</v>
      </c>
      <c r="K263" t="s">
        <v>1456</v>
      </c>
      <c r="L263" t="s">
        <v>1464</v>
      </c>
      <c r="M263" t="s">
        <v>1478</v>
      </c>
      <c r="N263" s="18">
        <v>7</v>
      </c>
    </row>
    <row r="264" spans="1:14" x14ac:dyDescent="0.25">
      <c r="A264" t="s">
        <v>818</v>
      </c>
      <c r="B264" s="7">
        <v>43669</v>
      </c>
      <c r="C264" s="4">
        <v>0.86458333333333337</v>
      </c>
      <c r="D264" s="15">
        <f t="shared" si="8"/>
        <v>20</v>
      </c>
      <c r="E264" s="15" t="str">
        <f t="shared" si="9"/>
        <v>After 15</v>
      </c>
      <c r="F264" t="s">
        <v>819</v>
      </c>
      <c r="G264" s="16" t="str">
        <f>VLOOKUP(F264,DISTRICTS!B$2:C$626,2,FALSE)</f>
        <v>SALAMANCA</v>
      </c>
      <c r="H264" s="16" t="str">
        <f>IFERROR(VLOOKUP(G264,'areas for question 4'!A$2:B$10,2,FALSE),"")</f>
        <v/>
      </c>
      <c r="I264" t="s">
        <v>1444</v>
      </c>
      <c r="J264" t="s">
        <v>1452</v>
      </c>
      <c r="K264" t="s">
        <v>1456</v>
      </c>
      <c r="L264" t="s">
        <v>1464</v>
      </c>
      <c r="M264" t="s">
        <v>1477</v>
      </c>
      <c r="N264" s="18">
        <v>1</v>
      </c>
    </row>
    <row r="265" spans="1:14" x14ac:dyDescent="0.25">
      <c r="A265" t="s">
        <v>824</v>
      </c>
      <c r="B265" s="7">
        <v>43669</v>
      </c>
      <c r="C265" s="4">
        <v>0.54861111111111105</v>
      </c>
      <c r="D265" s="15">
        <f t="shared" si="8"/>
        <v>13</v>
      </c>
      <c r="E265" s="15" t="str">
        <f t="shared" si="9"/>
        <v>Before 15</v>
      </c>
      <c r="F265" t="s">
        <v>197</v>
      </c>
      <c r="G265" s="16" t="str">
        <f>VLOOKUP(F265,DISTRICTS!B$2:C$626,2,FALSE)</f>
        <v>CHAMARTÍN</v>
      </c>
      <c r="H265" s="16" t="str">
        <f>IFERROR(VLOOKUP(G265,'areas for question 4'!A$2:B$10,2,FALSE),"")</f>
        <v>North</v>
      </c>
      <c r="I265" t="s">
        <v>1444</v>
      </c>
      <c r="J265" t="s">
        <v>1450</v>
      </c>
      <c r="K265" t="s">
        <v>1456</v>
      </c>
      <c r="L265" t="s">
        <v>1464</v>
      </c>
      <c r="M265" t="s">
        <v>1477</v>
      </c>
      <c r="N265" s="18">
        <v>5</v>
      </c>
    </row>
    <row r="266" spans="1:14" x14ac:dyDescent="0.25">
      <c r="A266" t="s">
        <v>825</v>
      </c>
      <c r="B266" s="7">
        <v>43670</v>
      </c>
      <c r="C266" s="4">
        <v>0.94444444444444453</v>
      </c>
      <c r="D266" s="15">
        <f t="shared" si="8"/>
        <v>22</v>
      </c>
      <c r="E266" s="15" t="str">
        <f t="shared" si="9"/>
        <v>After 15</v>
      </c>
      <c r="F266" t="s">
        <v>826</v>
      </c>
      <c r="G266" s="16" t="str">
        <f>VLOOKUP(F266,DISTRICTS!B$2:C$626,2,FALSE)</f>
        <v>CENTRO</v>
      </c>
      <c r="H266" s="16" t="str">
        <f>IFERROR(VLOOKUP(G266,'areas for question 4'!A$2:B$10,2,FALSE),"")</f>
        <v/>
      </c>
      <c r="I266" t="s">
        <v>1447</v>
      </c>
      <c r="J266" t="s">
        <v>1450</v>
      </c>
      <c r="K266" t="s">
        <v>1456</v>
      </c>
      <c r="L266" t="s">
        <v>1464</v>
      </c>
      <c r="M266" t="s">
        <v>1478</v>
      </c>
      <c r="N266" s="18">
        <v>1</v>
      </c>
    </row>
    <row r="267" spans="1:14" x14ac:dyDescent="0.25">
      <c r="A267" t="s">
        <v>837</v>
      </c>
      <c r="B267" s="7">
        <v>43675</v>
      </c>
      <c r="C267" s="4">
        <v>0.55208333333333337</v>
      </c>
      <c r="D267" s="15">
        <f t="shared" si="8"/>
        <v>13</v>
      </c>
      <c r="E267" s="15" t="str">
        <f t="shared" si="9"/>
        <v>Before 15</v>
      </c>
      <c r="F267" t="s">
        <v>838</v>
      </c>
      <c r="G267" s="16" t="str">
        <f>VLOOKUP(F267,DISTRICTS!B$2:C$626,2,FALSE)</f>
        <v>ARGANZUELA</v>
      </c>
      <c r="H267" s="16" t="str">
        <f>IFERROR(VLOOKUP(G267,'areas for question 4'!A$2:B$10,2,FALSE),"")</f>
        <v/>
      </c>
      <c r="I267" t="s">
        <v>1446</v>
      </c>
      <c r="J267" t="s">
        <v>1450</v>
      </c>
      <c r="K267" t="s">
        <v>1456</v>
      </c>
      <c r="L267" t="s">
        <v>1464</v>
      </c>
      <c r="M267" t="s">
        <v>1477</v>
      </c>
      <c r="N267" s="18">
        <v>7</v>
      </c>
    </row>
    <row r="268" spans="1:14" x14ac:dyDescent="0.25">
      <c r="A268" t="s">
        <v>841</v>
      </c>
      <c r="B268" s="7">
        <v>43676</v>
      </c>
      <c r="C268" s="4">
        <v>0.86111111111111116</v>
      </c>
      <c r="D268" s="15">
        <f t="shared" si="8"/>
        <v>20</v>
      </c>
      <c r="E268" s="15" t="str">
        <f t="shared" si="9"/>
        <v>After 15</v>
      </c>
      <c r="F268" t="s">
        <v>808</v>
      </c>
      <c r="G268" s="16" t="str">
        <f>VLOOKUP(F268,DISTRICTS!B$2:C$626,2,FALSE)</f>
        <v>RETIRO</v>
      </c>
      <c r="H268" s="16" t="str">
        <f>IFERROR(VLOOKUP(G268,'areas for question 4'!A$2:B$10,2,FALSE),"")</f>
        <v/>
      </c>
      <c r="I268" t="s">
        <v>1441</v>
      </c>
      <c r="J268" t="s">
        <v>1450</v>
      </c>
      <c r="K268" t="s">
        <v>1456</v>
      </c>
      <c r="L268" t="s">
        <v>1464</v>
      </c>
      <c r="M268" t="s">
        <v>1477</v>
      </c>
      <c r="N268" s="18">
        <v>1</v>
      </c>
    </row>
    <row r="269" spans="1:14" x14ac:dyDescent="0.25">
      <c r="A269" t="s">
        <v>842</v>
      </c>
      <c r="B269" s="7">
        <v>43676</v>
      </c>
      <c r="C269" s="4">
        <v>0.86111111111111116</v>
      </c>
      <c r="D269" s="15">
        <f t="shared" si="8"/>
        <v>20</v>
      </c>
      <c r="E269" s="15" t="str">
        <f t="shared" si="9"/>
        <v>After 15</v>
      </c>
      <c r="F269" t="s">
        <v>843</v>
      </c>
      <c r="G269" s="16" t="str">
        <f>VLOOKUP(F269,DISTRICTS!B$2:C$626,2,FALSE)</f>
        <v>VILLA DE VALLECAS</v>
      </c>
      <c r="H269" s="16" t="str">
        <f>IFERROR(VLOOKUP(G269,'areas for question 4'!A$2:B$10,2,FALSE),"")</f>
        <v/>
      </c>
      <c r="I269" t="s">
        <v>1446</v>
      </c>
      <c r="J269" t="s">
        <v>1450</v>
      </c>
      <c r="K269" t="s">
        <v>1456</v>
      </c>
      <c r="L269" t="s">
        <v>1464</v>
      </c>
      <c r="M269" t="s">
        <v>1477</v>
      </c>
      <c r="N269" s="18">
        <v>7</v>
      </c>
    </row>
    <row r="270" spans="1:14" x14ac:dyDescent="0.25">
      <c r="A270" t="s">
        <v>847</v>
      </c>
      <c r="B270" s="7">
        <v>43677</v>
      </c>
      <c r="C270" s="4">
        <v>0.91666666666666663</v>
      </c>
      <c r="D270" s="15">
        <f t="shared" si="8"/>
        <v>22</v>
      </c>
      <c r="E270" s="15" t="str">
        <f t="shared" si="9"/>
        <v>After 15</v>
      </c>
      <c r="F270" t="s">
        <v>848</v>
      </c>
      <c r="G270" s="16" t="str">
        <f>VLOOKUP(F270,DISTRICTS!B$2:C$626,2,FALSE)</f>
        <v>CHAMBERÍ</v>
      </c>
      <c r="H270" s="16" t="str">
        <f>IFERROR(VLOOKUP(G270,'areas for question 4'!A$2:B$10,2,FALSE),"")</f>
        <v>North</v>
      </c>
      <c r="I270" t="s">
        <v>1441</v>
      </c>
      <c r="K270" t="s">
        <v>1456</v>
      </c>
      <c r="L270" t="s">
        <v>1464</v>
      </c>
      <c r="M270" t="s">
        <v>1477</v>
      </c>
      <c r="N270" s="18" t="s">
        <v>34</v>
      </c>
    </row>
    <row r="271" spans="1:14" x14ac:dyDescent="0.25">
      <c r="A271" t="s">
        <v>860</v>
      </c>
      <c r="B271" s="7">
        <v>43680</v>
      </c>
      <c r="C271" s="4">
        <v>0.14583333333333334</v>
      </c>
      <c r="D271" s="15">
        <f t="shared" si="8"/>
        <v>3</v>
      </c>
      <c r="E271" s="15" t="str">
        <f t="shared" si="9"/>
        <v>Before 15</v>
      </c>
      <c r="F271" t="s">
        <v>800</v>
      </c>
      <c r="G271" s="16" t="str">
        <f>VLOOKUP(F271,DISTRICTS!B$2:C$626,2,FALSE)</f>
        <v>CENTRO</v>
      </c>
      <c r="H271" s="16" t="str">
        <f>IFERROR(VLOOKUP(G271,'areas for question 4'!A$2:B$10,2,FALSE),"")</f>
        <v/>
      </c>
      <c r="I271" t="s">
        <v>1444</v>
      </c>
      <c r="J271" t="s">
        <v>1450</v>
      </c>
      <c r="K271" t="s">
        <v>1456</v>
      </c>
      <c r="L271" t="s">
        <v>1464</v>
      </c>
      <c r="M271" t="s">
        <v>1478</v>
      </c>
      <c r="N271" s="18" t="s">
        <v>34</v>
      </c>
    </row>
    <row r="272" spans="1:14" x14ac:dyDescent="0.25">
      <c r="A272" t="s">
        <v>903</v>
      </c>
      <c r="B272" s="7">
        <v>43698</v>
      </c>
      <c r="C272" s="4">
        <v>0.82291666666666663</v>
      </c>
      <c r="D272" s="15">
        <f t="shared" si="8"/>
        <v>19</v>
      </c>
      <c r="E272" s="15" t="str">
        <f t="shared" si="9"/>
        <v>After 15</v>
      </c>
      <c r="F272" t="s">
        <v>904</v>
      </c>
      <c r="G272" s="16" t="str">
        <f>VLOOKUP(F272,DISTRICTS!B$2:C$626,2,FALSE)</f>
        <v>SALAMANCA</v>
      </c>
      <c r="H272" s="16" t="str">
        <f>IFERROR(VLOOKUP(G272,'areas for question 4'!A$2:B$10,2,FALSE),"")</f>
        <v/>
      </c>
      <c r="I272" t="s">
        <v>1447</v>
      </c>
      <c r="K272" t="s">
        <v>1456</v>
      </c>
      <c r="L272" t="s">
        <v>1464</v>
      </c>
      <c r="M272" t="s">
        <v>1477</v>
      </c>
      <c r="N272" s="18" t="s">
        <v>34</v>
      </c>
    </row>
    <row r="273" spans="1:14" x14ac:dyDescent="0.25">
      <c r="A273" t="s">
        <v>907</v>
      </c>
      <c r="B273" s="7">
        <v>43699</v>
      </c>
      <c r="C273" s="4">
        <v>0.61805555555555558</v>
      </c>
      <c r="D273" s="15">
        <f t="shared" si="8"/>
        <v>14</v>
      </c>
      <c r="E273" s="15" t="str">
        <f t="shared" si="9"/>
        <v>Before 15</v>
      </c>
      <c r="F273" t="s">
        <v>908</v>
      </c>
      <c r="G273" s="16" t="str">
        <f>VLOOKUP(F273,DISTRICTS!B$2:C$626,2,FALSE)</f>
        <v>PUENTE DE VALLECAS</v>
      </c>
      <c r="H273" s="16" t="str">
        <f>IFERROR(VLOOKUP(G273,'areas for question 4'!A$2:B$10,2,FALSE),"")</f>
        <v/>
      </c>
      <c r="I273" t="s">
        <v>1444</v>
      </c>
      <c r="J273" t="s">
        <v>1450</v>
      </c>
      <c r="K273" t="s">
        <v>1456</v>
      </c>
      <c r="L273" t="s">
        <v>1464</v>
      </c>
      <c r="M273" t="s">
        <v>1477</v>
      </c>
      <c r="N273" s="18">
        <v>6</v>
      </c>
    </row>
    <row r="274" spans="1:14" x14ac:dyDescent="0.25">
      <c r="A274" t="s">
        <v>916</v>
      </c>
      <c r="B274" s="7">
        <v>43702</v>
      </c>
      <c r="C274" s="4">
        <v>0.79861111111111116</v>
      </c>
      <c r="D274" s="15">
        <f t="shared" si="8"/>
        <v>19</v>
      </c>
      <c r="E274" s="15" t="str">
        <f t="shared" si="9"/>
        <v>After 15</v>
      </c>
      <c r="F274" t="s">
        <v>67</v>
      </c>
      <c r="G274" s="16" t="str">
        <f>VLOOKUP(F274,DISTRICTS!B$2:C$626,2,FALSE)</f>
        <v>CHAMARTÍN</v>
      </c>
      <c r="H274" s="16" t="str">
        <f>IFERROR(VLOOKUP(G274,'areas for question 4'!A$2:B$10,2,FALSE),"")</f>
        <v>North</v>
      </c>
      <c r="I274" t="s">
        <v>1441</v>
      </c>
      <c r="J274" t="s">
        <v>1450</v>
      </c>
      <c r="K274" t="s">
        <v>1456</v>
      </c>
      <c r="L274" t="s">
        <v>1464</v>
      </c>
      <c r="M274" t="s">
        <v>1477</v>
      </c>
      <c r="N274" s="18">
        <v>7</v>
      </c>
    </row>
    <row r="275" spans="1:14" x14ac:dyDescent="0.25">
      <c r="A275" t="s">
        <v>919</v>
      </c>
      <c r="B275" s="7">
        <v>43704</v>
      </c>
      <c r="C275" s="4">
        <v>0.90625</v>
      </c>
      <c r="D275" s="15">
        <f t="shared" si="8"/>
        <v>21</v>
      </c>
      <c r="E275" s="15" t="str">
        <f t="shared" si="9"/>
        <v>After 15</v>
      </c>
      <c r="F275" t="s">
        <v>920</v>
      </c>
      <c r="G275" s="16" t="str">
        <f>VLOOKUP(F275,DISTRICTS!B$2:C$626,2,FALSE)</f>
        <v>CENTRO</v>
      </c>
      <c r="H275" s="16" t="str">
        <f>IFERROR(VLOOKUP(G275,'areas for question 4'!A$2:B$10,2,FALSE),"")</f>
        <v/>
      </c>
      <c r="I275" t="s">
        <v>1441</v>
      </c>
      <c r="J275" t="s">
        <v>1450</v>
      </c>
      <c r="K275" t="s">
        <v>1456</v>
      </c>
      <c r="L275" t="s">
        <v>1464</v>
      </c>
      <c r="M275" t="s">
        <v>1478</v>
      </c>
      <c r="N275" s="18">
        <v>5</v>
      </c>
    </row>
    <row r="276" spans="1:14" x14ac:dyDescent="0.25">
      <c r="A276" t="s">
        <v>923</v>
      </c>
      <c r="B276" s="7">
        <v>43705</v>
      </c>
      <c r="C276" s="4">
        <v>0.54166666666666663</v>
      </c>
      <c r="D276" s="15">
        <f t="shared" si="8"/>
        <v>13</v>
      </c>
      <c r="E276" s="15" t="str">
        <f t="shared" si="9"/>
        <v>Before 15</v>
      </c>
      <c r="F276" t="s">
        <v>641</v>
      </c>
      <c r="G276" s="16" t="str">
        <f>VLOOKUP(F276,DISTRICTS!B$2:C$626,2,FALSE)</f>
        <v>CHAMBERÍ</v>
      </c>
      <c r="H276" s="16" t="str">
        <f>IFERROR(VLOOKUP(G276,'areas for question 4'!A$2:B$10,2,FALSE),"")</f>
        <v>North</v>
      </c>
      <c r="I276" t="s">
        <v>1441</v>
      </c>
      <c r="J276" t="s">
        <v>1450</v>
      </c>
      <c r="K276" t="s">
        <v>1456</v>
      </c>
      <c r="L276" t="s">
        <v>1464</v>
      </c>
      <c r="M276" t="s">
        <v>1477</v>
      </c>
      <c r="N276" s="18">
        <v>2</v>
      </c>
    </row>
    <row r="277" spans="1:14" x14ac:dyDescent="0.25">
      <c r="A277" t="s">
        <v>930</v>
      </c>
      <c r="B277" s="7">
        <v>43706</v>
      </c>
      <c r="C277" s="4">
        <v>0.33333333333333331</v>
      </c>
      <c r="D277" s="15">
        <f t="shared" si="8"/>
        <v>8</v>
      </c>
      <c r="E277" s="15" t="str">
        <f t="shared" si="9"/>
        <v>Before 15</v>
      </c>
      <c r="F277" t="s">
        <v>931</v>
      </c>
      <c r="G277" s="16" t="str">
        <f>VLOOKUP(F277,DISTRICTS!B$2:C$626,2,FALSE)</f>
        <v>SAN BLAS-CANILLEJAS</v>
      </c>
      <c r="H277" s="16" t="str">
        <f>IFERROR(VLOOKUP(G277,'areas for question 4'!A$2:B$10,2,FALSE),"")</f>
        <v>East</v>
      </c>
      <c r="I277" t="s">
        <v>1446</v>
      </c>
      <c r="J277" t="s">
        <v>1450</v>
      </c>
      <c r="K277" t="s">
        <v>1456</v>
      </c>
      <c r="L277" t="s">
        <v>1464</v>
      </c>
      <c r="M277" t="s">
        <v>1477</v>
      </c>
      <c r="N277" s="18">
        <v>6</v>
      </c>
    </row>
    <row r="278" spans="1:14" x14ac:dyDescent="0.25">
      <c r="A278" t="s">
        <v>956</v>
      </c>
      <c r="B278" s="7">
        <v>43712</v>
      </c>
      <c r="C278" s="4">
        <v>0.98472222222222217</v>
      </c>
      <c r="D278" s="15">
        <f t="shared" si="8"/>
        <v>23</v>
      </c>
      <c r="E278" s="15" t="str">
        <f t="shared" si="9"/>
        <v>After 15</v>
      </c>
      <c r="F278" t="s">
        <v>957</v>
      </c>
      <c r="G278" s="16" t="str">
        <f>VLOOKUP(F278,DISTRICTS!B$2:C$626,2,FALSE)</f>
        <v>CENTRO</v>
      </c>
      <c r="H278" s="16" t="str">
        <f>IFERROR(VLOOKUP(G278,'areas for question 4'!A$2:B$10,2,FALSE),"")</f>
        <v/>
      </c>
      <c r="I278" t="s">
        <v>1449</v>
      </c>
      <c r="J278" t="s">
        <v>1450</v>
      </c>
      <c r="K278" t="s">
        <v>1456</v>
      </c>
      <c r="L278" t="s">
        <v>1464</v>
      </c>
      <c r="M278" t="s">
        <v>1478</v>
      </c>
      <c r="N278" s="18">
        <v>1</v>
      </c>
    </row>
    <row r="279" spans="1:14" x14ac:dyDescent="0.25">
      <c r="A279" t="s">
        <v>962</v>
      </c>
      <c r="B279" s="7">
        <v>43712</v>
      </c>
      <c r="C279" s="4">
        <v>0.55694444444444446</v>
      </c>
      <c r="D279" s="15">
        <f t="shared" si="8"/>
        <v>13</v>
      </c>
      <c r="E279" s="15" t="str">
        <f t="shared" si="9"/>
        <v>Before 15</v>
      </c>
      <c r="F279" t="s">
        <v>86</v>
      </c>
      <c r="G279" s="16" t="str">
        <f>VLOOKUP(F279,DISTRICTS!B$2:C$626,2,FALSE)</f>
        <v>PUENTE DE VALLECAS</v>
      </c>
      <c r="H279" s="16" t="str">
        <f>IFERROR(VLOOKUP(G279,'areas for question 4'!A$2:B$10,2,FALSE),"")</f>
        <v/>
      </c>
      <c r="I279" t="s">
        <v>1446</v>
      </c>
      <c r="J279" t="s">
        <v>1450</v>
      </c>
      <c r="K279" t="s">
        <v>1456</v>
      </c>
      <c r="L279" t="s">
        <v>1464</v>
      </c>
      <c r="M279" t="s">
        <v>1477</v>
      </c>
      <c r="N279" s="18">
        <v>7</v>
      </c>
    </row>
    <row r="280" spans="1:14" x14ac:dyDescent="0.25">
      <c r="A280" t="s">
        <v>963</v>
      </c>
      <c r="B280" s="7">
        <v>43712</v>
      </c>
      <c r="C280" s="4">
        <v>0.44444444444444442</v>
      </c>
      <c r="D280" s="15">
        <f t="shared" si="8"/>
        <v>10</v>
      </c>
      <c r="E280" s="15" t="str">
        <f t="shared" si="9"/>
        <v>Before 15</v>
      </c>
      <c r="F280" t="s">
        <v>964</v>
      </c>
      <c r="G280" s="16" t="str">
        <f>VLOOKUP(F280,DISTRICTS!B$2:C$626,2,FALSE)</f>
        <v>CHAMBERÍ</v>
      </c>
      <c r="H280" s="16" t="str">
        <f>IFERROR(VLOOKUP(G280,'areas for question 4'!A$2:B$10,2,FALSE),"")</f>
        <v>North</v>
      </c>
      <c r="I280" t="s">
        <v>1444</v>
      </c>
      <c r="J280" t="s">
        <v>1450</v>
      </c>
      <c r="K280" t="s">
        <v>1456</v>
      </c>
      <c r="L280" t="s">
        <v>1464</v>
      </c>
      <c r="M280" t="s">
        <v>1477</v>
      </c>
      <c r="N280" s="18">
        <v>1</v>
      </c>
    </row>
    <row r="281" spans="1:14" x14ac:dyDescent="0.25">
      <c r="A281" t="s">
        <v>967</v>
      </c>
      <c r="B281" s="7">
        <v>43713</v>
      </c>
      <c r="C281" s="4">
        <v>0.80902777777777779</v>
      </c>
      <c r="D281" s="15">
        <f t="shared" si="8"/>
        <v>19</v>
      </c>
      <c r="E281" s="15" t="str">
        <f t="shared" si="9"/>
        <v>After 15</v>
      </c>
      <c r="F281" t="s">
        <v>968</v>
      </c>
      <c r="G281" s="16" t="str">
        <f>VLOOKUP(F281,DISTRICTS!B$2:C$626,2,FALSE)</f>
        <v>TETUÁN</v>
      </c>
      <c r="H281" s="16" t="str">
        <f>IFERROR(VLOOKUP(G281,'areas for question 4'!A$2:B$10,2,FALSE),"")</f>
        <v>North</v>
      </c>
      <c r="I281" t="s">
        <v>1443</v>
      </c>
      <c r="J281" t="s">
        <v>1450</v>
      </c>
      <c r="K281" t="s">
        <v>1456</v>
      </c>
      <c r="L281" t="s">
        <v>1464</v>
      </c>
      <c r="M281" t="s">
        <v>1477</v>
      </c>
      <c r="N281" s="18">
        <v>14</v>
      </c>
    </row>
    <row r="282" spans="1:14" x14ac:dyDescent="0.25">
      <c r="A282" t="s">
        <v>977</v>
      </c>
      <c r="B282" s="7">
        <v>43715</v>
      </c>
      <c r="C282" s="4">
        <v>0.23263888888888887</v>
      </c>
      <c r="D282" s="15">
        <f t="shared" si="8"/>
        <v>5</v>
      </c>
      <c r="E282" s="15" t="str">
        <f t="shared" si="9"/>
        <v>Before 15</v>
      </c>
      <c r="F282" t="s">
        <v>757</v>
      </c>
      <c r="G282" s="16" t="str">
        <f>VLOOKUP(F282,DISTRICTS!B$2:C$626,2,FALSE)</f>
        <v>ARGANZUELA</v>
      </c>
      <c r="H282" s="16" t="str">
        <f>IFERROR(VLOOKUP(G282,'areas for question 4'!A$2:B$10,2,FALSE),"")</f>
        <v/>
      </c>
      <c r="I282" t="s">
        <v>1444</v>
      </c>
      <c r="J282" t="s">
        <v>1450</v>
      </c>
      <c r="K282" t="s">
        <v>1456</v>
      </c>
      <c r="L282" t="s">
        <v>1464</v>
      </c>
      <c r="M282" t="s">
        <v>1477</v>
      </c>
      <c r="N282" s="18">
        <v>2</v>
      </c>
    </row>
    <row r="283" spans="1:14" x14ac:dyDescent="0.25">
      <c r="A283" t="s">
        <v>978</v>
      </c>
      <c r="B283" s="7">
        <v>43716</v>
      </c>
      <c r="C283" s="4">
        <v>0.875</v>
      </c>
      <c r="D283" s="15">
        <f t="shared" si="8"/>
        <v>21</v>
      </c>
      <c r="E283" s="15" t="str">
        <f t="shared" si="9"/>
        <v>After 15</v>
      </c>
      <c r="F283" t="s">
        <v>617</v>
      </c>
      <c r="G283" s="16" t="str">
        <f>VLOOKUP(F283,DISTRICTS!B$2:C$626,2,FALSE)</f>
        <v>MONCLOA-ARAVACA</v>
      </c>
      <c r="H283" s="16" t="str">
        <f>IFERROR(VLOOKUP(G283,'areas for question 4'!A$2:B$10,2,FALSE),"")</f>
        <v/>
      </c>
      <c r="I283" t="s">
        <v>1444</v>
      </c>
      <c r="J283" t="s">
        <v>1450</v>
      </c>
      <c r="K283" t="s">
        <v>1456</v>
      </c>
      <c r="L283" t="s">
        <v>1464</v>
      </c>
      <c r="M283" t="s">
        <v>1477</v>
      </c>
      <c r="N283" s="18">
        <v>7</v>
      </c>
    </row>
    <row r="284" spans="1:14" x14ac:dyDescent="0.25">
      <c r="A284" t="s">
        <v>979</v>
      </c>
      <c r="B284" s="7">
        <v>43716</v>
      </c>
      <c r="C284" s="4">
        <v>0.49652777777777773</v>
      </c>
      <c r="D284" s="15">
        <f t="shared" si="8"/>
        <v>11</v>
      </c>
      <c r="E284" s="15" t="str">
        <f t="shared" si="9"/>
        <v>Before 15</v>
      </c>
      <c r="F284" t="s">
        <v>980</v>
      </c>
      <c r="G284" s="16" t="str">
        <f>VLOOKUP(F284,DISTRICTS!B$2:C$626,2,FALSE)</f>
        <v>CARABANCHEL</v>
      </c>
      <c r="H284" s="16" t="str">
        <f>IFERROR(VLOOKUP(G284,'areas for question 4'!A$2:B$10,2,FALSE),"")</f>
        <v/>
      </c>
      <c r="I284" t="s">
        <v>1443</v>
      </c>
      <c r="J284" t="s">
        <v>1450</v>
      </c>
      <c r="K284" t="s">
        <v>1458</v>
      </c>
      <c r="L284" t="s">
        <v>1464</v>
      </c>
      <c r="M284" t="s">
        <v>1478</v>
      </c>
      <c r="N284" s="18">
        <v>7</v>
      </c>
    </row>
    <row r="285" spans="1:14" x14ac:dyDescent="0.25">
      <c r="A285" t="s">
        <v>986</v>
      </c>
      <c r="B285" s="7">
        <v>43717</v>
      </c>
      <c r="C285" s="4">
        <v>0.28472222222222221</v>
      </c>
      <c r="D285" s="15">
        <f t="shared" si="8"/>
        <v>6</v>
      </c>
      <c r="E285" s="15" t="str">
        <f t="shared" si="9"/>
        <v>Before 15</v>
      </c>
      <c r="F285" t="s">
        <v>987</v>
      </c>
      <c r="G285" s="16" t="str">
        <f>VLOOKUP(F285,DISTRICTS!B$2:C$626,2,FALSE)</f>
        <v>USERA</v>
      </c>
      <c r="H285" s="16" t="str">
        <f>IFERROR(VLOOKUP(G285,'areas for question 4'!A$2:B$10,2,FALSE),"")</f>
        <v/>
      </c>
      <c r="I285" t="s">
        <v>1441</v>
      </c>
      <c r="J285" t="s">
        <v>1450</v>
      </c>
      <c r="K285" t="s">
        <v>1456</v>
      </c>
      <c r="L285" t="s">
        <v>1464</v>
      </c>
      <c r="M285" t="s">
        <v>1477</v>
      </c>
      <c r="N285" s="18">
        <v>6</v>
      </c>
    </row>
    <row r="286" spans="1:14" x14ac:dyDescent="0.25">
      <c r="A286" t="s">
        <v>992</v>
      </c>
      <c r="B286" s="7">
        <v>43718</v>
      </c>
      <c r="C286" s="4">
        <v>0.55208333333333337</v>
      </c>
      <c r="D286" s="15">
        <f t="shared" si="8"/>
        <v>13</v>
      </c>
      <c r="E286" s="15" t="str">
        <f t="shared" si="9"/>
        <v>Before 15</v>
      </c>
      <c r="F286" t="s">
        <v>993</v>
      </c>
      <c r="G286" s="16" t="str">
        <f>VLOOKUP(F286,DISTRICTS!B$2:C$626,2,FALSE)</f>
        <v>MONCLOA-ARAVACA</v>
      </c>
      <c r="H286" s="16" t="str">
        <f>IFERROR(VLOOKUP(G286,'areas for question 4'!A$2:B$10,2,FALSE),"")</f>
        <v/>
      </c>
      <c r="I286" t="s">
        <v>1441</v>
      </c>
      <c r="J286" t="s">
        <v>1450</v>
      </c>
      <c r="K286" t="s">
        <v>1456</v>
      </c>
      <c r="L286" t="s">
        <v>1464</v>
      </c>
      <c r="M286" t="s">
        <v>1477</v>
      </c>
      <c r="N286" s="18">
        <v>2</v>
      </c>
    </row>
    <row r="287" spans="1:14" x14ac:dyDescent="0.25">
      <c r="A287" t="s">
        <v>1014</v>
      </c>
      <c r="B287" s="7">
        <v>43722</v>
      </c>
      <c r="C287" s="4">
        <v>0.47916666666666669</v>
      </c>
      <c r="D287" s="15">
        <f t="shared" si="8"/>
        <v>11</v>
      </c>
      <c r="E287" s="15" t="str">
        <f t="shared" si="9"/>
        <v>Before 15</v>
      </c>
      <c r="F287" t="s">
        <v>1015</v>
      </c>
      <c r="G287" s="16" t="str">
        <f>VLOOKUP(F287,DISTRICTS!B$2:C$626,2,FALSE)</f>
        <v>RETIRO</v>
      </c>
      <c r="H287" s="16" t="str">
        <f>IFERROR(VLOOKUP(G287,'areas for question 4'!A$2:B$10,2,FALSE),"")</f>
        <v/>
      </c>
      <c r="I287" t="s">
        <v>1443</v>
      </c>
      <c r="J287" t="s">
        <v>1450</v>
      </c>
      <c r="K287" t="s">
        <v>1456</v>
      </c>
      <c r="L287" t="s">
        <v>1464</v>
      </c>
      <c r="M287" t="s">
        <v>1477</v>
      </c>
      <c r="N287" s="18">
        <v>14</v>
      </c>
    </row>
    <row r="288" spans="1:14" x14ac:dyDescent="0.25">
      <c r="A288" t="s">
        <v>1043</v>
      </c>
      <c r="B288" s="7">
        <v>43727</v>
      </c>
      <c r="C288" s="4">
        <v>0.44444444444444442</v>
      </c>
      <c r="D288" s="15">
        <f t="shared" si="8"/>
        <v>10</v>
      </c>
      <c r="E288" s="15" t="str">
        <f t="shared" si="9"/>
        <v>Before 15</v>
      </c>
      <c r="F288" t="s">
        <v>481</v>
      </c>
      <c r="G288" s="16" t="str">
        <f>VLOOKUP(F288,DISTRICTS!B$2:C$626,2,FALSE)</f>
        <v>ARGANZUELA</v>
      </c>
      <c r="H288" s="16" t="str">
        <f>IFERROR(VLOOKUP(G288,'areas for question 4'!A$2:B$10,2,FALSE),"")</f>
        <v/>
      </c>
      <c r="I288" t="s">
        <v>1443</v>
      </c>
      <c r="J288" t="s">
        <v>1450</v>
      </c>
      <c r="K288" t="s">
        <v>1456</v>
      </c>
      <c r="L288" t="s">
        <v>1464</v>
      </c>
      <c r="M288" t="s">
        <v>1477</v>
      </c>
      <c r="N288" s="18" t="s">
        <v>34</v>
      </c>
    </row>
    <row r="289" spans="1:14" x14ac:dyDescent="0.25">
      <c r="A289" t="s">
        <v>1056</v>
      </c>
      <c r="B289" s="7">
        <v>43731</v>
      </c>
      <c r="C289" s="4">
        <v>0.86111111111111116</v>
      </c>
      <c r="D289" s="15">
        <f t="shared" si="8"/>
        <v>20</v>
      </c>
      <c r="E289" s="15" t="str">
        <f t="shared" si="9"/>
        <v>After 15</v>
      </c>
      <c r="F289" t="s">
        <v>202</v>
      </c>
      <c r="G289" s="16" t="str">
        <f>VLOOKUP(F289,DISTRICTS!B$2:C$626,2,FALSE)</f>
        <v>MORATALAZ</v>
      </c>
      <c r="H289" s="16" t="str">
        <f>IFERROR(VLOOKUP(G289,'areas for question 4'!A$2:B$10,2,FALSE),"")</f>
        <v>East</v>
      </c>
      <c r="I289" t="s">
        <v>1444</v>
      </c>
      <c r="J289" t="s">
        <v>1450</v>
      </c>
      <c r="K289" t="s">
        <v>1456</v>
      </c>
      <c r="L289" t="s">
        <v>1464</v>
      </c>
      <c r="M289" t="s">
        <v>1477</v>
      </c>
      <c r="N289" s="18">
        <v>1</v>
      </c>
    </row>
    <row r="290" spans="1:14" x14ac:dyDescent="0.25">
      <c r="A290" t="s">
        <v>1059</v>
      </c>
      <c r="B290" s="7">
        <v>43731</v>
      </c>
      <c r="C290" s="4">
        <v>0.75694444444444453</v>
      </c>
      <c r="D290" s="15">
        <f t="shared" si="8"/>
        <v>18</v>
      </c>
      <c r="E290" s="15" t="str">
        <f t="shared" si="9"/>
        <v>After 15</v>
      </c>
      <c r="F290" t="s">
        <v>415</v>
      </c>
      <c r="G290" s="16" t="str">
        <f>VLOOKUP(F290,DISTRICTS!B$2:C$626,2,FALSE)</f>
        <v>CHAMBERÍ</v>
      </c>
      <c r="H290" s="16" t="str">
        <f>IFERROR(VLOOKUP(G290,'areas for question 4'!A$2:B$10,2,FALSE),"")</f>
        <v>North</v>
      </c>
      <c r="I290" t="s">
        <v>1446</v>
      </c>
      <c r="K290" t="s">
        <v>1456</v>
      </c>
      <c r="L290" t="s">
        <v>1464</v>
      </c>
      <c r="M290" t="s">
        <v>1477</v>
      </c>
      <c r="N290" s="18" t="s">
        <v>34</v>
      </c>
    </row>
    <row r="291" spans="1:14" x14ac:dyDescent="0.25">
      <c r="A291" t="s">
        <v>1066</v>
      </c>
      <c r="B291" s="7">
        <v>43733</v>
      </c>
      <c r="C291" s="4">
        <v>0.89583333333333337</v>
      </c>
      <c r="D291" s="15">
        <f t="shared" si="8"/>
        <v>21</v>
      </c>
      <c r="E291" s="15" t="str">
        <f t="shared" si="9"/>
        <v>After 15</v>
      </c>
      <c r="F291" t="s">
        <v>197</v>
      </c>
      <c r="G291" s="16" t="str">
        <f>VLOOKUP(F291,DISTRICTS!B$2:C$626,2,FALSE)</f>
        <v>CHAMARTÍN</v>
      </c>
      <c r="H291" s="16" t="str">
        <f>IFERROR(VLOOKUP(G291,'areas for question 4'!A$2:B$10,2,FALSE),"")</f>
        <v>North</v>
      </c>
      <c r="I291" t="s">
        <v>1446</v>
      </c>
      <c r="J291" t="s">
        <v>1450</v>
      </c>
      <c r="K291" t="s">
        <v>1456</v>
      </c>
      <c r="L291" t="s">
        <v>1464</v>
      </c>
      <c r="M291" t="s">
        <v>1477</v>
      </c>
      <c r="N291" s="18">
        <v>5</v>
      </c>
    </row>
    <row r="292" spans="1:14" x14ac:dyDescent="0.25">
      <c r="A292" t="s">
        <v>1070</v>
      </c>
      <c r="B292" s="7">
        <v>43734</v>
      </c>
      <c r="C292" s="4">
        <v>0.59722222222222221</v>
      </c>
      <c r="D292" s="15">
        <f t="shared" si="8"/>
        <v>14</v>
      </c>
      <c r="E292" s="15" t="str">
        <f t="shared" si="9"/>
        <v>Before 15</v>
      </c>
      <c r="F292" t="s">
        <v>67</v>
      </c>
      <c r="G292" s="16" t="str">
        <f>VLOOKUP(F292,DISTRICTS!B$2:C$626,2,FALSE)</f>
        <v>CHAMARTÍN</v>
      </c>
      <c r="H292" s="16" t="str">
        <f>IFERROR(VLOOKUP(G292,'areas for question 4'!A$2:B$10,2,FALSE),"")</f>
        <v>North</v>
      </c>
      <c r="I292" t="s">
        <v>1448</v>
      </c>
      <c r="J292" t="s">
        <v>1450</v>
      </c>
      <c r="K292" t="s">
        <v>1456</v>
      </c>
      <c r="L292" t="s">
        <v>1464</v>
      </c>
      <c r="M292" t="s">
        <v>1477</v>
      </c>
      <c r="N292" s="18" t="s">
        <v>34</v>
      </c>
    </row>
    <row r="293" spans="1:14" x14ac:dyDescent="0.25">
      <c r="A293" t="s">
        <v>1084</v>
      </c>
      <c r="B293" s="7">
        <v>43736</v>
      </c>
      <c r="C293" s="4">
        <v>0.55555555555555558</v>
      </c>
      <c r="D293" s="15">
        <f t="shared" si="8"/>
        <v>13</v>
      </c>
      <c r="E293" s="15" t="str">
        <f t="shared" si="9"/>
        <v>Before 15</v>
      </c>
      <c r="F293" t="s">
        <v>900</v>
      </c>
      <c r="G293" s="16" t="str">
        <f>VLOOKUP(F293,DISTRICTS!B$2:C$626,2,FALSE)</f>
        <v>MONCLOA-ARAVACA</v>
      </c>
      <c r="H293" s="16" t="str">
        <f>IFERROR(VLOOKUP(G293,'areas for question 4'!A$2:B$10,2,FALSE),"")</f>
        <v/>
      </c>
      <c r="I293" t="s">
        <v>1447</v>
      </c>
      <c r="J293" t="s">
        <v>1450</v>
      </c>
      <c r="K293" t="s">
        <v>1456</v>
      </c>
      <c r="L293" t="s">
        <v>1464</v>
      </c>
      <c r="M293" t="s">
        <v>1477</v>
      </c>
      <c r="N293" s="18">
        <v>7</v>
      </c>
    </row>
    <row r="294" spans="1:14" x14ac:dyDescent="0.25">
      <c r="A294" t="s">
        <v>1096</v>
      </c>
      <c r="B294" s="7">
        <v>43738</v>
      </c>
      <c r="C294" s="4">
        <v>0.94791666666666663</v>
      </c>
      <c r="D294" s="15">
        <f t="shared" si="8"/>
        <v>22</v>
      </c>
      <c r="E294" s="15" t="str">
        <f t="shared" si="9"/>
        <v>After 15</v>
      </c>
      <c r="F294" t="s">
        <v>1097</v>
      </c>
      <c r="G294" s="16" t="str">
        <f>VLOOKUP(F294,DISTRICTS!B$2:C$626,2,FALSE)</f>
        <v>CHAMBERÍ</v>
      </c>
      <c r="H294" s="16" t="str">
        <f>IFERROR(VLOOKUP(G294,'areas for question 4'!A$2:B$10,2,FALSE),"")</f>
        <v>North</v>
      </c>
      <c r="I294" t="s">
        <v>1444</v>
      </c>
      <c r="J294" t="s">
        <v>1450</v>
      </c>
      <c r="K294" t="s">
        <v>1456</v>
      </c>
      <c r="L294" t="s">
        <v>1464</v>
      </c>
      <c r="M294" t="s">
        <v>1477</v>
      </c>
      <c r="N294" s="18">
        <v>2</v>
      </c>
    </row>
    <row r="295" spans="1:14" x14ac:dyDescent="0.25">
      <c r="A295" t="s">
        <v>1105</v>
      </c>
      <c r="B295" s="7">
        <v>43739</v>
      </c>
      <c r="C295" s="4">
        <v>0.83333333333333337</v>
      </c>
      <c r="D295" s="15">
        <f t="shared" si="8"/>
        <v>20</v>
      </c>
      <c r="E295" s="15" t="str">
        <f t="shared" si="9"/>
        <v>After 15</v>
      </c>
      <c r="F295" t="s">
        <v>1106</v>
      </c>
      <c r="G295" s="16" t="str">
        <f>VLOOKUP(F295,DISTRICTS!B$2:C$626,2,FALSE)</f>
        <v>CIUDAD LINEAL</v>
      </c>
      <c r="H295" s="16" t="str">
        <f>IFERROR(VLOOKUP(G295,'areas for question 4'!A$2:B$10,2,FALSE),"")</f>
        <v>East</v>
      </c>
      <c r="I295" t="s">
        <v>1443</v>
      </c>
      <c r="J295" t="s">
        <v>1450</v>
      </c>
      <c r="K295" t="s">
        <v>1456</v>
      </c>
      <c r="L295" t="s">
        <v>1464</v>
      </c>
      <c r="M295" t="s">
        <v>1477</v>
      </c>
      <c r="N295" s="18">
        <v>14</v>
      </c>
    </row>
    <row r="296" spans="1:14" x14ac:dyDescent="0.25">
      <c r="A296" t="s">
        <v>1107</v>
      </c>
      <c r="B296" s="7">
        <v>43739</v>
      </c>
      <c r="C296" s="4">
        <v>0.79166666666666663</v>
      </c>
      <c r="D296" s="15">
        <f t="shared" si="8"/>
        <v>19</v>
      </c>
      <c r="E296" s="15" t="str">
        <f t="shared" si="9"/>
        <v>After 15</v>
      </c>
      <c r="F296" t="s">
        <v>946</v>
      </c>
      <c r="G296" s="16" t="str">
        <f>VLOOKUP(F296,DISTRICTS!B$2:C$626,2,FALSE)</f>
        <v>ARGANZUELA</v>
      </c>
      <c r="H296" s="16" t="str">
        <f>IFERROR(VLOOKUP(G296,'areas for question 4'!A$2:B$10,2,FALSE),"")</f>
        <v/>
      </c>
      <c r="I296" t="s">
        <v>1447</v>
      </c>
      <c r="J296" t="s">
        <v>1450</v>
      </c>
      <c r="K296" t="s">
        <v>1456</v>
      </c>
      <c r="L296" t="s">
        <v>1464</v>
      </c>
      <c r="M296" t="s">
        <v>1478</v>
      </c>
      <c r="N296" s="18">
        <v>1</v>
      </c>
    </row>
    <row r="297" spans="1:14" x14ac:dyDescent="0.25">
      <c r="A297" t="s">
        <v>1108</v>
      </c>
      <c r="B297" s="7">
        <v>43739</v>
      </c>
      <c r="C297" s="4">
        <v>0.5625</v>
      </c>
      <c r="D297" s="15">
        <f t="shared" si="8"/>
        <v>13</v>
      </c>
      <c r="E297" s="15" t="str">
        <f t="shared" si="9"/>
        <v>Before 15</v>
      </c>
      <c r="F297" t="s">
        <v>1109</v>
      </c>
      <c r="G297" s="16" t="str">
        <f>VLOOKUP(F297,DISTRICTS!B$2:C$626,2,FALSE)</f>
        <v>USERA</v>
      </c>
      <c r="H297" s="16" t="str">
        <f>IFERROR(VLOOKUP(G297,'areas for question 4'!A$2:B$10,2,FALSE),"")</f>
        <v/>
      </c>
      <c r="I297" t="s">
        <v>1441</v>
      </c>
      <c r="J297" t="s">
        <v>1450</v>
      </c>
      <c r="K297" t="s">
        <v>1456</v>
      </c>
      <c r="L297" t="s">
        <v>1464</v>
      </c>
      <c r="M297" t="s">
        <v>1478</v>
      </c>
      <c r="N297" s="18" t="s">
        <v>34</v>
      </c>
    </row>
    <row r="298" spans="1:14" x14ac:dyDescent="0.25">
      <c r="A298" t="s">
        <v>1122</v>
      </c>
      <c r="B298" s="7">
        <v>43740</v>
      </c>
      <c r="C298" s="4">
        <v>0.65625</v>
      </c>
      <c r="D298" s="15">
        <f t="shared" si="8"/>
        <v>15</v>
      </c>
      <c r="E298" s="15" t="str">
        <f t="shared" si="9"/>
        <v>After 15</v>
      </c>
      <c r="F298" t="s">
        <v>1123</v>
      </c>
      <c r="G298" s="16" t="str">
        <f>VLOOKUP(F298,DISTRICTS!B$2:C$626,2,FALSE)</f>
        <v>SALAMANCA</v>
      </c>
      <c r="H298" s="16" t="str">
        <f>IFERROR(VLOOKUP(G298,'areas for question 4'!A$2:B$10,2,FALSE),"")</f>
        <v/>
      </c>
      <c r="I298" t="s">
        <v>1444</v>
      </c>
      <c r="J298" t="s">
        <v>1450</v>
      </c>
      <c r="K298" t="s">
        <v>1456</v>
      </c>
      <c r="L298" t="s">
        <v>1464</v>
      </c>
      <c r="M298" t="s">
        <v>1478</v>
      </c>
      <c r="N298" s="18">
        <v>2</v>
      </c>
    </row>
    <row r="299" spans="1:14" x14ac:dyDescent="0.25">
      <c r="A299" t="s">
        <v>1124</v>
      </c>
      <c r="B299" s="7">
        <v>43740</v>
      </c>
      <c r="C299" s="4">
        <v>0.61458333333333337</v>
      </c>
      <c r="D299" s="15">
        <f t="shared" si="8"/>
        <v>14</v>
      </c>
      <c r="E299" s="15" t="str">
        <f t="shared" si="9"/>
        <v>Before 15</v>
      </c>
      <c r="F299" t="s">
        <v>1125</v>
      </c>
      <c r="G299" s="16" t="str">
        <f>VLOOKUP(F299,DISTRICTS!B$2:C$626,2,FALSE)</f>
        <v>TETUÁN</v>
      </c>
      <c r="H299" s="16" t="str">
        <f>IFERROR(VLOOKUP(G299,'areas for question 4'!A$2:B$10,2,FALSE),"")</f>
        <v>North</v>
      </c>
      <c r="I299" t="s">
        <v>1443</v>
      </c>
      <c r="J299" t="s">
        <v>1450</v>
      </c>
      <c r="K299" t="s">
        <v>1458</v>
      </c>
      <c r="L299" t="s">
        <v>1464</v>
      </c>
      <c r="M299" t="s">
        <v>1478</v>
      </c>
      <c r="N299" s="18">
        <v>7</v>
      </c>
    </row>
    <row r="300" spans="1:14" x14ac:dyDescent="0.25">
      <c r="A300" t="s">
        <v>1132</v>
      </c>
      <c r="B300" s="7">
        <v>43741</v>
      </c>
      <c r="C300" s="4">
        <v>0.59027777777777779</v>
      </c>
      <c r="D300" s="15">
        <f t="shared" si="8"/>
        <v>14</v>
      </c>
      <c r="E300" s="15" t="str">
        <f t="shared" si="9"/>
        <v>Before 15</v>
      </c>
      <c r="F300" t="s">
        <v>156</v>
      </c>
      <c r="G300" s="16" t="str">
        <f>VLOOKUP(F300,DISTRICTS!B$2:C$626,2,FALSE)</f>
        <v>CHAMBERÍ</v>
      </c>
      <c r="H300" s="16" t="str">
        <f>IFERROR(VLOOKUP(G300,'areas for question 4'!A$2:B$10,2,FALSE),"")</f>
        <v>North</v>
      </c>
      <c r="I300" t="s">
        <v>1446</v>
      </c>
      <c r="J300" t="s">
        <v>1450</v>
      </c>
      <c r="K300" t="s">
        <v>1456</v>
      </c>
      <c r="L300" t="s">
        <v>1464</v>
      </c>
      <c r="M300" t="s">
        <v>1478</v>
      </c>
      <c r="N300" s="18">
        <v>7</v>
      </c>
    </row>
    <row r="301" spans="1:14" x14ac:dyDescent="0.25">
      <c r="A301" t="s">
        <v>1133</v>
      </c>
      <c r="B301" s="7">
        <v>43741</v>
      </c>
      <c r="C301" s="4">
        <v>0.40138888888888885</v>
      </c>
      <c r="D301" s="15">
        <f t="shared" si="8"/>
        <v>9</v>
      </c>
      <c r="E301" s="15" t="str">
        <f t="shared" si="9"/>
        <v>Before 15</v>
      </c>
      <c r="F301" t="s">
        <v>1134</v>
      </c>
      <c r="G301" s="16" t="str">
        <f>VLOOKUP(F301,DISTRICTS!B$2:C$626,2,FALSE)</f>
        <v>TETUÁN</v>
      </c>
      <c r="H301" s="16" t="str">
        <f>IFERROR(VLOOKUP(G301,'areas for question 4'!A$2:B$10,2,FALSE),"")</f>
        <v>North</v>
      </c>
      <c r="I301" t="s">
        <v>1444</v>
      </c>
      <c r="J301" t="s">
        <v>1450</v>
      </c>
      <c r="K301" t="s">
        <v>1456</v>
      </c>
      <c r="L301" t="s">
        <v>1464</v>
      </c>
      <c r="M301" t="s">
        <v>1477</v>
      </c>
      <c r="N301" s="18">
        <v>2</v>
      </c>
    </row>
    <row r="302" spans="1:14" x14ac:dyDescent="0.25">
      <c r="A302" t="s">
        <v>1144</v>
      </c>
      <c r="B302" s="7">
        <v>43742</v>
      </c>
      <c r="C302" s="4">
        <v>3.472222222222222E-3</v>
      </c>
      <c r="D302" s="15">
        <f t="shared" si="8"/>
        <v>0</v>
      </c>
      <c r="E302" s="15" t="str">
        <f t="shared" si="9"/>
        <v>Before 15</v>
      </c>
      <c r="F302" t="s">
        <v>1145</v>
      </c>
      <c r="G302" s="16" t="str">
        <f>VLOOKUP(F302,DISTRICTS!B$2:C$626,2,FALSE)</f>
        <v>ARGANZUELA</v>
      </c>
      <c r="H302" s="16" t="str">
        <f>IFERROR(VLOOKUP(G302,'areas for question 4'!A$2:B$10,2,FALSE),"")</f>
        <v/>
      </c>
      <c r="I302" t="s">
        <v>1446</v>
      </c>
      <c r="J302" t="s">
        <v>1450</v>
      </c>
      <c r="K302" t="s">
        <v>1456</v>
      </c>
      <c r="L302" t="s">
        <v>1464</v>
      </c>
      <c r="M302" t="s">
        <v>1477</v>
      </c>
      <c r="N302" s="18">
        <v>5</v>
      </c>
    </row>
    <row r="303" spans="1:14" x14ac:dyDescent="0.25">
      <c r="A303" t="s">
        <v>1161</v>
      </c>
      <c r="B303" s="7">
        <v>43745</v>
      </c>
      <c r="C303" s="4">
        <v>0.71875</v>
      </c>
      <c r="D303" s="15">
        <f t="shared" si="8"/>
        <v>17</v>
      </c>
      <c r="E303" s="15" t="str">
        <f t="shared" si="9"/>
        <v>After 15</v>
      </c>
      <c r="F303" t="s">
        <v>1162</v>
      </c>
      <c r="G303" s="16" t="str">
        <f>VLOOKUP(F303,DISTRICTS!B$2:C$626,2,FALSE)</f>
        <v>CENTRO</v>
      </c>
      <c r="H303" s="16" t="str">
        <f>IFERROR(VLOOKUP(G303,'areas for question 4'!A$2:B$10,2,FALSE),"")</f>
        <v/>
      </c>
      <c r="I303" t="s">
        <v>1441</v>
      </c>
      <c r="J303" t="s">
        <v>1450</v>
      </c>
      <c r="K303" t="s">
        <v>1456</v>
      </c>
      <c r="L303" t="s">
        <v>1464</v>
      </c>
      <c r="M303" t="s">
        <v>1477</v>
      </c>
      <c r="N303" s="18">
        <v>6</v>
      </c>
    </row>
    <row r="304" spans="1:14" x14ac:dyDescent="0.25">
      <c r="A304" t="s">
        <v>1171</v>
      </c>
      <c r="B304" s="7">
        <v>43747</v>
      </c>
      <c r="C304" s="4">
        <v>0.62847222222222221</v>
      </c>
      <c r="D304" s="15">
        <f t="shared" si="8"/>
        <v>15</v>
      </c>
      <c r="E304" s="15" t="str">
        <f t="shared" si="9"/>
        <v>After 15</v>
      </c>
      <c r="F304" t="s">
        <v>1172</v>
      </c>
      <c r="G304" s="16" t="str">
        <f>VLOOKUP(F304,DISTRICTS!B$2:C$626,2,FALSE)</f>
        <v>SALAMANCA</v>
      </c>
      <c r="H304" s="16" t="str">
        <f>IFERROR(VLOOKUP(G304,'areas for question 4'!A$2:B$10,2,FALSE),"")</f>
        <v/>
      </c>
      <c r="I304" t="s">
        <v>1446</v>
      </c>
      <c r="J304" t="s">
        <v>1450</v>
      </c>
      <c r="K304" t="s">
        <v>1456</v>
      </c>
      <c r="L304" t="s">
        <v>1464</v>
      </c>
      <c r="M304" t="s">
        <v>1478</v>
      </c>
      <c r="N304" s="18">
        <v>7</v>
      </c>
    </row>
    <row r="305" spans="1:14" x14ac:dyDescent="0.25">
      <c r="A305" t="s">
        <v>1178</v>
      </c>
      <c r="B305" s="7">
        <v>43750</v>
      </c>
      <c r="C305" s="4">
        <v>0.57013888888888886</v>
      </c>
      <c r="D305" s="15">
        <f t="shared" si="8"/>
        <v>13</v>
      </c>
      <c r="E305" s="15" t="str">
        <f t="shared" si="9"/>
        <v>Before 15</v>
      </c>
      <c r="F305" t="s">
        <v>672</v>
      </c>
      <c r="G305" s="16" t="str">
        <f>VLOOKUP(F305,DISTRICTS!B$2:C$626,2,FALSE)</f>
        <v>CIUDAD LINEAL</v>
      </c>
      <c r="H305" s="16" t="str">
        <f>IFERROR(VLOOKUP(G305,'areas for question 4'!A$2:B$10,2,FALSE),"")</f>
        <v>East</v>
      </c>
      <c r="I305" t="s">
        <v>1446</v>
      </c>
      <c r="J305" t="s">
        <v>1450</v>
      </c>
      <c r="K305" t="s">
        <v>1456</v>
      </c>
      <c r="L305" t="s">
        <v>1464</v>
      </c>
      <c r="M305" t="s">
        <v>1477</v>
      </c>
      <c r="N305" s="18">
        <v>7</v>
      </c>
    </row>
    <row r="306" spans="1:14" x14ac:dyDescent="0.25">
      <c r="A306" t="s">
        <v>1179</v>
      </c>
      <c r="B306" s="7">
        <v>43750</v>
      </c>
      <c r="C306" s="4">
        <v>5.2083333333333336E-2</v>
      </c>
      <c r="D306" s="15">
        <f t="shared" si="8"/>
        <v>1</v>
      </c>
      <c r="E306" s="15" t="str">
        <f t="shared" si="9"/>
        <v>Before 15</v>
      </c>
      <c r="F306" t="s">
        <v>1180</v>
      </c>
      <c r="G306" s="16" t="str">
        <f>VLOOKUP(F306,DISTRICTS!B$2:C$626,2,FALSE)</f>
        <v>RETIRO</v>
      </c>
      <c r="H306" s="16" t="str">
        <f>IFERROR(VLOOKUP(G306,'areas for question 4'!A$2:B$10,2,FALSE),"")</f>
        <v/>
      </c>
      <c r="I306" t="s">
        <v>1446</v>
      </c>
      <c r="J306" t="s">
        <v>1450</v>
      </c>
      <c r="K306" t="s">
        <v>1456</v>
      </c>
      <c r="L306" t="s">
        <v>1464</v>
      </c>
      <c r="M306" t="s">
        <v>1477</v>
      </c>
      <c r="N306" s="18">
        <v>2</v>
      </c>
    </row>
    <row r="307" spans="1:14" x14ac:dyDescent="0.25">
      <c r="A307" t="s">
        <v>1181</v>
      </c>
      <c r="B307" s="7">
        <v>43752</v>
      </c>
      <c r="C307" s="4">
        <v>0.86111111111111116</v>
      </c>
      <c r="D307" s="15">
        <f t="shared" si="8"/>
        <v>20</v>
      </c>
      <c r="E307" s="15" t="str">
        <f t="shared" si="9"/>
        <v>After 15</v>
      </c>
      <c r="F307" t="s">
        <v>1182</v>
      </c>
      <c r="G307" s="16" t="str">
        <f>VLOOKUP(F307,DISTRICTS!B$2:C$626,2,FALSE)</f>
        <v>SALAMANCA</v>
      </c>
      <c r="H307" s="16" t="str">
        <f>IFERROR(VLOOKUP(G307,'areas for question 4'!A$2:B$10,2,FALSE),"")</f>
        <v/>
      </c>
      <c r="I307" t="s">
        <v>1444</v>
      </c>
      <c r="J307" t="s">
        <v>1452</v>
      </c>
      <c r="K307" t="s">
        <v>1456</v>
      </c>
      <c r="L307" t="s">
        <v>1464</v>
      </c>
      <c r="M307" t="s">
        <v>1478</v>
      </c>
      <c r="N307" s="18">
        <v>7</v>
      </c>
    </row>
    <row r="308" spans="1:14" x14ac:dyDescent="0.25">
      <c r="A308" t="s">
        <v>1183</v>
      </c>
      <c r="B308" s="7">
        <v>43752</v>
      </c>
      <c r="C308" s="4">
        <v>0.4375</v>
      </c>
      <c r="D308" s="15">
        <f t="shared" si="8"/>
        <v>10</v>
      </c>
      <c r="E308" s="15" t="str">
        <f t="shared" si="9"/>
        <v>Before 15</v>
      </c>
      <c r="F308" t="s">
        <v>1184</v>
      </c>
      <c r="G308" s="16" t="str">
        <f>VLOOKUP(F308,DISTRICTS!B$2:C$626,2,FALSE)</f>
        <v>CENTRO</v>
      </c>
      <c r="H308" s="16" t="str">
        <f>IFERROR(VLOOKUP(G308,'areas for question 4'!A$2:B$10,2,FALSE),"")</f>
        <v/>
      </c>
      <c r="I308" t="s">
        <v>1446</v>
      </c>
      <c r="J308" t="s">
        <v>1450</v>
      </c>
      <c r="K308" t="s">
        <v>1456</v>
      </c>
      <c r="L308" t="s">
        <v>1464</v>
      </c>
      <c r="M308" t="s">
        <v>1478</v>
      </c>
      <c r="N308" s="18">
        <v>1</v>
      </c>
    </row>
    <row r="309" spans="1:14" x14ac:dyDescent="0.25">
      <c r="A309" t="s">
        <v>1196</v>
      </c>
      <c r="B309" s="7">
        <v>43754</v>
      </c>
      <c r="C309" s="4">
        <v>0.97222222222222221</v>
      </c>
      <c r="D309" s="15">
        <f t="shared" si="8"/>
        <v>23</v>
      </c>
      <c r="E309" s="15" t="str">
        <f t="shared" si="9"/>
        <v>After 15</v>
      </c>
      <c r="F309" t="s">
        <v>1197</v>
      </c>
      <c r="G309" s="16" t="str">
        <f>VLOOKUP(F309,DISTRICTS!B$2:C$626,2,FALSE)</f>
        <v>SALAMANCA</v>
      </c>
      <c r="H309" s="16" t="str">
        <f>IFERROR(VLOOKUP(G309,'areas for question 4'!A$2:B$10,2,FALSE),"")</f>
        <v/>
      </c>
      <c r="I309" t="s">
        <v>1441</v>
      </c>
      <c r="J309" t="s">
        <v>1450</v>
      </c>
      <c r="K309" t="s">
        <v>1456</v>
      </c>
      <c r="L309" t="s">
        <v>1464</v>
      </c>
      <c r="M309" t="s">
        <v>1477</v>
      </c>
      <c r="N309" s="18" t="s">
        <v>34</v>
      </c>
    </row>
    <row r="310" spans="1:14" x14ac:dyDescent="0.25">
      <c r="A310" t="s">
        <v>1203</v>
      </c>
      <c r="B310" s="7">
        <v>43755</v>
      </c>
      <c r="C310" s="4">
        <v>0.83333333333333337</v>
      </c>
      <c r="D310" s="15">
        <f t="shared" si="8"/>
        <v>20</v>
      </c>
      <c r="E310" s="15" t="str">
        <f t="shared" si="9"/>
        <v>After 15</v>
      </c>
      <c r="F310" t="s">
        <v>123</v>
      </c>
      <c r="G310" s="16" t="str">
        <f>VLOOKUP(F310,DISTRICTS!B$2:C$626,2,FALSE)</f>
        <v>CHAMARTÍN</v>
      </c>
      <c r="H310" s="16" t="str">
        <f>IFERROR(VLOOKUP(G310,'areas for question 4'!A$2:B$10,2,FALSE),"")</f>
        <v>North</v>
      </c>
      <c r="I310" t="s">
        <v>1444</v>
      </c>
      <c r="J310" t="s">
        <v>1450</v>
      </c>
      <c r="K310" t="s">
        <v>1456</v>
      </c>
      <c r="L310" t="s">
        <v>1464</v>
      </c>
      <c r="M310" t="s">
        <v>1478</v>
      </c>
      <c r="N310" s="18">
        <v>5</v>
      </c>
    </row>
    <row r="311" spans="1:14" x14ac:dyDescent="0.25">
      <c r="A311" t="s">
        <v>1222</v>
      </c>
      <c r="B311" s="7">
        <v>43759</v>
      </c>
      <c r="C311" s="4">
        <v>0.58333333333333337</v>
      </c>
      <c r="D311" s="15">
        <f t="shared" si="8"/>
        <v>14</v>
      </c>
      <c r="E311" s="15" t="str">
        <f t="shared" si="9"/>
        <v>Before 15</v>
      </c>
      <c r="F311" t="s">
        <v>258</v>
      </c>
      <c r="G311" s="16" t="str">
        <f>VLOOKUP(F311,DISTRICTS!B$2:C$626,2,FALSE)</f>
        <v>TETUÁN</v>
      </c>
      <c r="H311" s="16" t="str">
        <f>IFERROR(VLOOKUP(G311,'areas for question 4'!A$2:B$10,2,FALSE),"")</f>
        <v>North</v>
      </c>
      <c r="I311" t="s">
        <v>1447</v>
      </c>
      <c r="J311" t="s">
        <v>1450</v>
      </c>
      <c r="K311" t="s">
        <v>1456</v>
      </c>
      <c r="L311" t="s">
        <v>1464</v>
      </c>
      <c r="M311" t="s">
        <v>1478</v>
      </c>
      <c r="N311" s="18">
        <v>14</v>
      </c>
    </row>
    <row r="312" spans="1:14" x14ac:dyDescent="0.25">
      <c r="A312" t="s">
        <v>1236</v>
      </c>
      <c r="B312" s="7">
        <v>43764</v>
      </c>
      <c r="C312" s="4">
        <v>0.39583333333333331</v>
      </c>
      <c r="D312" s="15">
        <f t="shared" si="8"/>
        <v>9</v>
      </c>
      <c r="E312" s="15" t="str">
        <f t="shared" si="9"/>
        <v>Before 15</v>
      </c>
      <c r="F312" t="s">
        <v>1237</v>
      </c>
      <c r="G312" s="16" t="str">
        <f>VLOOKUP(F312,DISTRICTS!B$2:C$626,2,FALSE)</f>
        <v>SALAMANCA</v>
      </c>
      <c r="H312" s="16" t="str">
        <f>IFERROR(VLOOKUP(G312,'areas for question 4'!A$2:B$10,2,FALSE),"")</f>
        <v/>
      </c>
      <c r="I312" t="s">
        <v>1446</v>
      </c>
      <c r="J312" t="s">
        <v>1450</v>
      </c>
      <c r="K312" t="s">
        <v>1456</v>
      </c>
      <c r="L312" t="s">
        <v>1464</v>
      </c>
      <c r="M312" t="s">
        <v>1477</v>
      </c>
      <c r="N312" s="18">
        <v>5</v>
      </c>
    </row>
    <row r="313" spans="1:14" x14ac:dyDescent="0.25">
      <c r="A313" t="s">
        <v>1249</v>
      </c>
      <c r="B313" s="7">
        <v>43767</v>
      </c>
      <c r="C313" s="4">
        <v>0.45833333333333331</v>
      </c>
      <c r="D313" s="15">
        <f t="shared" si="8"/>
        <v>11</v>
      </c>
      <c r="E313" s="15" t="str">
        <f t="shared" si="9"/>
        <v>Before 15</v>
      </c>
      <c r="F313" t="s">
        <v>1250</v>
      </c>
      <c r="G313" s="16" t="str">
        <f>VLOOKUP(F313,DISTRICTS!B$2:C$626,2,FALSE)</f>
        <v>LATINA</v>
      </c>
      <c r="H313" s="16" t="str">
        <f>IFERROR(VLOOKUP(G313,'areas for question 4'!A$2:B$10,2,FALSE),"")</f>
        <v/>
      </c>
      <c r="I313" t="s">
        <v>1446</v>
      </c>
      <c r="J313" t="s">
        <v>1450</v>
      </c>
      <c r="K313" t="s">
        <v>1456</v>
      </c>
      <c r="L313" t="s">
        <v>1464</v>
      </c>
      <c r="M313" t="s">
        <v>1477</v>
      </c>
      <c r="N313" s="18" t="s">
        <v>34</v>
      </c>
    </row>
    <row r="314" spans="1:14" x14ac:dyDescent="0.25">
      <c r="A314" t="s">
        <v>1267</v>
      </c>
      <c r="B314" s="7">
        <v>43775</v>
      </c>
      <c r="C314" s="4">
        <v>0.69791666666666663</v>
      </c>
      <c r="D314" s="15">
        <f t="shared" si="8"/>
        <v>16</v>
      </c>
      <c r="E314" s="15" t="str">
        <f t="shared" si="9"/>
        <v>After 15</v>
      </c>
      <c r="F314" t="s">
        <v>1268</v>
      </c>
      <c r="G314" s="16" t="str">
        <f>VLOOKUP(F314,DISTRICTS!B$2:C$626,2,FALSE)</f>
        <v>RETIRO</v>
      </c>
      <c r="H314" s="16" t="str">
        <f>IFERROR(VLOOKUP(G314,'areas for question 4'!A$2:B$10,2,FALSE),"")</f>
        <v/>
      </c>
      <c r="I314" t="s">
        <v>1447</v>
      </c>
      <c r="J314" t="s">
        <v>1450</v>
      </c>
      <c r="K314" t="s">
        <v>1456</v>
      </c>
      <c r="L314" t="s">
        <v>1464</v>
      </c>
      <c r="M314" t="s">
        <v>1478</v>
      </c>
      <c r="N314" s="18" t="s">
        <v>34</v>
      </c>
    </row>
    <row r="315" spans="1:14" x14ac:dyDescent="0.25">
      <c r="A315" t="s">
        <v>1277</v>
      </c>
      <c r="B315" s="7">
        <v>43778</v>
      </c>
      <c r="C315" s="4">
        <v>0.64583333333333337</v>
      </c>
      <c r="D315" s="15">
        <f t="shared" si="8"/>
        <v>15</v>
      </c>
      <c r="E315" s="15" t="str">
        <f t="shared" si="9"/>
        <v>After 15</v>
      </c>
      <c r="F315" t="s">
        <v>168</v>
      </c>
      <c r="G315" s="16" t="str">
        <f>VLOOKUP(F315,DISTRICTS!B$2:C$626,2,FALSE)</f>
        <v>ARGANZUELA</v>
      </c>
      <c r="H315" s="16" t="str">
        <f>IFERROR(VLOOKUP(G315,'areas for question 4'!A$2:B$10,2,FALSE),"")</f>
        <v/>
      </c>
      <c r="I315" t="s">
        <v>1443</v>
      </c>
      <c r="J315" t="s">
        <v>1450</v>
      </c>
      <c r="K315" t="s">
        <v>1456</v>
      </c>
      <c r="L315" t="s">
        <v>1464</v>
      </c>
      <c r="M315" t="s">
        <v>1477</v>
      </c>
      <c r="N315" s="18">
        <v>7</v>
      </c>
    </row>
    <row r="316" spans="1:14" x14ac:dyDescent="0.25">
      <c r="A316" t="s">
        <v>1277</v>
      </c>
      <c r="B316" s="7">
        <v>43778</v>
      </c>
      <c r="C316" s="4">
        <v>0.64583333333333337</v>
      </c>
      <c r="D316" s="15">
        <f t="shared" si="8"/>
        <v>15</v>
      </c>
      <c r="E316" s="15" t="str">
        <f t="shared" si="9"/>
        <v>After 15</v>
      </c>
      <c r="F316" t="s">
        <v>168</v>
      </c>
      <c r="G316" s="16" t="str">
        <f>VLOOKUP(F316,DISTRICTS!B$2:C$626,2,FALSE)</f>
        <v>ARGANZUELA</v>
      </c>
      <c r="H316" s="16" t="str">
        <f>IFERROR(VLOOKUP(G316,'areas for question 4'!A$2:B$10,2,FALSE),"")</f>
        <v/>
      </c>
      <c r="I316" t="s">
        <v>1443</v>
      </c>
      <c r="J316" t="s">
        <v>1450</v>
      </c>
      <c r="K316" t="s">
        <v>1458</v>
      </c>
      <c r="L316" t="s">
        <v>1464</v>
      </c>
      <c r="M316" t="s">
        <v>1477</v>
      </c>
      <c r="N316" s="18">
        <v>14</v>
      </c>
    </row>
    <row r="317" spans="1:14" x14ac:dyDescent="0.25">
      <c r="A317" t="s">
        <v>1284</v>
      </c>
      <c r="B317" s="7">
        <v>43781</v>
      </c>
      <c r="C317" s="4">
        <v>0.90625</v>
      </c>
      <c r="D317" s="15">
        <f t="shared" si="8"/>
        <v>21</v>
      </c>
      <c r="E317" s="15" t="str">
        <f t="shared" si="9"/>
        <v>After 15</v>
      </c>
      <c r="F317" t="s">
        <v>1285</v>
      </c>
      <c r="G317" s="16" t="str">
        <f>VLOOKUP(F317,DISTRICTS!B$2:C$626,2,FALSE)</f>
        <v>CHAMBERÍ</v>
      </c>
      <c r="H317" s="16" t="str">
        <f>IFERROR(VLOOKUP(G317,'areas for question 4'!A$2:B$10,2,FALSE),"")</f>
        <v>North</v>
      </c>
      <c r="I317" t="s">
        <v>1441</v>
      </c>
      <c r="J317" t="s">
        <v>1450</v>
      </c>
      <c r="K317" t="s">
        <v>1456</v>
      </c>
      <c r="L317" t="s">
        <v>1464</v>
      </c>
      <c r="M317" t="s">
        <v>1478</v>
      </c>
      <c r="N317" s="18">
        <v>7</v>
      </c>
    </row>
    <row r="318" spans="1:14" x14ac:dyDescent="0.25">
      <c r="A318" t="s">
        <v>1302</v>
      </c>
      <c r="B318" s="7">
        <v>43783</v>
      </c>
      <c r="C318" s="4">
        <v>0.86458333333333337</v>
      </c>
      <c r="D318" s="15">
        <f t="shared" si="8"/>
        <v>20</v>
      </c>
      <c r="E318" s="15" t="str">
        <f t="shared" si="9"/>
        <v>After 15</v>
      </c>
      <c r="F318" t="s">
        <v>1303</v>
      </c>
      <c r="G318" s="16" t="str">
        <f>VLOOKUP(F318,DISTRICTS!B$2:C$626,2,FALSE)</f>
        <v>ARGANZUELA</v>
      </c>
      <c r="H318" s="16" t="str">
        <f>IFERROR(VLOOKUP(G318,'areas for question 4'!A$2:B$10,2,FALSE),"")</f>
        <v/>
      </c>
      <c r="I318" t="s">
        <v>1446</v>
      </c>
      <c r="J318" t="s">
        <v>1454</v>
      </c>
      <c r="K318" t="s">
        <v>1456</v>
      </c>
      <c r="L318" t="s">
        <v>1464</v>
      </c>
      <c r="M318" t="s">
        <v>1477</v>
      </c>
      <c r="N318" s="18">
        <v>7</v>
      </c>
    </row>
    <row r="319" spans="1:14" x14ac:dyDescent="0.25">
      <c r="A319" t="s">
        <v>1310</v>
      </c>
      <c r="B319" s="7">
        <v>43784</v>
      </c>
      <c r="C319" s="4">
        <v>0.84375</v>
      </c>
      <c r="D319" s="15">
        <f t="shared" si="8"/>
        <v>20</v>
      </c>
      <c r="E319" s="15" t="str">
        <f t="shared" si="9"/>
        <v>After 15</v>
      </c>
      <c r="F319" t="s">
        <v>1311</v>
      </c>
      <c r="G319" s="16" t="str">
        <f>VLOOKUP(F319,DISTRICTS!B$2:C$626,2,FALSE)</f>
        <v>CHAMARTÍN</v>
      </c>
      <c r="H319" s="16" t="str">
        <f>IFERROR(VLOOKUP(G319,'areas for question 4'!A$2:B$10,2,FALSE),"")</f>
        <v>North</v>
      </c>
      <c r="I319" t="s">
        <v>1447</v>
      </c>
      <c r="J319" t="s">
        <v>1450</v>
      </c>
      <c r="K319" t="s">
        <v>1456</v>
      </c>
      <c r="L319" t="s">
        <v>1464</v>
      </c>
      <c r="M319" t="s">
        <v>1477</v>
      </c>
      <c r="N319" s="18">
        <v>7</v>
      </c>
    </row>
    <row r="320" spans="1:14" x14ac:dyDescent="0.25">
      <c r="A320" t="s">
        <v>1313</v>
      </c>
      <c r="B320" s="7">
        <v>43787</v>
      </c>
      <c r="C320" s="4">
        <v>0.63541666666666663</v>
      </c>
      <c r="D320" s="15">
        <f t="shared" si="8"/>
        <v>15</v>
      </c>
      <c r="E320" s="15" t="str">
        <f t="shared" si="9"/>
        <v>After 15</v>
      </c>
      <c r="F320" t="s">
        <v>1314</v>
      </c>
      <c r="G320" s="16" t="str">
        <f>VLOOKUP(F320,DISTRICTS!B$2:C$626,2,FALSE)</f>
        <v>SALAMANCA</v>
      </c>
      <c r="H320" s="16" t="str">
        <f>IFERROR(VLOOKUP(G320,'areas for question 4'!A$2:B$10,2,FALSE),"")</f>
        <v/>
      </c>
      <c r="I320" t="s">
        <v>1441</v>
      </c>
      <c r="J320" t="s">
        <v>1450</v>
      </c>
      <c r="K320" t="s">
        <v>1456</v>
      </c>
      <c r="L320" t="s">
        <v>1464</v>
      </c>
      <c r="M320" t="s">
        <v>1478</v>
      </c>
      <c r="N320" s="18" t="s">
        <v>34</v>
      </c>
    </row>
    <row r="321" spans="1:14" x14ac:dyDescent="0.25">
      <c r="A321" t="s">
        <v>1319</v>
      </c>
      <c r="B321" s="7">
        <v>43790</v>
      </c>
      <c r="C321" s="4">
        <v>0.88541666666666663</v>
      </c>
      <c r="D321" s="15">
        <f t="shared" si="8"/>
        <v>21</v>
      </c>
      <c r="E321" s="15" t="str">
        <f t="shared" si="9"/>
        <v>After 15</v>
      </c>
      <c r="F321" t="s">
        <v>1320</v>
      </c>
      <c r="G321" s="16" t="str">
        <f>VLOOKUP(F321,DISTRICTS!B$2:C$626,2,FALSE)</f>
        <v>MONCLOA-ARAVACA</v>
      </c>
      <c r="H321" s="16" t="str">
        <f>IFERROR(VLOOKUP(G321,'areas for question 4'!A$2:B$10,2,FALSE),"")</f>
        <v/>
      </c>
      <c r="I321" t="s">
        <v>1444</v>
      </c>
      <c r="J321" t="s">
        <v>1452</v>
      </c>
      <c r="K321" t="s">
        <v>1456</v>
      </c>
      <c r="L321" t="s">
        <v>1464</v>
      </c>
      <c r="M321" t="s">
        <v>1477</v>
      </c>
      <c r="N321" s="18">
        <v>5</v>
      </c>
    </row>
    <row r="322" spans="1:14" x14ac:dyDescent="0.25">
      <c r="A322" t="s">
        <v>1325</v>
      </c>
      <c r="B322" s="7">
        <v>43791</v>
      </c>
      <c r="C322" s="4">
        <v>0.86805555555555547</v>
      </c>
      <c r="D322" s="15">
        <f t="shared" si="8"/>
        <v>20</v>
      </c>
      <c r="E322" s="15" t="str">
        <f t="shared" si="9"/>
        <v>After 15</v>
      </c>
      <c r="F322" t="s">
        <v>1326</v>
      </c>
      <c r="G322" s="16" t="str">
        <f>VLOOKUP(F322,DISTRICTS!B$2:C$626,2,FALSE)</f>
        <v>SALAMANCA</v>
      </c>
      <c r="H322" s="16" t="str">
        <f>IFERROR(VLOOKUP(G322,'areas for question 4'!A$2:B$10,2,FALSE),"")</f>
        <v/>
      </c>
      <c r="I322" t="s">
        <v>1447</v>
      </c>
      <c r="J322" t="s">
        <v>1452</v>
      </c>
      <c r="K322" t="s">
        <v>1456</v>
      </c>
      <c r="L322" t="s">
        <v>1464</v>
      </c>
      <c r="M322" t="s">
        <v>1478</v>
      </c>
      <c r="N322" s="18">
        <v>7</v>
      </c>
    </row>
    <row r="323" spans="1:14" x14ac:dyDescent="0.25">
      <c r="A323" t="s">
        <v>1334</v>
      </c>
      <c r="B323" s="7">
        <v>43794</v>
      </c>
      <c r="C323" s="4">
        <v>0.86458333333333337</v>
      </c>
      <c r="D323" s="15">
        <f t="shared" ref="D323:D386" si="10">HOUR(C323)</f>
        <v>20</v>
      </c>
      <c r="E323" s="15" t="str">
        <f t="shared" ref="E323:E386" si="11">IF(D323&lt;15,"Before 15","After 15")</f>
        <v>After 15</v>
      </c>
      <c r="F323" t="s">
        <v>639</v>
      </c>
      <c r="G323" s="16" t="str">
        <f>VLOOKUP(F323,DISTRICTS!B$2:C$626,2,FALSE)</f>
        <v>CENTRO</v>
      </c>
      <c r="H323" s="16" t="str">
        <f>IFERROR(VLOOKUP(G323,'areas for question 4'!A$2:B$10,2,FALSE),"")</f>
        <v/>
      </c>
      <c r="I323" t="s">
        <v>1446</v>
      </c>
      <c r="J323" t="s">
        <v>1450</v>
      </c>
      <c r="K323" t="s">
        <v>1456</v>
      </c>
      <c r="L323" t="s">
        <v>1464</v>
      </c>
      <c r="M323" t="s">
        <v>1477</v>
      </c>
      <c r="N323" s="18">
        <v>7</v>
      </c>
    </row>
    <row r="324" spans="1:14" x14ac:dyDescent="0.25">
      <c r="A324" t="s">
        <v>1339</v>
      </c>
      <c r="B324" s="7">
        <v>43795</v>
      </c>
      <c r="C324" s="4">
        <v>0.95138888888888884</v>
      </c>
      <c r="D324" s="15">
        <f t="shared" si="10"/>
        <v>22</v>
      </c>
      <c r="E324" s="15" t="str">
        <f t="shared" si="11"/>
        <v>After 15</v>
      </c>
      <c r="F324" t="s">
        <v>1340</v>
      </c>
      <c r="G324" s="16" t="str">
        <f>VLOOKUP(F324,DISTRICTS!B$2:C$626,2,FALSE)</f>
        <v>CHAMBERÍ</v>
      </c>
      <c r="H324" s="16" t="str">
        <f>IFERROR(VLOOKUP(G324,'areas for question 4'!A$2:B$10,2,FALSE),"")</f>
        <v>North</v>
      </c>
      <c r="I324" t="s">
        <v>1444</v>
      </c>
      <c r="J324" t="s">
        <v>1452</v>
      </c>
      <c r="K324" t="s">
        <v>1456</v>
      </c>
      <c r="L324" t="s">
        <v>1464</v>
      </c>
      <c r="M324" t="s">
        <v>1478</v>
      </c>
      <c r="N324" s="18">
        <v>7</v>
      </c>
    </row>
    <row r="325" spans="1:14" x14ac:dyDescent="0.25">
      <c r="A325" t="s">
        <v>1355</v>
      </c>
      <c r="B325" s="7">
        <v>43800</v>
      </c>
      <c r="C325" s="4">
        <v>0.97916666666666663</v>
      </c>
      <c r="D325" s="15">
        <f t="shared" si="10"/>
        <v>23</v>
      </c>
      <c r="E325" s="15" t="str">
        <f t="shared" si="11"/>
        <v>After 15</v>
      </c>
      <c r="F325" t="s">
        <v>1356</v>
      </c>
      <c r="G325" s="16" t="str">
        <f>VLOOKUP(F325,DISTRICTS!B$2:C$626,2,FALSE)</f>
        <v>ARGANZUELA</v>
      </c>
      <c r="H325" s="16" t="str">
        <f>IFERROR(VLOOKUP(G325,'areas for question 4'!A$2:B$10,2,FALSE),"")</f>
        <v/>
      </c>
      <c r="I325" t="s">
        <v>1446</v>
      </c>
      <c r="J325" t="s">
        <v>1452</v>
      </c>
      <c r="K325" t="s">
        <v>1456</v>
      </c>
      <c r="L325" t="s">
        <v>1464</v>
      </c>
      <c r="M325" t="s">
        <v>1477</v>
      </c>
      <c r="N325" s="18">
        <v>7</v>
      </c>
    </row>
    <row r="326" spans="1:14" x14ac:dyDescent="0.25">
      <c r="A326" t="s">
        <v>1363</v>
      </c>
      <c r="B326" s="7">
        <v>43803</v>
      </c>
      <c r="C326" s="4">
        <v>0.66666666666666663</v>
      </c>
      <c r="D326" s="15">
        <f t="shared" si="10"/>
        <v>16</v>
      </c>
      <c r="E326" s="15" t="str">
        <f t="shared" si="11"/>
        <v>After 15</v>
      </c>
      <c r="F326" t="s">
        <v>362</v>
      </c>
      <c r="G326" s="16" t="str">
        <f>VLOOKUP(F326,DISTRICTS!B$2:C$626,2,FALSE)</f>
        <v>CARABANCHEL</v>
      </c>
      <c r="H326" s="16" t="str">
        <f>IFERROR(VLOOKUP(G326,'areas for question 4'!A$2:B$10,2,FALSE),"")</f>
        <v/>
      </c>
      <c r="I326" t="s">
        <v>1446</v>
      </c>
      <c r="J326" t="s">
        <v>1452</v>
      </c>
      <c r="K326" t="s">
        <v>1456</v>
      </c>
      <c r="L326" t="s">
        <v>1464</v>
      </c>
      <c r="M326" t="s">
        <v>1477</v>
      </c>
      <c r="N326" s="18">
        <v>6</v>
      </c>
    </row>
    <row r="327" spans="1:14" x14ac:dyDescent="0.25">
      <c r="A327" t="s">
        <v>1370</v>
      </c>
      <c r="B327" s="7">
        <v>43805</v>
      </c>
      <c r="C327" s="4">
        <v>4.1666666666666664E-2</v>
      </c>
      <c r="D327" s="15">
        <f t="shared" si="10"/>
        <v>1</v>
      </c>
      <c r="E327" s="15" t="str">
        <f t="shared" si="11"/>
        <v>Before 15</v>
      </c>
      <c r="F327" t="s">
        <v>197</v>
      </c>
      <c r="G327" s="16" t="str">
        <f>VLOOKUP(F327,DISTRICTS!B$2:C$626,2,FALSE)</f>
        <v>CHAMARTÍN</v>
      </c>
      <c r="H327" s="16" t="str">
        <f>IFERROR(VLOOKUP(G327,'areas for question 4'!A$2:B$10,2,FALSE),"")</f>
        <v>North</v>
      </c>
      <c r="I327" t="s">
        <v>1446</v>
      </c>
      <c r="J327" t="s">
        <v>1450</v>
      </c>
      <c r="K327" t="s">
        <v>1456</v>
      </c>
      <c r="L327" t="s">
        <v>1464</v>
      </c>
      <c r="M327" t="s">
        <v>1478</v>
      </c>
      <c r="N327" s="18">
        <v>7</v>
      </c>
    </row>
    <row r="328" spans="1:14" x14ac:dyDescent="0.25">
      <c r="A328" t="s">
        <v>1394</v>
      </c>
      <c r="B328" s="7">
        <v>43816</v>
      </c>
      <c r="C328" s="4">
        <v>0.34375</v>
      </c>
      <c r="D328" s="15">
        <f t="shared" si="10"/>
        <v>8</v>
      </c>
      <c r="E328" s="15" t="str">
        <f t="shared" si="11"/>
        <v>Before 15</v>
      </c>
      <c r="F328" t="s">
        <v>67</v>
      </c>
      <c r="G328" s="16" t="str">
        <f>VLOOKUP(F328,DISTRICTS!B$2:C$626,2,FALSE)</f>
        <v>CHAMARTÍN</v>
      </c>
      <c r="H328" s="16" t="str">
        <f>IFERROR(VLOOKUP(G328,'areas for question 4'!A$2:B$10,2,FALSE),"")</f>
        <v>North</v>
      </c>
      <c r="I328" t="s">
        <v>1444</v>
      </c>
      <c r="J328" t="s">
        <v>1452</v>
      </c>
      <c r="K328" t="s">
        <v>1456</v>
      </c>
      <c r="L328" t="s">
        <v>1464</v>
      </c>
      <c r="M328" t="s">
        <v>1477</v>
      </c>
      <c r="N328" s="18">
        <v>2</v>
      </c>
    </row>
    <row r="329" spans="1:14" x14ac:dyDescent="0.25">
      <c r="A329" t="s">
        <v>1409</v>
      </c>
      <c r="B329" s="7">
        <v>43819</v>
      </c>
      <c r="C329" s="4">
        <v>0.14583333333333334</v>
      </c>
      <c r="D329" s="15">
        <f t="shared" si="10"/>
        <v>3</v>
      </c>
      <c r="E329" s="15" t="str">
        <f t="shared" si="11"/>
        <v>Before 15</v>
      </c>
      <c r="F329" t="s">
        <v>1410</v>
      </c>
      <c r="G329" s="16" t="str">
        <f>VLOOKUP(F329,DISTRICTS!B$2:C$626,2,FALSE)</f>
        <v>CENTRO</v>
      </c>
      <c r="H329" s="16" t="str">
        <f>IFERROR(VLOOKUP(G329,'areas for question 4'!A$2:B$10,2,FALSE),"")</f>
        <v/>
      </c>
      <c r="I329" t="s">
        <v>1444</v>
      </c>
      <c r="J329" t="s">
        <v>1453</v>
      </c>
      <c r="K329" t="s">
        <v>1456</v>
      </c>
      <c r="L329" t="s">
        <v>1464</v>
      </c>
      <c r="M329" t="s">
        <v>1478</v>
      </c>
      <c r="N329" s="18">
        <v>1</v>
      </c>
    </row>
    <row r="330" spans="1:14" x14ac:dyDescent="0.25">
      <c r="A330" t="s">
        <v>1415</v>
      </c>
      <c r="B330" s="7">
        <v>43822</v>
      </c>
      <c r="C330" s="4">
        <v>1.0416666666666666E-2</v>
      </c>
      <c r="D330" s="15">
        <f t="shared" si="10"/>
        <v>0</v>
      </c>
      <c r="E330" s="15" t="str">
        <f t="shared" si="11"/>
        <v>Before 15</v>
      </c>
      <c r="F330" t="s">
        <v>1416</v>
      </c>
      <c r="G330" s="16" t="str">
        <f>VLOOKUP(F330,DISTRICTS!B$2:C$626,2,FALSE)</f>
        <v>CENTRO</v>
      </c>
      <c r="H330" s="16" t="str">
        <f>IFERROR(VLOOKUP(G330,'areas for question 4'!A$2:B$10,2,FALSE),"")</f>
        <v/>
      </c>
      <c r="I330" t="s">
        <v>1447</v>
      </c>
      <c r="J330" t="s">
        <v>1450</v>
      </c>
      <c r="K330" t="s">
        <v>1456</v>
      </c>
      <c r="L330" t="s">
        <v>1464</v>
      </c>
      <c r="M330" t="s">
        <v>1477</v>
      </c>
      <c r="N330" s="18">
        <v>2</v>
      </c>
    </row>
    <row r="331" spans="1:14" x14ac:dyDescent="0.25">
      <c r="A331" s="5" t="s">
        <v>14</v>
      </c>
      <c r="B331" s="7">
        <v>43469</v>
      </c>
      <c r="C331" s="4">
        <v>0.71527777777777779</v>
      </c>
      <c r="D331" s="15">
        <f t="shared" si="10"/>
        <v>17</v>
      </c>
      <c r="E331" s="15" t="str">
        <f t="shared" si="11"/>
        <v>After 15</v>
      </c>
      <c r="F331" t="s">
        <v>15</v>
      </c>
      <c r="G331" s="16" t="str">
        <f>VLOOKUP(F331,DISTRICTS!B$2:C$626,2,FALSE)</f>
        <v>CHAMARTÍN</v>
      </c>
      <c r="H331" s="16" t="str">
        <f>IFERROR(VLOOKUP(G331,'areas for question 4'!A$2:B$10,2,FALSE),"")</f>
        <v>North</v>
      </c>
      <c r="I331" t="s">
        <v>1446</v>
      </c>
      <c r="J331" t="s">
        <v>1450</v>
      </c>
      <c r="K331" t="s">
        <v>1456</v>
      </c>
      <c r="L331" t="s">
        <v>1465</v>
      </c>
      <c r="M331" s="5" t="s">
        <v>1477</v>
      </c>
      <c r="N331" s="18">
        <v>7</v>
      </c>
    </row>
    <row r="332" spans="1:14" x14ac:dyDescent="0.25">
      <c r="A332" s="5" t="s">
        <v>20</v>
      </c>
      <c r="B332" s="7">
        <v>43472</v>
      </c>
      <c r="C332" s="4">
        <v>0.58333333333333337</v>
      </c>
      <c r="D332" s="15">
        <f t="shared" si="10"/>
        <v>14</v>
      </c>
      <c r="E332" s="15" t="str">
        <f t="shared" si="11"/>
        <v>Before 15</v>
      </c>
      <c r="F332" t="s">
        <v>21</v>
      </c>
      <c r="G332" s="16" t="str">
        <f>VLOOKUP(F332,DISTRICTS!B$2:C$626,2,FALSE)</f>
        <v>FUENCARRAL-EL PARDO</v>
      </c>
      <c r="H332" s="16" t="str">
        <f>IFERROR(VLOOKUP(G332,'areas for question 4'!A$2:B$10,2,FALSE),"")</f>
        <v>North</v>
      </c>
      <c r="I332" t="s">
        <v>1446</v>
      </c>
      <c r="J332" t="s">
        <v>1450</v>
      </c>
      <c r="K332" t="s">
        <v>1456</v>
      </c>
      <c r="L332" t="s">
        <v>1465</v>
      </c>
      <c r="M332" s="5" t="s">
        <v>1477</v>
      </c>
      <c r="N332" s="18">
        <v>7</v>
      </c>
    </row>
    <row r="333" spans="1:14" x14ac:dyDescent="0.25">
      <c r="A333" s="5" t="s">
        <v>28</v>
      </c>
      <c r="B333" s="7">
        <v>43474</v>
      </c>
      <c r="C333" s="4">
        <v>0.61805555555555558</v>
      </c>
      <c r="D333" s="15">
        <f t="shared" si="10"/>
        <v>14</v>
      </c>
      <c r="E333" s="15" t="str">
        <f t="shared" si="11"/>
        <v>Before 15</v>
      </c>
      <c r="F333" t="s">
        <v>29</v>
      </c>
      <c r="G333" s="16" t="str">
        <f>VLOOKUP(F333,DISTRICTS!B$2:C$626,2,FALSE)</f>
        <v>CARABANCHEL</v>
      </c>
      <c r="H333" s="16" t="str">
        <f>IFERROR(VLOOKUP(G333,'areas for question 4'!A$2:B$10,2,FALSE),"")</f>
        <v/>
      </c>
      <c r="I333" t="s">
        <v>1447</v>
      </c>
      <c r="J333" t="s">
        <v>1450</v>
      </c>
      <c r="K333" t="s">
        <v>1456</v>
      </c>
      <c r="L333" t="s">
        <v>1465</v>
      </c>
      <c r="M333" s="5" t="s">
        <v>1477</v>
      </c>
      <c r="N333" s="18">
        <v>7</v>
      </c>
    </row>
    <row r="334" spans="1:14" x14ac:dyDescent="0.25">
      <c r="A334" s="5" t="s">
        <v>81</v>
      </c>
      <c r="B334" s="7">
        <v>43484</v>
      </c>
      <c r="C334" s="4">
        <v>0.46527777777777773</v>
      </c>
      <c r="D334" s="15">
        <f t="shared" si="10"/>
        <v>11</v>
      </c>
      <c r="E334" s="15" t="str">
        <f t="shared" si="11"/>
        <v>Before 15</v>
      </c>
      <c r="F334" t="s">
        <v>82</v>
      </c>
      <c r="G334" s="16" t="str">
        <f>VLOOKUP(F334,DISTRICTS!B$2:C$626,2,FALSE)</f>
        <v>FUENCARRAL-EL PARDO</v>
      </c>
      <c r="H334" s="16" t="str">
        <f>IFERROR(VLOOKUP(G334,'areas for question 4'!A$2:B$10,2,FALSE),"")</f>
        <v>North</v>
      </c>
      <c r="I334" t="s">
        <v>1444</v>
      </c>
      <c r="J334" t="s">
        <v>1450</v>
      </c>
      <c r="K334" t="s">
        <v>1456</v>
      </c>
      <c r="L334" t="s">
        <v>1465</v>
      </c>
      <c r="M334" s="5" t="s">
        <v>1477</v>
      </c>
      <c r="N334" s="18">
        <v>2</v>
      </c>
    </row>
    <row r="335" spans="1:14" x14ac:dyDescent="0.25">
      <c r="A335" s="5" t="s">
        <v>88</v>
      </c>
      <c r="B335" s="7">
        <v>43489</v>
      </c>
      <c r="C335" s="4">
        <v>0.83194444444444438</v>
      </c>
      <c r="D335" s="15">
        <f t="shared" si="10"/>
        <v>19</v>
      </c>
      <c r="E335" s="15" t="str">
        <f t="shared" si="11"/>
        <v>After 15</v>
      </c>
      <c r="F335" t="s">
        <v>89</v>
      </c>
      <c r="G335" s="16" t="str">
        <f>VLOOKUP(F335,DISTRICTS!B$2:C$626,2,FALSE)</f>
        <v>PUENTE DE VALLECAS</v>
      </c>
      <c r="H335" s="16" t="str">
        <f>IFERROR(VLOOKUP(G335,'areas for question 4'!A$2:B$10,2,FALSE),"")</f>
        <v/>
      </c>
      <c r="I335" t="s">
        <v>1449</v>
      </c>
      <c r="J335" t="s">
        <v>1450</v>
      </c>
      <c r="K335" t="s">
        <v>1456</v>
      </c>
      <c r="L335" t="s">
        <v>1465</v>
      </c>
      <c r="M335" s="5" t="s">
        <v>1477</v>
      </c>
      <c r="N335" s="18">
        <v>14</v>
      </c>
    </row>
    <row r="336" spans="1:14" x14ac:dyDescent="0.25">
      <c r="A336" s="5" t="s">
        <v>106</v>
      </c>
      <c r="B336" s="7">
        <v>43495</v>
      </c>
      <c r="C336" s="4">
        <v>0.48680555555555555</v>
      </c>
      <c r="D336" s="15">
        <f t="shared" si="10"/>
        <v>11</v>
      </c>
      <c r="E336" s="15" t="str">
        <f t="shared" si="11"/>
        <v>Before 15</v>
      </c>
      <c r="F336" t="s">
        <v>107</v>
      </c>
      <c r="G336" s="16" t="str">
        <f>VLOOKUP(F336,DISTRICTS!B$2:C$626,2,FALSE)</f>
        <v>CARABANCHEL</v>
      </c>
      <c r="H336" s="16" t="str">
        <f>IFERROR(VLOOKUP(G336,'areas for question 4'!A$2:B$10,2,FALSE),"")</f>
        <v/>
      </c>
      <c r="I336" t="s">
        <v>1445</v>
      </c>
      <c r="J336" t="s">
        <v>1450</v>
      </c>
      <c r="K336" t="s">
        <v>1456</v>
      </c>
      <c r="L336" t="s">
        <v>1465</v>
      </c>
      <c r="M336" s="5" t="s">
        <v>1477</v>
      </c>
      <c r="N336" s="18" t="s">
        <v>34</v>
      </c>
    </row>
    <row r="337" spans="1:14" x14ac:dyDescent="0.25">
      <c r="A337" t="s">
        <v>122</v>
      </c>
      <c r="B337" s="7">
        <v>43502</v>
      </c>
      <c r="C337" s="4">
        <v>0.81944444444444453</v>
      </c>
      <c r="D337" s="15">
        <f t="shared" si="10"/>
        <v>19</v>
      </c>
      <c r="E337" s="15" t="str">
        <f t="shared" si="11"/>
        <v>After 15</v>
      </c>
      <c r="F337" t="s">
        <v>123</v>
      </c>
      <c r="G337" s="16" t="str">
        <f>VLOOKUP(F337,DISTRICTS!B$2:C$626,2,FALSE)</f>
        <v>CHAMARTÍN</v>
      </c>
      <c r="H337" s="16" t="str">
        <f>IFERROR(VLOOKUP(G337,'areas for question 4'!A$2:B$10,2,FALSE),"")</f>
        <v>North</v>
      </c>
      <c r="I337" t="s">
        <v>1446</v>
      </c>
      <c r="J337" t="s">
        <v>1450</v>
      </c>
      <c r="K337" t="s">
        <v>1456</v>
      </c>
      <c r="L337" t="s">
        <v>1465</v>
      </c>
      <c r="M337" t="s">
        <v>1477</v>
      </c>
      <c r="N337" s="18">
        <v>6</v>
      </c>
    </row>
    <row r="338" spans="1:14" x14ac:dyDescent="0.25">
      <c r="A338" t="s">
        <v>133</v>
      </c>
      <c r="B338" s="7">
        <v>43503</v>
      </c>
      <c r="C338" s="4">
        <v>0.67361111111111116</v>
      </c>
      <c r="D338" s="15">
        <f t="shared" si="10"/>
        <v>16</v>
      </c>
      <c r="E338" s="15" t="str">
        <f t="shared" si="11"/>
        <v>After 15</v>
      </c>
      <c r="F338" t="s">
        <v>134</v>
      </c>
      <c r="G338" s="16" t="str">
        <f>VLOOKUP(F338,DISTRICTS!B$2:C$626,2,FALSE)</f>
        <v>CHAMBERÍ</v>
      </c>
      <c r="H338" s="16" t="str">
        <f>IFERROR(VLOOKUP(G338,'areas for question 4'!A$2:B$10,2,FALSE),"")</f>
        <v>North</v>
      </c>
      <c r="I338" t="s">
        <v>1441</v>
      </c>
      <c r="K338" t="s">
        <v>1456</v>
      </c>
      <c r="L338" t="s">
        <v>1465</v>
      </c>
      <c r="M338" t="s">
        <v>1477</v>
      </c>
      <c r="N338" s="18" t="s">
        <v>34</v>
      </c>
    </row>
    <row r="339" spans="1:14" x14ac:dyDescent="0.25">
      <c r="A339" t="s">
        <v>149</v>
      </c>
      <c r="B339" s="7">
        <v>43508</v>
      </c>
      <c r="C339" s="4">
        <v>0.79513888888888884</v>
      </c>
      <c r="D339" s="15">
        <f t="shared" si="10"/>
        <v>19</v>
      </c>
      <c r="E339" s="15" t="str">
        <f t="shared" si="11"/>
        <v>After 15</v>
      </c>
      <c r="F339" t="s">
        <v>150</v>
      </c>
      <c r="G339" s="16" t="str">
        <f>VLOOKUP(F339,DISTRICTS!B$2:C$626,2,FALSE)</f>
        <v>CHAMBERÍ</v>
      </c>
      <c r="H339" s="16" t="str">
        <f>IFERROR(VLOOKUP(G339,'areas for question 4'!A$2:B$10,2,FALSE),"")</f>
        <v>North</v>
      </c>
      <c r="I339" t="s">
        <v>1447</v>
      </c>
      <c r="J339" t="s">
        <v>1450</v>
      </c>
      <c r="K339" t="s">
        <v>1456</v>
      </c>
      <c r="L339" t="s">
        <v>1465</v>
      </c>
      <c r="M339" t="s">
        <v>1477</v>
      </c>
      <c r="N339" s="18">
        <v>7</v>
      </c>
    </row>
    <row r="340" spans="1:14" x14ac:dyDescent="0.25">
      <c r="A340" t="s">
        <v>185</v>
      </c>
      <c r="B340" s="7">
        <v>43521</v>
      </c>
      <c r="C340" s="4">
        <v>0.70138888888888884</v>
      </c>
      <c r="D340" s="15">
        <f t="shared" si="10"/>
        <v>16</v>
      </c>
      <c r="E340" s="15" t="str">
        <f t="shared" si="11"/>
        <v>After 15</v>
      </c>
      <c r="F340" t="s">
        <v>186</v>
      </c>
      <c r="G340" s="16" t="str">
        <f>VLOOKUP(F340,DISTRICTS!B$2:C$626,2,FALSE)</f>
        <v>CENTRO</v>
      </c>
      <c r="H340" s="16" t="str">
        <f>IFERROR(VLOOKUP(G340,'areas for question 4'!A$2:B$10,2,FALSE),"")</f>
        <v/>
      </c>
      <c r="I340" t="s">
        <v>1444</v>
      </c>
      <c r="J340" t="s">
        <v>1450</v>
      </c>
      <c r="K340" t="s">
        <v>1456</v>
      </c>
      <c r="L340" t="s">
        <v>1465</v>
      </c>
      <c r="M340" t="s">
        <v>1478</v>
      </c>
      <c r="N340" s="18">
        <v>1</v>
      </c>
    </row>
    <row r="341" spans="1:14" x14ac:dyDescent="0.25">
      <c r="A341" t="s">
        <v>218</v>
      </c>
      <c r="B341" s="7">
        <v>43528</v>
      </c>
      <c r="C341" s="4">
        <v>0.53125</v>
      </c>
      <c r="D341" s="15">
        <f t="shared" si="10"/>
        <v>12</v>
      </c>
      <c r="E341" s="15" t="str">
        <f t="shared" si="11"/>
        <v>Before 15</v>
      </c>
      <c r="F341" t="s">
        <v>197</v>
      </c>
      <c r="G341" s="16" t="str">
        <f>VLOOKUP(F341,DISTRICTS!B$2:C$626,2,FALSE)</f>
        <v>CHAMARTÍN</v>
      </c>
      <c r="H341" s="16" t="str">
        <f>IFERROR(VLOOKUP(G341,'areas for question 4'!A$2:B$10,2,FALSE),"")</f>
        <v>North</v>
      </c>
      <c r="I341" t="s">
        <v>1447</v>
      </c>
      <c r="J341" t="s">
        <v>1450</v>
      </c>
      <c r="K341" t="s">
        <v>1456</v>
      </c>
      <c r="L341" t="s">
        <v>1465</v>
      </c>
      <c r="M341" t="s">
        <v>1478</v>
      </c>
      <c r="N341" s="18">
        <v>1</v>
      </c>
    </row>
    <row r="342" spans="1:14" x14ac:dyDescent="0.25">
      <c r="A342" t="s">
        <v>263</v>
      </c>
      <c r="B342" s="7">
        <v>43540</v>
      </c>
      <c r="C342" s="4">
        <v>0.72916666666666663</v>
      </c>
      <c r="D342" s="15">
        <f t="shared" si="10"/>
        <v>17</v>
      </c>
      <c r="E342" s="15" t="str">
        <f t="shared" si="11"/>
        <v>After 15</v>
      </c>
      <c r="F342" t="s">
        <v>264</v>
      </c>
      <c r="G342" s="16" t="str">
        <f>VLOOKUP(F342,DISTRICTS!B$2:C$626,2,FALSE)</f>
        <v>CHAMBERÍ</v>
      </c>
      <c r="H342" s="16" t="str">
        <f>IFERROR(VLOOKUP(G342,'areas for question 4'!A$2:B$10,2,FALSE),"")</f>
        <v>North</v>
      </c>
      <c r="I342" t="s">
        <v>1441</v>
      </c>
      <c r="J342" t="s">
        <v>1450</v>
      </c>
      <c r="K342" t="s">
        <v>1456</v>
      </c>
      <c r="L342" t="s">
        <v>1465</v>
      </c>
      <c r="M342" t="s">
        <v>1477</v>
      </c>
      <c r="N342" s="18">
        <v>7</v>
      </c>
    </row>
    <row r="343" spans="1:14" x14ac:dyDescent="0.25">
      <c r="A343" t="s">
        <v>285</v>
      </c>
      <c r="B343" s="7">
        <v>43544</v>
      </c>
      <c r="C343" s="4">
        <v>0.6875</v>
      </c>
      <c r="D343" s="15">
        <f t="shared" si="10"/>
        <v>16</v>
      </c>
      <c r="E343" s="15" t="str">
        <f t="shared" si="11"/>
        <v>After 15</v>
      </c>
      <c r="F343" t="s">
        <v>286</v>
      </c>
      <c r="G343" s="16" t="str">
        <f>VLOOKUP(F343,DISTRICTS!B$2:C$626,2,FALSE)</f>
        <v>CENTRO</v>
      </c>
      <c r="H343" s="16" t="str">
        <f>IFERROR(VLOOKUP(G343,'areas for question 4'!A$2:B$10,2,FALSE),"")</f>
        <v/>
      </c>
      <c r="I343" t="s">
        <v>1444</v>
      </c>
      <c r="J343" t="s">
        <v>1450</v>
      </c>
      <c r="K343" t="s">
        <v>1456</v>
      </c>
      <c r="L343" t="s">
        <v>1465</v>
      </c>
      <c r="M343" t="s">
        <v>1478</v>
      </c>
      <c r="N343" s="18">
        <v>7</v>
      </c>
    </row>
    <row r="344" spans="1:14" x14ac:dyDescent="0.25">
      <c r="A344" t="s">
        <v>368</v>
      </c>
      <c r="B344" s="7">
        <v>43564</v>
      </c>
      <c r="C344" s="4">
        <v>0.54513888888888895</v>
      </c>
      <c r="D344" s="15">
        <f t="shared" si="10"/>
        <v>13</v>
      </c>
      <c r="E344" s="15" t="str">
        <f t="shared" si="11"/>
        <v>Before 15</v>
      </c>
      <c r="F344" t="s">
        <v>369</v>
      </c>
      <c r="G344" s="16" t="str">
        <f>VLOOKUP(F344,DISTRICTS!B$2:C$626,2,FALSE)</f>
        <v>CENTRO</v>
      </c>
      <c r="H344" s="16" t="str">
        <f>IFERROR(VLOOKUP(G344,'areas for question 4'!A$2:B$10,2,FALSE),"")</f>
        <v/>
      </c>
      <c r="I344" t="s">
        <v>1449</v>
      </c>
      <c r="J344" t="s">
        <v>1454</v>
      </c>
      <c r="K344" t="s">
        <v>1456</v>
      </c>
      <c r="L344" t="s">
        <v>1465</v>
      </c>
      <c r="M344" t="s">
        <v>1477</v>
      </c>
      <c r="N344" s="18">
        <v>7</v>
      </c>
    </row>
    <row r="345" spans="1:14" x14ac:dyDescent="0.25">
      <c r="A345" t="s">
        <v>377</v>
      </c>
      <c r="B345" s="7">
        <v>43566</v>
      </c>
      <c r="C345" s="4">
        <v>0.375</v>
      </c>
      <c r="D345" s="15">
        <f t="shared" si="10"/>
        <v>9</v>
      </c>
      <c r="E345" s="15" t="str">
        <f t="shared" si="11"/>
        <v>Before 15</v>
      </c>
      <c r="F345" t="s">
        <v>378</v>
      </c>
      <c r="G345" s="16" t="str">
        <f>VLOOKUP(F345,DISTRICTS!B$2:C$626,2,FALSE)</f>
        <v>TETUÁN</v>
      </c>
      <c r="H345" s="16" t="str">
        <f>IFERROR(VLOOKUP(G345,'areas for question 4'!A$2:B$10,2,FALSE),"")</f>
        <v>North</v>
      </c>
      <c r="I345" t="s">
        <v>1447</v>
      </c>
      <c r="J345" t="s">
        <v>1450</v>
      </c>
      <c r="K345" t="s">
        <v>1456</v>
      </c>
      <c r="L345" t="s">
        <v>1465</v>
      </c>
      <c r="M345" t="s">
        <v>1477</v>
      </c>
      <c r="N345" s="18">
        <v>1</v>
      </c>
    </row>
    <row r="346" spans="1:14" x14ac:dyDescent="0.25">
      <c r="A346" t="s">
        <v>383</v>
      </c>
      <c r="B346" s="7">
        <v>43567</v>
      </c>
      <c r="C346" s="4">
        <v>0.50694444444444442</v>
      </c>
      <c r="D346" s="15">
        <f t="shared" si="10"/>
        <v>12</v>
      </c>
      <c r="E346" s="15" t="str">
        <f t="shared" si="11"/>
        <v>Before 15</v>
      </c>
      <c r="F346" t="s">
        <v>384</v>
      </c>
      <c r="G346" s="16" t="str">
        <f>VLOOKUP(F346,DISTRICTS!B$2:C$626,2,FALSE)</f>
        <v>TETUÁN</v>
      </c>
      <c r="H346" s="16" t="str">
        <f>IFERROR(VLOOKUP(G346,'areas for question 4'!A$2:B$10,2,FALSE),"")</f>
        <v>North</v>
      </c>
      <c r="I346" t="s">
        <v>1446</v>
      </c>
      <c r="J346" t="s">
        <v>1450</v>
      </c>
      <c r="K346" t="s">
        <v>1456</v>
      </c>
      <c r="L346" t="s">
        <v>1465</v>
      </c>
      <c r="M346" t="s">
        <v>1477</v>
      </c>
      <c r="N346" s="18">
        <v>7</v>
      </c>
    </row>
    <row r="347" spans="1:14" x14ac:dyDescent="0.25">
      <c r="A347" t="s">
        <v>385</v>
      </c>
      <c r="B347" s="7">
        <v>43569</v>
      </c>
      <c r="C347" s="4">
        <v>0.69791666666666663</v>
      </c>
      <c r="D347" s="15">
        <f t="shared" si="10"/>
        <v>16</v>
      </c>
      <c r="E347" s="15" t="str">
        <f t="shared" si="11"/>
        <v>After 15</v>
      </c>
      <c r="F347" t="s">
        <v>386</v>
      </c>
      <c r="G347" s="16" t="str">
        <f>VLOOKUP(F347,DISTRICTS!B$2:C$626,2,FALSE)</f>
        <v>CENTRO</v>
      </c>
      <c r="H347" s="16" t="str">
        <f>IFERROR(VLOOKUP(G347,'areas for question 4'!A$2:B$10,2,FALSE),"")</f>
        <v/>
      </c>
      <c r="I347" t="s">
        <v>1441</v>
      </c>
      <c r="J347" t="s">
        <v>1450</v>
      </c>
      <c r="K347" t="s">
        <v>1456</v>
      </c>
      <c r="L347" t="s">
        <v>1465</v>
      </c>
      <c r="M347" t="s">
        <v>1477</v>
      </c>
      <c r="N347" s="18">
        <v>7</v>
      </c>
    </row>
    <row r="348" spans="1:14" x14ac:dyDescent="0.25">
      <c r="A348" t="s">
        <v>389</v>
      </c>
      <c r="B348" s="7">
        <v>43571</v>
      </c>
      <c r="C348" s="4">
        <v>0.35416666666666669</v>
      </c>
      <c r="D348" s="15">
        <f t="shared" si="10"/>
        <v>8</v>
      </c>
      <c r="E348" s="15" t="str">
        <f t="shared" si="11"/>
        <v>Before 15</v>
      </c>
      <c r="F348" t="s">
        <v>390</v>
      </c>
      <c r="G348" s="16" t="str">
        <f>VLOOKUP(F348,DISTRICTS!B$2:C$626,2,FALSE)</f>
        <v>CENTRO</v>
      </c>
      <c r="H348" s="16" t="str">
        <f>IFERROR(VLOOKUP(G348,'areas for question 4'!A$2:B$10,2,FALSE),"")</f>
        <v/>
      </c>
      <c r="I348" t="s">
        <v>1444</v>
      </c>
      <c r="J348" t="s">
        <v>1450</v>
      </c>
      <c r="K348" t="s">
        <v>1456</v>
      </c>
      <c r="L348" t="s">
        <v>1465</v>
      </c>
      <c r="M348" t="s">
        <v>1478</v>
      </c>
      <c r="N348" s="18">
        <v>5</v>
      </c>
    </row>
    <row r="349" spans="1:14" x14ac:dyDescent="0.25">
      <c r="A349" t="s">
        <v>395</v>
      </c>
      <c r="B349" s="7">
        <v>43575</v>
      </c>
      <c r="C349" s="4">
        <v>0.875</v>
      </c>
      <c r="D349" s="15">
        <f t="shared" si="10"/>
        <v>21</v>
      </c>
      <c r="E349" s="15" t="str">
        <f t="shared" si="11"/>
        <v>After 15</v>
      </c>
      <c r="F349" t="s">
        <v>156</v>
      </c>
      <c r="G349" s="16" t="str">
        <f>VLOOKUP(F349,DISTRICTS!B$2:C$626,2,FALSE)</f>
        <v>CHAMBERÍ</v>
      </c>
      <c r="H349" s="16" t="str">
        <f>IFERROR(VLOOKUP(G349,'areas for question 4'!A$2:B$10,2,FALSE),"")</f>
        <v>North</v>
      </c>
      <c r="I349" t="s">
        <v>1446</v>
      </c>
      <c r="J349" t="s">
        <v>1450</v>
      </c>
      <c r="K349" t="s">
        <v>1456</v>
      </c>
      <c r="L349" t="s">
        <v>1465</v>
      </c>
      <c r="M349" t="s">
        <v>1477</v>
      </c>
      <c r="N349" s="18">
        <v>7</v>
      </c>
    </row>
    <row r="350" spans="1:14" x14ac:dyDescent="0.25">
      <c r="A350" t="s">
        <v>410</v>
      </c>
      <c r="B350" s="7">
        <v>43582</v>
      </c>
      <c r="C350" s="4">
        <v>0.44444444444444442</v>
      </c>
      <c r="D350" s="15">
        <f t="shared" si="10"/>
        <v>10</v>
      </c>
      <c r="E350" s="15" t="str">
        <f t="shared" si="11"/>
        <v>Before 15</v>
      </c>
      <c r="F350" t="s">
        <v>411</v>
      </c>
      <c r="G350" s="16" t="str">
        <f>VLOOKUP(F350,DISTRICTS!B$2:C$626,2,FALSE)</f>
        <v>SAN BLAS-CANILLEJAS</v>
      </c>
      <c r="H350" s="16" t="str">
        <f>IFERROR(VLOOKUP(G350,'areas for question 4'!A$2:B$10,2,FALSE),"")</f>
        <v>East</v>
      </c>
      <c r="I350" t="s">
        <v>1446</v>
      </c>
      <c r="J350" t="s">
        <v>1450</v>
      </c>
      <c r="K350" t="s">
        <v>1456</v>
      </c>
      <c r="L350" t="s">
        <v>1465</v>
      </c>
      <c r="M350" t="s">
        <v>1477</v>
      </c>
      <c r="N350" s="18">
        <v>2</v>
      </c>
    </row>
    <row r="351" spans="1:14" x14ac:dyDescent="0.25">
      <c r="A351" t="s">
        <v>412</v>
      </c>
      <c r="B351" s="7">
        <v>43583</v>
      </c>
      <c r="C351" s="4">
        <v>0.71875</v>
      </c>
      <c r="D351" s="15">
        <f t="shared" si="10"/>
        <v>17</v>
      </c>
      <c r="E351" s="15" t="str">
        <f t="shared" si="11"/>
        <v>After 15</v>
      </c>
      <c r="F351" t="s">
        <v>413</v>
      </c>
      <c r="G351" s="16" t="str">
        <f>VLOOKUP(F351,DISTRICTS!B$2:C$626,2,FALSE)</f>
        <v>FUENCARRAL-EL PARDO</v>
      </c>
      <c r="H351" s="16" t="str">
        <f>IFERROR(VLOOKUP(G351,'areas for question 4'!A$2:B$10,2,FALSE),"")</f>
        <v>North</v>
      </c>
      <c r="I351" t="s">
        <v>1447</v>
      </c>
      <c r="J351" t="s">
        <v>1450</v>
      </c>
      <c r="K351" t="s">
        <v>1456</v>
      </c>
      <c r="L351" t="s">
        <v>1465</v>
      </c>
      <c r="M351" t="s">
        <v>1477</v>
      </c>
      <c r="N351" s="18">
        <v>2</v>
      </c>
    </row>
    <row r="352" spans="1:14" x14ac:dyDescent="0.25">
      <c r="A352" t="s">
        <v>433</v>
      </c>
      <c r="B352" s="7">
        <v>43592</v>
      </c>
      <c r="C352" s="4">
        <v>0.5625</v>
      </c>
      <c r="D352" s="15">
        <f t="shared" si="10"/>
        <v>13</v>
      </c>
      <c r="E352" s="15" t="str">
        <f t="shared" si="11"/>
        <v>Before 15</v>
      </c>
      <c r="F352" t="s">
        <v>434</v>
      </c>
      <c r="G352" s="16" t="str">
        <f>VLOOKUP(F352,DISTRICTS!B$2:C$626,2,FALSE)</f>
        <v>CHAMBERÍ</v>
      </c>
      <c r="H352" s="16" t="str">
        <f>IFERROR(VLOOKUP(G352,'areas for question 4'!A$2:B$10,2,FALSE),"")</f>
        <v>North</v>
      </c>
      <c r="I352" t="s">
        <v>1446</v>
      </c>
      <c r="J352" t="s">
        <v>1450</v>
      </c>
      <c r="K352" t="s">
        <v>1456</v>
      </c>
      <c r="L352" t="s">
        <v>1465</v>
      </c>
      <c r="M352" t="s">
        <v>1478</v>
      </c>
      <c r="N352" s="18">
        <v>7</v>
      </c>
    </row>
    <row r="353" spans="1:14" x14ac:dyDescent="0.25">
      <c r="A353" t="s">
        <v>437</v>
      </c>
      <c r="B353" s="7">
        <v>43595</v>
      </c>
      <c r="C353" s="4">
        <v>0.83333333333333337</v>
      </c>
      <c r="D353" s="15">
        <f t="shared" si="10"/>
        <v>20</v>
      </c>
      <c r="E353" s="15" t="str">
        <f t="shared" si="11"/>
        <v>After 15</v>
      </c>
      <c r="F353" t="s">
        <v>438</v>
      </c>
      <c r="G353" s="16" t="str">
        <f>VLOOKUP(F353,DISTRICTS!B$2:C$626,2,FALSE)</f>
        <v>TETUÁN</v>
      </c>
      <c r="H353" s="16" t="str">
        <f>IFERROR(VLOOKUP(G353,'areas for question 4'!A$2:B$10,2,FALSE),"")</f>
        <v>North</v>
      </c>
      <c r="I353" t="s">
        <v>1441</v>
      </c>
      <c r="J353" t="s">
        <v>1450</v>
      </c>
      <c r="K353" t="s">
        <v>1456</v>
      </c>
      <c r="L353" t="s">
        <v>1465</v>
      </c>
      <c r="M353" t="s">
        <v>1477</v>
      </c>
      <c r="N353" s="18">
        <v>7</v>
      </c>
    </row>
    <row r="354" spans="1:14" x14ac:dyDescent="0.25">
      <c r="A354" t="s">
        <v>465</v>
      </c>
      <c r="B354" s="7">
        <v>43599</v>
      </c>
      <c r="C354" s="4">
        <v>0.60416666666666663</v>
      </c>
      <c r="D354" s="15">
        <f t="shared" si="10"/>
        <v>14</v>
      </c>
      <c r="E354" s="15" t="str">
        <f t="shared" si="11"/>
        <v>Before 15</v>
      </c>
      <c r="F354" t="s">
        <v>466</v>
      </c>
      <c r="G354" s="16" t="str">
        <f>VLOOKUP(F354,DISTRICTS!B$2:C$626,2,FALSE)</f>
        <v>CENTRO</v>
      </c>
      <c r="H354" s="16" t="str">
        <f>IFERROR(VLOOKUP(G354,'areas for question 4'!A$2:B$10,2,FALSE),"")</f>
        <v/>
      </c>
      <c r="I354" t="s">
        <v>1444</v>
      </c>
      <c r="J354" t="s">
        <v>1450</v>
      </c>
      <c r="K354" t="s">
        <v>1456</v>
      </c>
      <c r="L354" t="s">
        <v>1465</v>
      </c>
      <c r="M354" t="s">
        <v>1477</v>
      </c>
      <c r="N354" s="18">
        <v>7</v>
      </c>
    </row>
    <row r="355" spans="1:14" x14ac:dyDescent="0.25">
      <c r="A355" t="s">
        <v>493</v>
      </c>
      <c r="B355" s="7">
        <v>43604</v>
      </c>
      <c r="C355" s="4">
        <v>0.17708333333333334</v>
      </c>
      <c r="D355" s="15">
        <f t="shared" si="10"/>
        <v>4</v>
      </c>
      <c r="E355" s="15" t="str">
        <f t="shared" si="11"/>
        <v>Before 15</v>
      </c>
      <c r="F355" t="s">
        <v>258</v>
      </c>
      <c r="G355" s="16" t="str">
        <f>VLOOKUP(F355,DISTRICTS!B$2:C$626,2,FALSE)</f>
        <v>TETUÁN</v>
      </c>
      <c r="H355" s="16" t="str">
        <f>IFERROR(VLOOKUP(G355,'areas for question 4'!A$2:B$10,2,FALSE),"")</f>
        <v>North</v>
      </c>
      <c r="I355" t="s">
        <v>1444</v>
      </c>
      <c r="J355" t="s">
        <v>1450</v>
      </c>
      <c r="K355" t="s">
        <v>1456</v>
      </c>
      <c r="L355" t="s">
        <v>1465</v>
      </c>
      <c r="M355" t="s">
        <v>1478</v>
      </c>
      <c r="N355" s="18">
        <v>7</v>
      </c>
    </row>
    <row r="356" spans="1:14" x14ac:dyDescent="0.25">
      <c r="A356" t="s">
        <v>501</v>
      </c>
      <c r="B356" s="7">
        <v>43606</v>
      </c>
      <c r="C356" s="4">
        <v>0.79166666666666663</v>
      </c>
      <c r="D356" s="15">
        <f t="shared" si="10"/>
        <v>19</v>
      </c>
      <c r="E356" s="15" t="str">
        <f t="shared" si="11"/>
        <v>After 15</v>
      </c>
      <c r="F356" t="s">
        <v>372</v>
      </c>
      <c r="G356" s="16" t="str">
        <f>VLOOKUP(F356,DISTRICTS!B$2:C$626,2,FALSE)</f>
        <v>RETIRO</v>
      </c>
      <c r="H356" s="16" t="str">
        <f>IFERROR(VLOOKUP(G356,'areas for question 4'!A$2:B$10,2,FALSE),"")</f>
        <v/>
      </c>
      <c r="I356" t="s">
        <v>1444</v>
      </c>
      <c r="J356" t="s">
        <v>1450</v>
      </c>
      <c r="K356" t="s">
        <v>1456</v>
      </c>
      <c r="L356" t="s">
        <v>1465</v>
      </c>
      <c r="M356" t="s">
        <v>1478</v>
      </c>
      <c r="N356" s="18">
        <v>7</v>
      </c>
    </row>
    <row r="357" spans="1:14" x14ac:dyDescent="0.25">
      <c r="A357" t="s">
        <v>558</v>
      </c>
      <c r="B357" s="7">
        <v>43617</v>
      </c>
      <c r="C357" s="4">
        <v>0.53819444444444442</v>
      </c>
      <c r="D357" s="15">
        <f t="shared" si="10"/>
        <v>12</v>
      </c>
      <c r="E357" s="15" t="str">
        <f t="shared" si="11"/>
        <v>Before 15</v>
      </c>
      <c r="F357" t="s">
        <v>559</v>
      </c>
      <c r="G357" s="16" t="str">
        <f>VLOOKUP(F357,DISTRICTS!B$2:C$626,2,FALSE)</f>
        <v>VILLAVERDE</v>
      </c>
      <c r="H357" s="16" t="str">
        <f>IFERROR(VLOOKUP(G357,'areas for question 4'!A$2:B$10,2,FALSE),"")</f>
        <v/>
      </c>
      <c r="I357" t="s">
        <v>1443</v>
      </c>
      <c r="J357" t="s">
        <v>1450</v>
      </c>
      <c r="K357" t="s">
        <v>1458</v>
      </c>
      <c r="L357" t="s">
        <v>1465</v>
      </c>
      <c r="M357" t="s">
        <v>1478</v>
      </c>
      <c r="N357" s="18">
        <v>7</v>
      </c>
    </row>
    <row r="358" spans="1:14" x14ac:dyDescent="0.25">
      <c r="A358" t="s">
        <v>571</v>
      </c>
      <c r="B358" s="7">
        <v>43619</v>
      </c>
      <c r="C358" s="4">
        <v>0.64027777777777783</v>
      </c>
      <c r="D358" s="15">
        <f t="shared" si="10"/>
        <v>15</v>
      </c>
      <c r="E358" s="15" t="str">
        <f t="shared" si="11"/>
        <v>After 15</v>
      </c>
      <c r="F358" t="s">
        <v>572</v>
      </c>
      <c r="G358" s="16" t="str">
        <f>VLOOKUP(F358,DISTRICTS!B$2:C$626,2,FALSE)</f>
        <v>CHAMBERÍ</v>
      </c>
      <c r="H358" s="16" t="str">
        <f>IFERROR(VLOOKUP(G358,'areas for question 4'!A$2:B$10,2,FALSE),"")</f>
        <v>North</v>
      </c>
      <c r="I358" t="s">
        <v>1443</v>
      </c>
      <c r="J358" t="s">
        <v>1450</v>
      </c>
      <c r="K358" t="s">
        <v>1458</v>
      </c>
      <c r="L358" t="s">
        <v>1465</v>
      </c>
      <c r="M358" t="s">
        <v>1478</v>
      </c>
      <c r="N358" s="18">
        <v>6</v>
      </c>
    </row>
    <row r="359" spans="1:14" x14ac:dyDescent="0.25">
      <c r="A359" t="s">
        <v>600</v>
      </c>
      <c r="B359" s="7">
        <v>43625</v>
      </c>
      <c r="C359" s="4">
        <v>0.90277777777777779</v>
      </c>
      <c r="D359" s="15">
        <f t="shared" si="10"/>
        <v>21</v>
      </c>
      <c r="E359" s="15" t="str">
        <f t="shared" si="11"/>
        <v>After 15</v>
      </c>
      <c r="F359" t="s">
        <v>601</v>
      </c>
      <c r="G359" s="16" t="str">
        <f>VLOOKUP(F359,DISTRICTS!B$2:C$626,2,FALSE)</f>
        <v>CENTRO</v>
      </c>
      <c r="H359" s="16" t="str">
        <f>IFERROR(VLOOKUP(G359,'areas for question 4'!A$2:B$10,2,FALSE),"")</f>
        <v/>
      </c>
      <c r="I359" t="s">
        <v>1441</v>
      </c>
      <c r="J359" t="s">
        <v>1450</v>
      </c>
      <c r="K359" t="s">
        <v>1456</v>
      </c>
      <c r="L359" t="s">
        <v>1465</v>
      </c>
      <c r="M359" t="s">
        <v>1477</v>
      </c>
      <c r="N359" s="18">
        <v>7</v>
      </c>
    </row>
    <row r="360" spans="1:14" x14ac:dyDescent="0.25">
      <c r="A360" t="s">
        <v>636</v>
      </c>
      <c r="B360" s="7">
        <v>43630</v>
      </c>
      <c r="C360" s="4">
        <v>0.36805555555555558</v>
      </c>
      <c r="D360" s="15">
        <f t="shared" si="10"/>
        <v>8</v>
      </c>
      <c r="E360" s="15" t="str">
        <f t="shared" si="11"/>
        <v>Before 15</v>
      </c>
      <c r="F360" t="s">
        <v>637</v>
      </c>
      <c r="G360" s="16" t="str">
        <f>VLOOKUP(F360,DISTRICTS!B$2:C$626,2,FALSE)</f>
        <v>USERA</v>
      </c>
      <c r="H360" s="16" t="str">
        <f>IFERROR(VLOOKUP(G360,'areas for question 4'!A$2:B$10,2,FALSE),"")</f>
        <v/>
      </c>
      <c r="I360" t="s">
        <v>1447</v>
      </c>
      <c r="J360" t="s">
        <v>1450</v>
      </c>
      <c r="K360" t="s">
        <v>1456</v>
      </c>
      <c r="L360" t="s">
        <v>1465</v>
      </c>
      <c r="M360" t="s">
        <v>1477</v>
      </c>
      <c r="N360" s="18" t="s">
        <v>34</v>
      </c>
    </row>
    <row r="361" spans="1:14" x14ac:dyDescent="0.25">
      <c r="A361" t="s">
        <v>644</v>
      </c>
      <c r="B361" s="7">
        <v>43631</v>
      </c>
      <c r="C361" s="4">
        <v>0.16319444444444445</v>
      </c>
      <c r="D361" s="15">
        <f t="shared" si="10"/>
        <v>3</v>
      </c>
      <c r="E361" s="15" t="str">
        <f t="shared" si="11"/>
        <v>Before 15</v>
      </c>
      <c r="F361" t="s">
        <v>645</v>
      </c>
      <c r="G361" s="16" t="str">
        <f>VLOOKUP(F361,DISTRICTS!B$2:C$626,2,FALSE)</f>
        <v>CHAMBERÍ</v>
      </c>
      <c r="H361" s="16" t="str">
        <f>IFERROR(VLOOKUP(G361,'areas for question 4'!A$2:B$10,2,FALSE),"")</f>
        <v>North</v>
      </c>
      <c r="I361" t="s">
        <v>1444</v>
      </c>
      <c r="J361" t="s">
        <v>1450</v>
      </c>
      <c r="K361" t="s">
        <v>1456</v>
      </c>
      <c r="L361" t="s">
        <v>1465</v>
      </c>
      <c r="M361" t="s">
        <v>1477</v>
      </c>
      <c r="N361" s="18">
        <v>7</v>
      </c>
    </row>
    <row r="362" spans="1:14" x14ac:dyDescent="0.25">
      <c r="A362" t="s">
        <v>650</v>
      </c>
      <c r="B362" s="7">
        <v>43633</v>
      </c>
      <c r="C362" s="4">
        <v>0.44444444444444442</v>
      </c>
      <c r="D362" s="15">
        <f t="shared" si="10"/>
        <v>10</v>
      </c>
      <c r="E362" s="15" t="str">
        <f t="shared" si="11"/>
        <v>Before 15</v>
      </c>
      <c r="F362" t="s">
        <v>258</v>
      </c>
      <c r="G362" s="16" t="str">
        <f>VLOOKUP(F362,DISTRICTS!B$2:C$626,2,FALSE)</f>
        <v>TETUÁN</v>
      </c>
      <c r="H362" s="16" t="str">
        <f>IFERROR(VLOOKUP(G362,'areas for question 4'!A$2:B$10,2,FALSE),"")</f>
        <v>North</v>
      </c>
      <c r="I362" t="s">
        <v>1445</v>
      </c>
      <c r="J362" t="s">
        <v>1450</v>
      </c>
      <c r="K362" t="s">
        <v>1456</v>
      </c>
      <c r="L362" t="s">
        <v>1465</v>
      </c>
      <c r="M362" t="s">
        <v>1477</v>
      </c>
      <c r="N362" s="18">
        <v>14</v>
      </c>
    </row>
    <row r="363" spans="1:14" x14ac:dyDescent="0.25">
      <c r="A363" t="s">
        <v>669</v>
      </c>
      <c r="B363" s="7">
        <v>43639</v>
      </c>
      <c r="C363" s="4">
        <v>0.84375</v>
      </c>
      <c r="D363" s="15">
        <f t="shared" si="10"/>
        <v>20</v>
      </c>
      <c r="E363" s="15" t="str">
        <f t="shared" si="11"/>
        <v>After 15</v>
      </c>
      <c r="F363" t="s">
        <v>670</v>
      </c>
      <c r="G363" s="16" t="str">
        <f>VLOOKUP(F363,DISTRICTS!B$2:C$626,2,FALSE)</f>
        <v>USERA</v>
      </c>
      <c r="H363" s="16" t="str">
        <f>IFERROR(VLOOKUP(G363,'areas for question 4'!A$2:B$10,2,FALSE),"")</f>
        <v/>
      </c>
      <c r="I363" t="s">
        <v>1444</v>
      </c>
      <c r="J363" t="s">
        <v>1450</v>
      </c>
      <c r="K363" t="s">
        <v>1456</v>
      </c>
      <c r="L363" t="s">
        <v>1465</v>
      </c>
      <c r="M363" t="s">
        <v>1477</v>
      </c>
      <c r="N363" s="18">
        <v>1</v>
      </c>
    </row>
    <row r="364" spans="1:14" x14ac:dyDescent="0.25">
      <c r="A364" t="s">
        <v>671</v>
      </c>
      <c r="B364" s="7">
        <v>43639</v>
      </c>
      <c r="C364" s="4">
        <v>0.83333333333333337</v>
      </c>
      <c r="D364" s="15">
        <f t="shared" si="10"/>
        <v>20</v>
      </c>
      <c r="E364" s="15" t="str">
        <f t="shared" si="11"/>
        <v>After 15</v>
      </c>
      <c r="F364" t="s">
        <v>672</v>
      </c>
      <c r="G364" s="16" t="str">
        <f>VLOOKUP(F364,DISTRICTS!B$2:C$626,2,FALSE)</f>
        <v>CIUDAD LINEAL</v>
      </c>
      <c r="H364" s="16" t="str">
        <f>IFERROR(VLOOKUP(G364,'areas for question 4'!A$2:B$10,2,FALSE),"")</f>
        <v>East</v>
      </c>
      <c r="I364" t="s">
        <v>1441</v>
      </c>
      <c r="J364" t="s">
        <v>1450</v>
      </c>
      <c r="K364" t="s">
        <v>1456</v>
      </c>
      <c r="L364" t="s">
        <v>1465</v>
      </c>
      <c r="M364" t="s">
        <v>1477</v>
      </c>
      <c r="N364" s="18">
        <v>3</v>
      </c>
    </row>
    <row r="365" spans="1:14" x14ac:dyDescent="0.25">
      <c r="A365" t="s">
        <v>676</v>
      </c>
      <c r="B365" s="7">
        <v>43639</v>
      </c>
      <c r="C365" s="4">
        <v>0.30902777777777779</v>
      </c>
      <c r="D365" s="15">
        <f t="shared" si="10"/>
        <v>7</v>
      </c>
      <c r="E365" s="15" t="str">
        <f t="shared" si="11"/>
        <v>Before 15</v>
      </c>
      <c r="F365" t="s">
        <v>677</v>
      </c>
      <c r="G365" s="16" t="str">
        <f>VLOOKUP(F365,DISTRICTS!B$2:C$626,2,FALSE)</f>
        <v>VILLA DE VALLECAS</v>
      </c>
      <c r="H365" s="16" t="str">
        <f>IFERROR(VLOOKUP(G365,'areas for question 4'!A$2:B$10,2,FALSE),"")</f>
        <v/>
      </c>
      <c r="I365" t="s">
        <v>1446</v>
      </c>
      <c r="J365" t="s">
        <v>1450</v>
      </c>
      <c r="K365" t="s">
        <v>1456</v>
      </c>
      <c r="L365" t="s">
        <v>1465</v>
      </c>
      <c r="M365" t="s">
        <v>1477</v>
      </c>
      <c r="N365" s="18">
        <v>7</v>
      </c>
    </row>
    <row r="366" spans="1:14" x14ac:dyDescent="0.25">
      <c r="A366" t="s">
        <v>694</v>
      </c>
      <c r="B366" s="7">
        <v>43644</v>
      </c>
      <c r="C366" s="4">
        <v>0.83333333333333337</v>
      </c>
      <c r="D366" s="15">
        <f t="shared" si="10"/>
        <v>20</v>
      </c>
      <c r="E366" s="15" t="str">
        <f t="shared" si="11"/>
        <v>After 15</v>
      </c>
      <c r="F366" t="s">
        <v>695</v>
      </c>
      <c r="G366" s="16" t="str">
        <f>VLOOKUP(F366,DISTRICTS!B$2:C$626,2,FALSE)</f>
        <v>VILLA DE VALLECAS</v>
      </c>
      <c r="H366" s="16" t="str">
        <f>IFERROR(VLOOKUP(G366,'areas for question 4'!A$2:B$10,2,FALSE),"")</f>
        <v/>
      </c>
      <c r="I366" t="s">
        <v>1441</v>
      </c>
      <c r="J366" t="s">
        <v>1450</v>
      </c>
      <c r="K366" t="s">
        <v>1456</v>
      </c>
      <c r="L366" t="s">
        <v>1465</v>
      </c>
      <c r="M366" t="s">
        <v>1477</v>
      </c>
      <c r="N366" s="18">
        <v>7</v>
      </c>
    </row>
    <row r="367" spans="1:14" x14ac:dyDescent="0.25">
      <c r="A367" t="s">
        <v>698</v>
      </c>
      <c r="B367" s="7">
        <v>43644</v>
      </c>
      <c r="C367" s="4">
        <v>0.46875</v>
      </c>
      <c r="D367" s="15">
        <f t="shared" si="10"/>
        <v>11</v>
      </c>
      <c r="E367" s="15" t="str">
        <f t="shared" si="11"/>
        <v>Before 15</v>
      </c>
      <c r="F367" t="s">
        <v>699</v>
      </c>
      <c r="G367" s="16" t="str">
        <f>VLOOKUP(F367,DISTRICTS!B$2:C$626,2,FALSE)</f>
        <v>CENTRO</v>
      </c>
      <c r="H367" s="16" t="str">
        <f>IFERROR(VLOOKUP(G367,'areas for question 4'!A$2:B$10,2,FALSE),"")</f>
        <v/>
      </c>
      <c r="I367" t="s">
        <v>1446</v>
      </c>
      <c r="J367" t="s">
        <v>1450</v>
      </c>
      <c r="K367" t="s">
        <v>1456</v>
      </c>
      <c r="L367" t="s">
        <v>1465</v>
      </c>
      <c r="M367" t="s">
        <v>1478</v>
      </c>
      <c r="N367" s="18">
        <v>2</v>
      </c>
    </row>
    <row r="368" spans="1:14" x14ac:dyDescent="0.25">
      <c r="A368" t="s">
        <v>708</v>
      </c>
      <c r="B368" s="7">
        <v>43646</v>
      </c>
      <c r="C368" s="4">
        <v>0.33124999999999999</v>
      </c>
      <c r="D368" s="15">
        <f t="shared" si="10"/>
        <v>7</v>
      </c>
      <c r="E368" s="15" t="str">
        <f t="shared" si="11"/>
        <v>Before 15</v>
      </c>
      <c r="F368" t="s">
        <v>349</v>
      </c>
      <c r="G368" s="16" t="str">
        <f>VLOOKUP(F368,DISTRICTS!B$2:C$626,2,FALSE)</f>
        <v>PUENTE DE VALLECAS</v>
      </c>
      <c r="H368" s="16" t="str">
        <f>IFERROR(VLOOKUP(G368,'areas for question 4'!A$2:B$10,2,FALSE),"")</f>
        <v/>
      </c>
      <c r="I368" t="s">
        <v>1446</v>
      </c>
      <c r="J368" t="s">
        <v>1450</v>
      </c>
      <c r="K368" t="s">
        <v>1456</v>
      </c>
      <c r="L368" t="s">
        <v>1465</v>
      </c>
      <c r="M368" t="s">
        <v>1477</v>
      </c>
      <c r="N368" s="18">
        <v>7</v>
      </c>
    </row>
    <row r="369" spans="1:14" x14ac:dyDescent="0.25">
      <c r="A369" t="s">
        <v>723</v>
      </c>
      <c r="B369" s="7">
        <v>43648</v>
      </c>
      <c r="C369" s="4">
        <v>0.3888888888888889</v>
      </c>
      <c r="D369" s="15">
        <f t="shared" si="10"/>
        <v>9</v>
      </c>
      <c r="E369" s="15" t="str">
        <f t="shared" si="11"/>
        <v>Before 15</v>
      </c>
      <c r="F369" t="s">
        <v>724</v>
      </c>
      <c r="G369" s="16" t="str">
        <f>VLOOKUP(F369,DISTRICTS!B$2:C$626,2,FALSE)</f>
        <v>MONCLOA-ARAVACA</v>
      </c>
      <c r="H369" s="16" t="str">
        <f>IFERROR(VLOOKUP(G369,'areas for question 4'!A$2:B$10,2,FALSE),"")</f>
        <v/>
      </c>
      <c r="I369" t="s">
        <v>1443</v>
      </c>
      <c r="J369" t="s">
        <v>1450</v>
      </c>
      <c r="K369" t="s">
        <v>1456</v>
      </c>
      <c r="L369" t="s">
        <v>1465</v>
      </c>
      <c r="M369" t="s">
        <v>1477</v>
      </c>
      <c r="N369" s="18">
        <v>7</v>
      </c>
    </row>
    <row r="370" spans="1:14" x14ac:dyDescent="0.25">
      <c r="A370" t="s">
        <v>741</v>
      </c>
      <c r="B370" s="7">
        <v>43651</v>
      </c>
      <c r="C370" s="4">
        <v>0.39583333333333331</v>
      </c>
      <c r="D370" s="15">
        <f t="shared" si="10"/>
        <v>9</v>
      </c>
      <c r="E370" s="15" t="str">
        <f t="shared" si="11"/>
        <v>Before 15</v>
      </c>
      <c r="F370" t="s">
        <v>742</v>
      </c>
      <c r="G370" s="16" t="str">
        <f>VLOOKUP(F370,DISTRICTS!B$2:C$626,2,FALSE)</f>
        <v>MONCLOA-ARAVACA</v>
      </c>
      <c r="H370" s="16" t="str">
        <f>IFERROR(VLOOKUP(G370,'areas for question 4'!A$2:B$10,2,FALSE),"")</f>
        <v/>
      </c>
      <c r="I370" t="s">
        <v>1444</v>
      </c>
      <c r="J370" t="s">
        <v>1450</v>
      </c>
      <c r="K370" t="s">
        <v>1456</v>
      </c>
      <c r="L370" t="s">
        <v>1465</v>
      </c>
      <c r="M370" t="s">
        <v>1477</v>
      </c>
      <c r="N370" s="18">
        <v>5</v>
      </c>
    </row>
    <row r="371" spans="1:14" x14ac:dyDescent="0.25">
      <c r="A371" t="s">
        <v>758</v>
      </c>
      <c r="B371" s="7">
        <v>43654</v>
      </c>
      <c r="C371" s="4">
        <v>0.44236111111111115</v>
      </c>
      <c r="D371" s="15">
        <f t="shared" si="10"/>
        <v>10</v>
      </c>
      <c r="E371" s="15" t="str">
        <f t="shared" si="11"/>
        <v>Before 15</v>
      </c>
      <c r="F371" t="s">
        <v>759</v>
      </c>
      <c r="G371" s="16" t="str">
        <f>VLOOKUP(F371,DISTRICTS!B$2:C$626,2,FALSE)</f>
        <v>SALAMANCA</v>
      </c>
      <c r="H371" s="16" t="str">
        <f>IFERROR(VLOOKUP(G371,'areas for question 4'!A$2:B$10,2,FALSE),"")</f>
        <v/>
      </c>
      <c r="I371" t="s">
        <v>1446</v>
      </c>
      <c r="J371" t="s">
        <v>1450</v>
      </c>
      <c r="K371" t="s">
        <v>1456</v>
      </c>
      <c r="L371" t="s">
        <v>1465</v>
      </c>
      <c r="M371" t="s">
        <v>1478</v>
      </c>
      <c r="N371" s="18">
        <v>7</v>
      </c>
    </row>
    <row r="372" spans="1:14" x14ac:dyDescent="0.25">
      <c r="A372" t="s">
        <v>762</v>
      </c>
      <c r="B372" s="7">
        <v>43655</v>
      </c>
      <c r="C372" s="4">
        <v>0.64236111111111105</v>
      </c>
      <c r="D372" s="15">
        <f t="shared" si="10"/>
        <v>15</v>
      </c>
      <c r="E372" s="15" t="str">
        <f t="shared" si="11"/>
        <v>After 15</v>
      </c>
      <c r="F372" t="s">
        <v>763</v>
      </c>
      <c r="G372" s="16" t="str">
        <f>VLOOKUP(F372,DISTRICTS!B$2:C$626,2,FALSE)</f>
        <v>CHAMARTÍN</v>
      </c>
      <c r="H372" s="16" t="str">
        <f>IFERROR(VLOOKUP(G372,'areas for question 4'!A$2:B$10,2,FALSE),"")</f>
        <v>North</v>
      </c>
      <c r="I372" t="s">
        <v>1446</v>
      </c>
      <c r="J372" t="s">
        <v>1450</v>
      </c>
      <c r="K372" t="s">
        <v>1456</v>
      </c>
      <c r="L372" t="s">
        <v>1465</v>
      </c>
      <c r="M372" t="s">
        <v>1477</v>
      </c>
      <c r="N372" s="18">
        <v>5</v>
      </c>
    </row>
    <row r="373" spans="1:14" x14ac:dyDescent="0.25">
      <c r="A373" t="s">
        <v>767</v>
      </c>
      <c r="B373" s="7">
        <v>43656</v>
      </c>
      <c r="C373" s="4">
        <v>0.39583333333333331</v>
      </c>
      <c r="D373" s="15">
        <f t="shared" si="10"/>
        <v>9</v>
      </c>
      <c r="E373" s="15" t="str">
        <f t="shared" si="11"/>
        <v>Before 15</v>
      </c>
      <c r="F373" t="s">
        <v>768</v>
      </c>
      <c r="G373" s="16" t="str">
        <f>VLOOKUP(F373,DISTRICTS!B$2:C$626,2,FALSE)</f>
        <v>SAN BLAS-CANILLEJAS</v>
      </c>
      <c r="H373" s="16" t="str">
        <f>IFERROR(VLOOKUP(G373,'areas for question 4'!A$2:B$10,2,FALSE),"")</f>
        <v>East</v>
      </c>
      <c r="I373" t="s">
        <v>1447</v>
      </c>
      <c r="J373" t="s">
        <v>1450</v>
      </c>
      <c r="K373" t="s">
        <v>1456</v>
      </c>
      <c r="L373" t="s">
        <v>1465</v>
      </c>
      <c r="M373" t="s">
        <v>1477</v>
      </c>
      <c r="N373" s="18">
        <v>7</v>
      </c>
    </row>
    <row r="374" spans="1:14" x14ac:dyDescent="0.25">
      <c r="A374" t="s">
        <v>781</v>
      </c>
      <c r="B374" s="7">
        <v>43660</v>
      </c>
      <c r="C374" s="4">
        <v>0.53125</v>
      </c>
      <c r="D374" s="15">
        <f t="shared" si="10"/>
        <v>12</v>
      </c>
      <c r="E374" s="15" t="str">
        <f t="shared" si="11"/>
        <v>Before 15</v>
      </c>
      <c r="F374" t="s">
        <v>372</v>
      </c>
      <c r="G374" s="16" t="str">
        <f>VLOOKUP(F374,DISTRICTS!B$2:C$626,2,FALSE)</f>
        <v>RETIRO</v>
      </c>
      <c r="H374" s="16" t="str">
        <f>IFERROR(VLOOKUP(G374,'areas for question 4'!A$2:B$10,2,FALSE),"")</f>
        <v/>
      </c>
      <c r="I374" t="s">
        <v>1443</v>
      </c>
      <c r="J374" t="s">
        <v>1450</v>
      </c>
      <c r="K374" t="s">
        <v>1456</v>
      </c>
      <c r="L374" t="s">
        <v>1465</v>
      </c>
      <c r="M374" t="s">
        <v>1478</v>
      </c>
      <c r="N374" s="18">
        <v>7</v>
      </c>
    </row>
    <row r="375" spans="1:14" x14ac:dyDescent="0.25">
      <c r="A375" t="s">
        <v>782</v>
      </c>
      <c r="B375" s="7">
        <v>43660</v>
      </c>
      <c r="C375" s="4">
        <v>0.40277777777777773</v>
      </c>
      <c r="D375" s="15">
        <f t="shared" si="10"/>
        <v>9</v>
      </c>
      <c r="E375" s="15" t="str">
        <f t="shared" si="11"/>
        <v>Before 15</v>
      </c>
      <c r="F375" t="s">
        <v>783</v>
      </c>
      <c r="G375" s="16" t="str">
        <f>VLOOKUP(F375,DISTRICTS!B$2:C$626,2,FALSE)</f>
        <v>PUENTE DE VALLECAS</v>
      </c>
      <c r="H375" s="16" t="str">
        <f>IFERROR(VLOOKUP(G375,'areas for question 4'!A$2:B$10,2,FALSE),"")</f>
        <v/>
      </c>
      <c r="I375" t="s">
        <v>1441</v>
      </c>
      <c r="J375" t="s">
        <v>1450</v>
      </c>
      <c r="K375" t="s">
        <v>1456</v>
      </c>
      <c r="L375" t="s">
        <v>1465</v>
      </c>
      <c r="M375" t="s">
        <v>1477</v>
      </c>
      <c r="N375" s="18" t="s">
        <v>34</v>
      </c>
    </row>
    <row r="376" spans="1:14" x14ac:dyDescent="0.25">
      <c r="A376" t="s">
        <v>784</v>
      </c>
      <c r="B376" s="7">
        <v>43661</v>
      </c>
      <c r="C376" s="4">
        <v>0.78472222222222221</v>
      </c>
      <c r="D376" s="15">
        <f t="shared" si="10"/>
        <v>18</v>
      </c>
      <c r="E376" s="15" t="str">
        <f t="shared" si="11"/>
        <v>After 15</v>
      </c>
      <c r="F376" t="s">
        <v>262</v>
      </c>
      <c r="G376" s="16" t="str">
        <f>VLOOKUP(F376,DISTRICTS!B$2:C$626,2,FALSE)</f>
        <v>RETIRO</v>
      </c>
      <c r="H376" s="16" t="str">
        <f>IFERROR(VLOOKUP(G376,'areas for question 4'!A$2:B$10,2,FALSE),"")</f>
        <v/>
      </c>
      <c r="I376" t="s">
        <v>1444</v>
      </c>
      <c r="J376" t="s">
        <v>1450</v>
      </c>
      <c r="K376" t="s">
        <v>1456</v>
      </c>
      <c r="L376" t="s">
        <v>1465</v>
      </c>
      <c r="M376" t="s">
        <v>1478</v>
      </c>
      <c r="N376" s="18">
        <v>5</v>
      </c>
    </row>
    <row r="377" spans="1:14" x14ac:dyDescent="0.25">
      <c r="A377" t="s">
        <v>796</v>
      </c>
      <c r="B377" s="7">
        <v>43663</v>
      </c>
      <c r="C377" s="4">
        <v>0.41666666666666669</v>
      </c>
      <c r="D377" s="15">
        <f t="shared" si="10"/>
        <v>10</v>
      </c>
      <c r="E377" s="15" t="str">
        <f t="shared" si="11"/>
        <v>Before 15</v>
      </c>
      <c r="F377" t="s">
        <v>197</v>
      </c>
      <c r="G377" s="16" t="str">
        <f>VLOOKUP(F377,DISTRICTS!B$2:C$626,2,FALSE)</f>
        <v>CHAMARTÍN</v>
      </c>
      <c r="H377" s="16" t="str">
        <f>IFERROR(VLOOKUP(G377,'areas for question 4'!A$2:B$10,2,FALSE),"")</f>
        <v>North</v>
      </c>
      <c r="I377" t="s">
        <v>1446</v>
      </c>
      <c r="J377" t="s">
        <v>1450</v>
      </c>
      <c r="K377" t="s">
        <v>1456</v>
      </c>
      <c r="L377" t="s">
        <v>1465</v>
      </c>
      <c r="M377" t="s">
        <v>1478</v>
      </c>
      <c r="N377" s="18" t="s">
        <v>34</v>
      </c>
    </row>
    <row r="378" spans="1:14" x14ac:dyDescent="0.25">
      <c r="A378" t="s">
        <v>813</v>
      </c>
      <c r="B378" s="7">
        <v>43668</v>
      </c>
      <c r="C378" s="4">
        <v>0.8125</v>
      </c>
      <c r="D378" s="15">
        <f t="shared" si="10"/>
        <v>19</v>
      </c>
      <c r="E378" s="15" t="str">
        <f t="shared" si="11"/>
        <v>After 15</v>
      </c>
      <c r="F378" t="s">
        <v>103</v>
      </c>
      <c r="G378" s="16" t="str">
        <f>VLOOKUP(F378,DISTRICTS!B$2:C$626,2,FALSE)</f>
        <v>CENTRO</v>
      </c>
      <c r="H378" s="16" t="str">
        <f>IFERROR(VLOOKUP(G378,'areas for question 4'!A$2:B$10,2,FALSE),"")</f>
        <v/>
      </c>
      <c r="I378" t="s">
        <v>1444</v>
      </c>
      <c r="J378" t="s">
        <v>1450</v>
      </c>
      <c r="K378" t="s">
        <v>1456</v>
      </c>
      <c r="L378" t="s">
        <v>1465</v>
      </c>
      <c r="M378" t="s">
        <v>1477</v>
      </c>
      <c r="N378" s="18">
        <v>1</v>
      </c>
    </row>
    <row r="379" spans="1:14" x14ac:dyDescent="0.25">
      <c r="A379" t="s">
        <v>844</v>
      </c>
      <c r="B379" s="7">
        <v>43676</v>
      </c>
      <c r="C379" s="4">
        <v>0.79513888888888884</v>
      </c>
      <c r="D379" s="15">
        <f t="shared" si="10"/>
        <v>19</v>
      </c>
      <c r="E379" s="15" t="str">
        <f t="shared" si="11"/>
        <v>After 15</v>
      </c>
      <c r="F379" t="s">
        <v>595</v>
      </c>
      <c r="G379" s="16" t="str">
        <f>VLOOKUP(F379,DISTRICTS!B$2:C$626,2,FALSE)</f>
        <v>ARGANZUELA</v>
      </c>
      <c r="H379" s="16" t="str">
        <f>IFERROR(VLOOKUP(G379,'areas for question 4'!A$2:B$10,2,FALSE),"")</f>
        <v/>
      </c>
      <c r="I379" t="s">
        <v>1446</v>
      </c>
      <c r="J379" t="s">
        <v>1450</v>
      </c>
      <c r="K379" t="s">
        <v>1456</v>
      </c>
      <c r="L379" t="s">
        <v>1465</v>
      </c>
      <c r="M379" t="s">
        <v>1477</v>
      </c>
      <c r="N379" s="18">
        <v>14</v>
      </c>
    </row>
    <row r="380" spans="1:14" x14ac:dyDescent="0.25">
      <c r="A380" t="s">
        <v>845</v>
      </c>
      <c r="B380" s="7">
        <v>43676</v>
      </c>
      <c r="C380" s="4">
        <v>0.34375</v>
      </c>
      <c r="D380" s="15">
        <f t="shared" si="10"/>
        <v>8</v>
      </c>
      <c r="E380" s="15" t="str">
        <f t="shared" si="11"/>
        <v>Before 15</v>
      </c>
      <c r="F380" t="s">
        <v>846</v>
      </c>
      <c r="G380" s="16" t="str">
        <f>VLOOKUP(F380,DISTRICTS!B$2:C$626,2,FALSE)</f>
        <v>BARAJAS</v>
      </c>
      <c r="H380" s="16" t="str">
        <f>IFERROR(VLOOKUP(G380,'areas for question 4'!A$2:B$10,2,FALSE),"")</f>
        <v>East</v>
      </c>
      <c r="I380" t="s">
        <v>1446</v>
      </c>
      <c r="J380" t="s">
        <v>1450</v>
      </c>
      <c r="K380" t="s">
        <v>1456</v>
      </c>
      <c r="L380" t="s">
        <v>1465</v>
      </c>
      <c r="M380" t="s">
        <v>1477</v>
      </c>
      <c r="N380" s="18">
        <v>2</v>
      </c>
    </row>
    <row r="381" spans="1:14" x14ac:dyDescent="0.25">
      <c r="A381" t="s">
        <v>851</v>
      </c>
      <c r="B381" s="7">
        <v>43678</v>
      </c>
      <c r="C381" s="4">
        <v>0.82291666666666663</v>
      </c>
      <c r="D381" s="15">
        <f t="shared" si="10"/>
        <v>19</v>
      </c>
      <c r="E381" s="15" t="str">
        <f t="shared" si="11"/>
        <v>After 15</v>
      </c>
      <c r="F381" t="s">
        <v>852</v>
      </c>
      <c r="G381" s="16" t="str">
        <f>VLOOKUP(F381,DISTRICTS!B$2:C$626,2,FALSE)</f>
        <v>VILLA DE VALLECAS</v>
      </c>
      <c r="H381" s="16" t="str">
        <f>IFERROR(VLOOKUP(G381,'areas for question 4'!A$2:B$10,2,FALSE),"")</f>
        <v/>
      </c>
      <c r="I381" t="s">
        <v>1441</v>
      </c>
      <c r="J381" t="s">
        <v>1450</v>
      </c>
      <c r="K381" t="s">
        <v>1456</v>
      </c>
      <c r="L381" t="s">
        <v>1465</v>
      </c>
      <c r="M381" t="s">
        <v>1477</v>
      </c>
      <c r="N381" s="18">
        <v>7</v>
      </c>
    </row>
    <row r="382" spans="1:14" x14ac:dyDescent="0.25">
      <c r="A382" t="s">
        <v>853</v>
      </c>
      <c r="B382" s="7">
        <v>43678</v>
      </c>
      <c r="C382" s="4">
        <v>0.40763888888888888</v>
      </c>
      <c r="D382" s="15">
        <f t="shared" si="10"/>
        <v>9</v>
      </c>
      <c r="E382" s="15" t="str">
        <f t="shared" si="11"/>
        <v>Before 15</v>
      </c>
      <c r="F382" t="s">
        <v>854</v>
      </c>
      <c r="G382" s="16" t="str">
        <f>VLOOKUP(F382,DISTRICTS!B$2:C$626,2,FALSE)</f>
        <v>VILLAVERDE</v>
      </c>
      <c r="H382" s="16" t="str">
        <f>IFERROR(VLOOKUP(G382,'areas for question 4'!A$2:B$10,2,FALSE),"")</f>
        <v/>
      </c>
      <c r="I382" t="s">
        <v>1446</v>
      </c>
      <c r="J382" t="s">
        <v>1450</v>
      </c>
      <c r="K382" t="s">
        <v>1456</v>
      </c>
      <c r="L382" t="s">
        <v>1465</v>
      </c>
      <c r="M382" t="s">
        <v>1478</v>
      </c>
      <c r="N382" s="18">
        <v>7</v>
      </c>
    </row>
    <row r="383" spans="1:14" x14ac:dyDescent="0.25">
      <c r="A383" t="s">
        <v>855</v>
      </c>
      <c r="B383" s="7">
        <v>43679</v>
      </c>
      <c r="C383" s="4">
        <v>0.65972222222222221</v>
      </c>
      <c r="D383" s="15">
        <f t="shared" si="10"/>
        <v>15</v>
      </c>
      <c r="E383" s="15" t="str">
        <f t="shared" si="11"/>
        <v>After 15</v>
      </c>
      <c r="F383" t="s">
        <v>856</v>
      </c>
      <c r="G383" s="16" t="str">
        <f>VLOOKUP(F383,DISTRICTS!B$2:C$626,2,FALSE)</f>
        <v>TETUÁN</v>
      </c>
      <c r="H383" s="16" t="str">
        <f>IFERROR(VLOOKUP(G383,'areas for question 4'!A$2:B$10,2,FALSE),"")</f>
        <v>North</v>
      </c>
      <c r="I383" t="s">
        <v>1447</v>
      </c>
      <c r="J383" t="s">
        <v>1450</v>
      </c>
      <c r="K383" t="s">
        <v>1456</v>
      </c>
      <c r="L383" t="s">
        <v>1465</v>
      </c>
      <c r="M383" t="s">
        <v>1477</v>
      </c>
      <c r="N383" s="18">
        <v>2</v>
      </c>
    </row>
    <row r="384" spans="1:14" x14ac:dyDescent="0.25">
      <c r="A384" t="s">
        <v>859</v>
      </c>
      <c r="B384" s="7">
        <v>43679</v>
      </c>
      <c r="C384" s="4">
        <v>0.12569444444444444</v>
      </c>
      <c r="D384" s="15">
        <f t="shared" si="10"/>
        <v>3</v>
      </c>
      <c r="E384" s="15" t="str">
        <f t="shared" si="11"/>
        <v>Before 15</v>
      </c>
      <c r="F384" t="s">
        <v>757</v>
      </c>
      <c r="G384" s="16" t="str">
        <f>VLOOKUP(F384,DISTRICTS!B$2:C$626,2,FALSE)</f>
        <v>ARGANZUELA</v>
      </c>
      <c r="H384" s="16" t="str">
        <f>IFERROR(VLOOKUP(G384,'areas for question 4'!A$2:B$10,2,FALSE),"")</f>
        <v/>
      </c>
      <c r="I384" t="s">
        <v>1444</v>
      </c>
      <c r="J384" t="s">
        <v>1450</v>
      </c>
      <c r="K384" t="s">
        <v>1456</v>
      </c>
      <c r="L384" t="s">
        <v>1465</v>
      </c>
      <c r="M384" t="s">
        <v>1478</v>
      </c>
      <c r="N384" s="18">
        <v>5</v>
      </c>
    </row>
    <row r="385" spans="1:14" x14ac:dyDescent="0.25">
      <c r="A385" t="s">
        <v>861</v>
      </c>
      <c r="B385" s="7">
        <v>43682</v>
      </c>
      <c r="C385" s="4">
        <v>0.91666666666666663</v>
      </c>
      <c r="D385" s="15">
        <f t="shared" si="10"/>
        <v>22</v>
      </c>
      <c r="E385" s="15" t="str">
        <f t="shared" si="11"/>
        <v>After 15</v>
      </c>
      <c r="F385" t="s">
        <v>862</v>
      </c>
      <c r="G385" s="16" t="str">
        <f>VLOOKUP(F385,DISTRICTS!B$2:C$626,2,FALSE)</f>
        <v>LATINA</v>
      </c>
      <c r="H385" s="16" t="str">
        <f>IFERROR(VLOOKUP(G385,'areas for question 4'!A$2:B$10,2,FALSE),"")</f>
        <v/>
      </c>
      <c r="I385" t="s">
        <v>1444</v>
      </c>
      <c r="J385" t="s">
        <v>1450</v>
      </c>
      <c r="K385" t="s">
        <v>1456</v>
      </c>
      <c r="L385" t="s">
        <v>1465</v>
      </c>
      <c r="M385" t="s">
        <v>1477</v>
      </c>
      <c r="N385" s="18">
        <v>3</v>
      </c>
    </row>
    <row r="386" spans="1:14" x14ac:dyDescent="0.25">
      <c r="A386" t="s">
        <v>886</v>
      </c>
      <c r="B386" s="7">
        <v>43687</v>
      </c>
      <c r="C386" s="4">
        <v>0.51041666666666663</v>
      </c>
      <c r="D386" s="15">
        <f t="shared" si="10"/>
        <v>12</v>
      </c>
      <c r="E386" s="15" t="str">
        <f t="shared" si="11"/>
        <v>Before 15</v>
      </c>
      <c r="F386" t="s">
        <v>887</v>
      </c>
      <c r="G386" s="16" t="str">
        <f>VLOOKUP(F386,DISTRICTS!B$2:C$626,2,FALSE)</f>
        <v>FUENCARRAL-EL PARDO</v>
      </c>
      <c r="H386" s="16" t="str">
        <f>IFERROR(VLOOKUP(G386,'areas for question 4'!A$2:B$10,2,FALSE),"")</f>
        <v>North</v>
      </c>
      <c r="I386" t="s">
        <v>1446</v>
      </c>
      <c r="J386" t="s">
        <v>1450</v>
      </c>
      <c r="K386" t="s">
        <v>1456</v>
      </c>
      <c r="L386" t="s">
        <v>1465</v>
      </c>
      <c r="M386" t="s">
        <v>1477</v>
      </c>
      <c r="N386" s="18">
        <v>7</v>
      </c>
    </row>
    <row r="387" spans="1:14" x14ac:dyDescent="0.25">
      <c r="A387" t="s">
        <v>892</v>
      </c>
      <c r="B387" s="7">
        <v>43692</v>
      </c>
      <c r="C387" s="4">
        <v>0.54513888888888895</v>
      </c>
      <c r="D387" s="15">
        <f t="shared" ref="D387:D450" si="12">HOUR(C387)</f>
        <v>13</v>
      </c>
      <c r="E387" s="15" t="str">
        <f t="shared" ref="E387:E450" si="13">IF(D387&lt;15,"Before 15","After 15")</f>
        <v>Before 15</v>
      </c>
      <c r="F387" t="s">
        <v>893</v>
      </c>
      <c r="G387" s="16" t="str">
        <f>VLOOKUP(F387,DISTRICTS!B$2:C$626,2,FALSE)</f>
        <v>SALAMANCA</v>
      </c>
      <c r="H387" s="16" t="str">
        <f>IFERROR(VLOOKUP(G387,'areas for question 4'!A$2:B$10,2,FALSE),"")</f>
        <v/>
      </c>
      <c r="I387" t="s">
        <v>1441</v>
      </c>
      <c r="J387" t="s">
        <v>1450</v>
      </c>
      <c r="K387" t="s">
        <v>1456</v>
      </c>
      <c r="L387" t="s">
        <v>1465</v>
      </c>
      <c r="M387" t="s">
        <v>1477</v>
      </c>
      <c r="N387" s="18" t="s">
        <v>34</v>
      </c>
    </row>
    <row r="388" spans="1:14" x14ac:dyDescent="0.25">
      <c r="A388" t="s">
        <v>896</v>
      </c>
      <c r="B388" s="7">
        <v>43696</v>
      </c>
      <c r="C388" s="4">
        <v>0.77430555555555547</v>
      </c>
      <c r="D388" s="15">
        <f t="shared" si="12"/>
        <v>18</v>
      </c>
      <c r="E388" s="15" t="str">
        <f t="shared" si="13"/>
        <v>After 15</v>
      </c>
      <c r="F388" t="s">
        <v>897</v>
      </c>
      <c r="G388" s="16" t="str">
        <f>VLOOKUP(F388,DISTRICTS!B$2:C$626,2,FALSE)</f>
        <v>SALAMANCA</v>
      </c>
      <c r="H388" s="16" t="str">
        <f>IFERROR(VLOOKUP(G388,'areas for question 4'!A$2:B$10,2,FALSE),"")</f>
        <v/>
      </c>
      <c r="I388" t="s">
        <v>1441</v>
      </c>
      <c r="J388" t="s">
        <v>1450</v>
      </c>
      <c r="K388" t="s">
        <v>1456</v>
      </c>
      <c r="L388" t="s">
        <v>1465</v>
      </c>
      <c r="M388" t="s">
        <v>1478</v>
      </c>
      <c r="N388" s="18">
        <v>7</v>
      </c>
    </row>
    <row r="389" spans="1:14" x14ac:dyDescent="0.25">
      <c r="A389" t="s">
        <v>899</v>
      </c>
      <c r="B389" s="7">
        <v>43697</v>
      </c>
      <c r="C389" s="4">
        <v>0.90277777777777779</v>
      </c>
      <c r="D389" s="15">
        <f t="shared" si="12"/>
        <v>21</v>
      </c>
      <c r="E389" s="15" t="str">
        <f t="shared" si="13"/>
        <v>After 15</v>
      </c>
      <c r="F389" t="s">
        <v>900</v>
      </c>
      <c r="G389" s="16" t="str">
        <f>VLOOKUP(F389,DISTRICTS!B$2:C$626,2,FALSE)</f>
        <v>MONCLOA-ARAVACA</v>
      </c>
      <c r="H389" s="16" t="str">
        <f>IFERROR(VLOOKUP(G389,'areas for question 4'!A$2:B$10,2,FALSE),"")</f>
        <v/>
      </c>
      <c r="I389" t="s">
        <v>1446</v>
      </c>
      <c r="J389" t="s">
        <v>1450</v>
      </c>
      <c r="K389" t="s">
        <v>1456</v>
      </c>
      <c r="L389" t="s">
        <v>1465</v>
      </c>
      <c r="M389" t="s">
        <v>1477</v>
      </c>
      <c r="N389" s="18">
        <v>14</v>
      </c>
    </row>
    <row r="390" spans="1:14" x14ac:dyDescent="0.25">
      <c r="A390" t="s">
        <v>927</v>
      </c>
      <c r="B390" s="7">
        <v>43706</v>
      </c>
      <c r="C390" s="4">
        <v>0.94791666666666663</v>
      </c>
      <c r="D390" s="15">
        <f t="shared" si="12"/>
        <v>22</v>
      </c>
      <c r="E390" s="15" t="str">
        <f t="shared" si="13"/>
        <v>After 15</v>
      </c>
      <c r="F390" t="s">
        <v>376</v>
      </c>
      <c r="G390" s="16" t="str">
        <f>VLOOKUP(F390,DISTRICTS!B$2:C$626,2,FALSE)</f>
        <v>CHAMBERÍ</v>
      </c>
      <c r="H390" s="16" t="str">
        <f>IFERROR(VLOOKUP(G390,'areas for question 4'!A$2:B$10,2,FALSE),"")</f>
        <v>North</v>
      </c>
      <c r="I390" t="s">
        <v>1444</v>
      </c>
      <c r="J390" t="s">
        <v>1450</v>
      </c>
      <c r="K390" t="s">
        <v>1456</v>
      </c>
      <c r="L390" t="s">
        <v>1465</v>
      </c>
      <c r="M390" t="s">
        <v>1477</v>
      </c>
      <c r="N390" s="18">
        <v>14</v>
      </c>
    </row>
    <row r="391" spans="1:14" x14ac:dyDescent="0.25">
      <c r="A391" t="s">
        <v>935</v>
      </c>
      <c r="B391" s="7">
        <v>43707</v>
      </c>
      <c r="C391" s="4">
        <v>0.69791666666666663</v>
      </c>
      <c r="D391" s="15">
        <f t="shared" si="12"/>
        <v>16</v>
      </c>
      <c r="E391" s="15" t="str">
        <f t="shared" si="13"/>
        <v>After 15</v>
      </c>
      <c r="F391" t="s">
        <v>936</v>
      </c>
      <c r="G391" s="16" t="str">
        <f>VLOOKUP(F391,DISTRICTS!B$2:C$626,2,FALSE)</f>
        <v>CENTRO</v>
      </c>
      <c r="H391" s="16" t="str">
        <f>IFERROR(VLOOKUP(G391,'areas for question 4'!A$2:B$10,2,FALSE),"")</f>
        <v/>
      </c>
      <c r="I391" t="s">
        <v>1445</v>
      </c>
      <c r="J391" t="s">
        <v>1450</v>
      </c>
      <c r="K391" t="s">
        <v>1456</v>
      </c>
      <c r="L391" t="s">
        <v>1465</v>
      </c>
      <c r="M391" t="s">
        <v>1477</v>
      </c>
      <c r="N391" s="18">
        <v>2</v>
      </c>
    </row>
    <row r="392" spans="1:14" x14ac:dyDescent="0.25">
      <c r="A392" t="s">
        <v>958</v>
      </c>
      <c r="B392" s="7">
        <v>43712</v>
      </c>
      <c r="C392" s="4">
        <v>0.77083333333333337</v>
      </c>
      <c r="D392" s="15">
        <f t="shared" si="12"/>
        <v>18</v>
      </c>
      <c r="E392" s="15" t="str">
        <f t="shared" si="13"/>
        <v>After 15</v>
      </c>
      <c r="F392" t="s">
        <v>959</v>
      </c>
      <c r="G392" s="16" t="str">
        <f>VLOOKUP(F392,DISTRICTS!B$2:C$626,2,FALSE)</f>
        <v>SALAMANCA</v>
      </c>
      <c r="H392" s="16" t="str">
        <f>IFERROR(VLOOKUP(G392,'areas for question 4'!A$2:B$10,2,FALSE),"")</f>
        <v/>
      </c>
      <c r="I392" t="s">
        <v>1444</v>
      </c>
      <c r="J392" t="s">
        <v>1450</v>
      </c>
      <c r="K392" t="s">
        <v>1456</v>
      </c>
      <c r="L392" t="s">
        <v>1465</v>
      </c>
      <c r="M392" t="s">
        <v>1478</v>
      </c>
      <c r="N392" s="18">
        <v>6</v>
      </c>
    </row>
    <row r="393" spans="1:14" x14ac:dyDescent="0.25">
      <c r="A393" t="s">
        <v>1007</v>
      </c>
      <c r="B393" s="7">
        <v>43720</v>
      </c>
      <c r="C393" s="4">
        <v>0.45833333333333331</v>
      </c>
      <c r="D393" s="15">
        <f t="shared" si="12"/>
        <v>11</v>
      </c>
      <c r="E393" s="15" t="str">
        <f t="shared" si="13"/>
        <v>Before 15</v>
      </c>
      <c r="F393" t="s">
        <v>1008</v>
      </c>
      <c r="G393" s="16" t="str">
        <f>VLOOKUP(F393,DISTRICTS!B$2:C$626,2,FALSE)</f>
        <v>HORTALEZA</v>
      </c>
      <c r="H393" s="16" t="str">
        <f>IFERROR(VLOOKUP(G393,'areas for question 4'!A$2:B$10,2,FALSE),"")</f>
        <v/>
      </c>
      <c r="I393" t="s">
        <v>1443</v>
      </c>
      <c r="J393" t="s">
        <v>1450</v>
      </c>
      <c r="K393" t="s">
        <v>1456</v>
      </c>
      <c r="L393" t="s">
        <v>1465</v>
      </c>
      <c r="M393" t="s">
        <v>1477</v>
      </c>
      <c r="N393" s="18">
        <v>14</v>
      </c>
    </row>
    <row r="394" spans="1:14" x14ac:dyDescent="0.25">
      <c r="A394" t="s">
        <v>1011</v>
      </c>
      <c r="B394" s="7">
        <v>43722</v>
      </c>
      <c r="C394" s="4">
        <v>0.67986111111111114</v>
      </c>
      <c r="D394" s="15">
        <f t="shared" si="12"/>
        <v>16</v>
      </c>
      <c r="E394" s="15" t="str">
        <f t="shared" si="13"/>
        <v>After 15</v>
      </c>
      <c r="F394" t="s">
        <v>376</v>
      </c>
      <c r="G394" s="16" t="str">
        <f>VLOOKUP(F394,DISTRICTS!B$2:C$626,2,FALSE)</f>
        <v>CHAMBERÍ</v>
      </c>
      <c r="H394" s="16" t="str">
        <f>IFERROR(VLOOKUP(G394,'areas for question 4'!A$2:B$10,2,FALSE),"")</f>
        <v>North</v>
      </c>
      <c r="I394" t="s">
        <v>1444</v>
      </c>
      <c r="J394" t="s">
        <v>1452</v>
      </c>
      <c r="K394" t="s">
        <v>1456</v>
      </c>
      <c r="L394" t="s">
        <v>1465</v>
      </c>
      <c r="M394" t="s">
        <v>1477</v>
      </c>
      <c r="N394" s="18">
        <v>7</v>
      </c>
    </row>
    <row r="395" spans="1:14" x14ac:dyDescent="0.25">
      <c r="A395" t="s">
        <v>1017</v>
      </c>
      <c r="B395" s="7">
        <v>43723</v>
      </c>
      <c r="C395" s="4">
        <v>0.90625</v>
      </c>
      <c r="D395" s="15">
        <f t="shared" si="12"/>
        <v>21</v>
      </c>
      <c r="E395" s="15" t="str">
        <f t="shared" si="13"/>
        <v>After 15</v>
      </c>
      <c r="F395" t="s">
        <v>1018</v>
      </c>
      <c r="G395" s="16" t="str">
        <f>VLOOKUP(F395,DISTRICTS!B$2:C$626,2,FALSE)</f>
        <v>CENTRO</v>
      </c>
      <c r="H395" s="16" t="str">
        <f>IFERROR(VLOOKUP(G395,'areas for question 4'!A$2:B$10,2,FALSE),"")</f>
        <v/>
      </c>
      <c r="I395" t="s">
        <v>1444</v>
      </c>
      <c r="J395" t="s">
        <v>1450</v>
      </c>
      <c r="K395" t="s">
        <v>1456</v>
      </c>
      <c r="L395" t="s">
        <v>1465</v>
      </c>
      <c r="M395" t="s">
        <v>1477</v>
      </c>
      <c r="N395" s="18">
        <v>1</v>
      </c>
    </row>
    <row r="396" spans="1:14" x14ac:dyDescent="0.25">
      <c r="A396" t="s">
        <v>1050</v>
      </c>
      <c r="B396" s="7">
        <v>43730</v>
      </c>
      <c r="C396" s="4">
        <v>0.5</v>
      </c>
      <c r="D396" s="15">
        <f t="shared" si="12"/>
        <v>12</v>
      </c>
      <c r="E396" s="15" t="str">
        <f t="shared" si="13"/>
        <v>Before 15</v>
      </c>
      <c r="F396" t="s">
        <v>1051</v>
      </c>
      <c r="G396" s="16" t="str">
        <f>VLOOKUP(F396,DISTRICTS!B$2:C$626,2,FALSE)</f>
        <v>CENTRO</v>
      </c>
      <c r="H396" s="16" t="str">
        <f>IFERROR(VLOOKUP(G396,'areas for question 4'!A$2:B$10,2,FALSE),"")</f>
        <v/>
      </c>
      <c r="I396" t="s">
        <v>1447</v>
      </c>
      <c r="J396" t="s">
        <v>1450</v>
      </c>
      <c r="K396" t="s">
        <v>1456</v>
      </c>
      <c r="L396" t="s">
        <v>1465</v>
      </c>
      <c r="M396" t="s">
        <v>1477</v>
      </c>
      <c r="N396" s="18">
        <v>2</v>
      </c>
    </row>
    <row r="397" spans="1:14" x14ac:dyDescent="0.25">
      <c r="A397" t="s">
        <v>1057</v>
      </c>
      <c r="B397" s="7">
        <v>43731</v>
      </c>
      <c r="C397" s="4">
        <v>0.7715277777777777</v>
      </c>
      <c r="D397" s="15">
        <f t="shared" si="12"/>
        <v>18</v>
      </c>
      <c r="E397" s="15" t="str">
        <f t="shared" si="13"/>
        <v>After 15</v>
      </c>
      <c r="F397" t="s">
        <v>1058</v>
      </c>
      <c r="G397" s="16" t="str">
        <f>VLOOKUP(F397,DISTRICTS!B$2:C$626,2,FALSE)</f>
        <v>MONCLOA-ARAVACA</v>
      </c>
      <c r="H397" s="16" t="str">
        <f>IFERROR(VLOOKUP(G397,'areas for question 4'!A$2:B$10,2,FALSE),"")</f>
        <v/>
      </c>
      <c r="I397" t="s">
        <v>1444</v>
      </c>
      <c r="J397" t="s">
        <v>1450</v>
      </c>
      <c r="K397" t="s">
        <v>1456</v>
      </c>
      <c r="L397" t="s">
        <v>1465</v>
      </c>
      <c r="M397" t="s">
        <v>1477</v>
      </c>
      <c r="N397" s="18">
        <v>1</v>
      </c>
    </row>
    <row r="398" spans="1:14" x14ac:dyDescent="0.25">
      <c r="A398" t="s">
        <v>1060</v>
      </c>
      <c r="B398" s="7">
        <v>43731</v>
      </c>
      <c r="C398" s="4">
        <v>0.73263888888888884</v>
      </c>
      <c r="D398" s="15">
        <f t="shared" si="12"/>
        <v>17</v>
      </c>
      <c r="E398" s="15" t="str">
        <f t="shared" si="13"/>
        <v>After 15</v>
      </c>
      <c r="F398" t="s">
        <v>1061</v>
      </c>
      <c r="G398" s="16" t="str">
        <f>VLOOKUP(F398,DISTRICTS!B$2:C$626,2,FALSE)</f>
        <v>CENTRO</v>
      </c>
      <c r="H398" s="16" t="str">
        <f>IFERROR(VLOOKUP(G398,'areas for question 4'!A$2:B$10,2,FALSE),"")</f>
        <v/>
      </c>
      <c r="I398" t="s">
        <v>1443</v>
      </c>
      <c r="J398" t="s">
        <v>1450</v>
      </c>
      <c r="K398" t="s">
        <v>1456</v>
      </c>
      <c r="L398" t="s">
        <v>1465</v>
      </c>
      <c r="M398" t="s">
        <v>1477</v>
      </c>
      <c r="N398" s="18">
        <v>14</v>
      </c>
    </row>
    <row r="399" spans="1:14" x14ac:dyDescent="0.25">
      <c r="A399" t="s">
        <v>1077</v>
      </c>
      <c r="B399" s="7">
        <v>43735</v>
      </c>
      <c r="C399" s="4">
        <v>0.53472222222222221</v>
      </c>
      <c r="D399" s="15">
        <f t="shared" si="12"/>
        <v>12</v>
      </c>
      <c r="E399" s="15" t="str">
        <f t="shared" si="13"/>
        <v>Before 15</v>
      </c>
      <c r="F399" t="s">
        <v>1078</v>
      </c>
      <c r="G399" s="16" t="str">
        <f>VLOOKUP(F399,DISTRICTS!B$2:C$626,2,FALSE)</f>
        <v>CENTRO</v>
      </c>
      <c r="H399" s="16" t="str">
        <f>IFERROR(VLOOKUP(G399,'areas for question 4'!A$2:B$10,2,FALSE),"")</f>
        <v/>
      </c>
      <c r="I399" t="s">
        <v>1448</v>
      </c>
      <c r="J399" t="s">
        <v>1450</v>
      </c>
      <c r="K399" t="s">
        <v>1456</v>
      </c>
      <c r="L399" t="s">
        <v>1465</v>
      </c>
      <c r="M399" t="s">
        <v>1477</v>
      </c>
      <c r="N399" s="18">
        <v>2</v>
      </c>
    </row>
    <row r="400" spans="1:14" x14ac:dyDescent="0.25">
      <c r="A400" t="s">
        <v>1081</v>
      </c>
      <c r="B400" s="7">
        <v>43736</v>
      </c>
      <c r="C400" s="4">
        <v>0.61111111111111105</v>
      </c>
      <c r="D400" s="15">
        <f t="shared" si="12"/>
        <v>14</v>
      </c>
      <c r="E400" s="15" t="str">
        <f t="shared" si="13"/>
        <v>Before 15</v>
      </c>
      <c r="F400" t="s">
        <v>1082</v>
      </c>
      <c r="G400" s="16" t="str">
        <f>VLOOKUP(F400,DISTRICTS!B$2:C$626,2,FALSE)</f>
        <v>CARABANCHEL</v>
      </c>
      <c r="H400" s="16" t="str">
        <f>IFERROR(VLOOKUP(G400,'areas for question 4'!A$2:B$10,2,FALSE),"")</f>
        <v/>
      </c>
      <c r="I400" t="s">
        <v>1446</v>
      </c>
      <c r="J400" t="s">
        <v>1450</v>
      </c>
      <c r="K400" t="s">
        <v>1456</v>
      </c>
      <c r="L400" t="s">
        <v>1465</v>
      </c>
      <c r="M400" t="s">
        <v>1477</v>
      </c>
      <c r="N400" s="18">
        <v>6</v>
      </c>
    </row>
    <row r="401" spans="1:14" x14ac:dyDescent="0.25">
      <c r="A401" t="s">
        <v>1084</v>
      </c>
      <c r="B401" s="7">
        <v>43736</v>
      </c>
      <c r="C401" s="4">
        <v>0.55555555555555558</v>
      </c>
      <c r="D401" s="15">
        <f t="shared" si="12"/>
        <v>13</v>
      </c>
      <c r="E401" s="15" t="str">
        <f t="shared" si="13"/>
        <v>Before 15</v>
      </c>
      <c r="F401" t="s">
        <v>900</v>
      </c>
      <c r="G401" s="16" t="str">
        <f>VLOOKUP(F401,DISTRICTS!B$2:C$626,2,FALSE)</f>
        <v>MONCLOA-ARAVACA</v>
      </c>
      <c r="H401" s="16" t="str">
        <f>IFERROR(VLOOKUP(G401,'areas for question 4'!A$2:B$10,2,FALSE),"")</f>
        <v/>
      </c>
      <c r="I401" t="s">
        <v>1447</v>
      </c>
      <c r="J401" t="s">
        <v>1450</v>
      </c>
      <c r="K401" t="s">
        <v>1456</v>
      </c>
      <c r="L401" t="s">
        <v>1465</v>
      </c>
      <c r="M401" t="s">
        <v>1478</v>
      </c>
      <c r="N401" s="18">
        <v>14</v>
      </c>
    </row>
    <row r="402" spans="1:14" x14ac:dyDescent="0.25">
      <c r="A402" t="s">
        <v>1094</v>
      </c>
      <c r="B402" s="7">
        <v>43737</v>
      </c>
      <c r="C402" s="4">
        <v>0.25694444444444448</v>
      </c>
      <c r="D402" s="15">
        <f t="shared" si="12"/>
        <v>6</v>
      </c>
      <c r="E402" s="15" t="str">
        <f t="shared" si="13"/>
        <v>Before 15</v>
      </c>
      <c r="F402" t="s">
        <v>1095</v>
      </c>
      <c r="G402" s="16" t="str">
        <f>VLOOKUP(F402,DISTRICTS!B$2:C$626,2,FALSE)</f>
        <v>CENTRO</v>
      </c>
      <c r="H402" s="16" t="str">
        <f>IFERROR(VLOOKUP(G402,'areas for question 4'!A$2:B$10,2,FALSE),"")</f>
        <v/>
      </c>
      <c r="I402" t="s">
        <v>1444</v>
      </c>
      <c r="J402" t="s">
        <v>1450</v>
      </c>
      <c r="K402" t="s">
        <v>1456</v>
      </c>
      <c r="L402" t="s">
        <v>1465</v>
      </c>
      <c r="M402" t="s">
        <v>1477</v>
      </c>
      <c r="N402" s="18">
        <v>1</v>
      </c>
    </row>
    <row r="403" spans="1:14" x14ac:dyDescent="0.25">
      <c r="A403" t="s">
        <v>1098</v>
      </c>
      <c r="B403" s="7">
        <v>43738</v>
      </c>
      <c r="C403" s="4">
        <v>0.64583333333333337</v>
      </c>
      <c r="D403" s="15">
        <f t="shared" si="12"/>
        <v>15</v>
      </c>
      <c r="E403" s="15" t="str">
        <f t="shared" si="13"/>
        <v>After 15</v>
      </c>
      <c r="F403" t="s">
        <v>1099</v>
      </c>
      <c r="G403" s="16" t="str">
        <f>VLOOKUP(F403,DISTRICTS!B$2:C$626,2,FALSE)</f>
        <v>CHAMBERÍ</v>
      </c>
      <c r="H403" s="16" t="str">
        <f>IFERROR(VLOOKUP(G403,'areas for question 4'!A$2:B$10,2,FALSE),"")</f>
        <v>North</v>
      </c>
      <c r="I403" t="s">
        <v>1444</v>
      </c>
      <c r="K403" t="s">
        <v>1456</v>
      </c>
      <c r="L403" t="s">
        <v>1465</v>
      </c>
      <c r="M403" t="s">
        <v>1478</v>
      </c>
      <c r="N403" s="18" t="s">
        <v>34</v>
      </c>
    </row>
    <row r="404" spans="1:14" x14ac:dyDescent="0.25">
      <c r="A404" t="s">
        <v>1102</v>
      </c>
      <c r="B404" s="7">
        <v>43738</v>
      </c>
      <c r="C404" s="4">
        <v>0.41666666666666669</v>
      </c>
      <c r="D404" s="15">
        <f t="shared" si="12"/>
        <v>10</v>
      </c>
      <c r="E404" s="15" t="str">
        <f t="shared" si="13"/>
        <v>Before 15</v>
      </c>
      <c r="F404" t="s">
        <v>197</v>
      </c>
      <c r="G404" s="16" t="str">
        <f>VLOOKUP(F404,DISTRICTS!B$2:C$626,2,FALSE)</f>
        <v>CHAMARTÍN</v>
      </c>
      <c r="H404" s="16" t="str">
        <f>IFERROR(VLOOKUP(G404,'areas for question 4'!A$2:B$10,2,FALSE),"")</f>
        <v>North</v>
      </c>
      <c r="I404" t="s">
        <v>1447</v>
      </c>
      <c r="J404" t="s">
        <v>1450</v>
      </c>
      <c r="K404" t="s">
        <v>1456</v>
      </c>
      <c r="L404" t="s">
        <v>1465</v>
      </c>
      <c r="M404" t="s">
        <v>1477</v>
      </c>
      <c r="N404" s="18">
        <v>1</v>
      </c>
    </row>
    <row r="405" spans="1:14" x14ac:dyDescent="0.25">
      <c r="A405" t="s">
        <v>1103</v>
      </c>
      <c r="B405" s="7">
        <v>43739</v>
      </c>
      <c r="C405" s="4">
        <v>0.88541666666666663</v>
      </c>
      <c r="D405" s="15">
        <f t="shared" si="12"/>
        <v>21</v>
      </c>
      <c r="E405" s="15" t="str">
        <f t="shared" si="13"/>
        <v>After 15</v>
      </c>
      <c r="F405" t="s">
        <v>1104</v>
      </c>
      <c r="G405" s="16" t="str">
        <f>VLOOKUP(F405,DISTRICTS!B$2:C$626,2,FALSE)</f>
        <v>SALAMANCA</v>
      </c>
      <c r="H405" s="16" t="str">
        <f>IFERROR(VLOOKUP(G405,'areas for question 4'!A$2:B$10,2,FALSE),"")</f>
        <v/>
      </c>
      <c r="I405" t="s">
        <v>1446</v>
      </c>
      <c r="J405" t="s">
        <v>1450</v>
      </c>
      <c r="K405" t="s">
        <v>1456</v>
      </c>
      <c r="L405" t="s">
        <v>1465</v>
      </c>
      <c r="M405" t="s">
        <v>1478</v>
      </c>
      <c r="N405" s="18">
        <v>2</v>
      </c>
    </row>
    <row r="406" spans="1:14" x14ac:dyDescent="0.25">
      <c r="A406" t="s">
        <v>1107</v>
      </c>
      <c r="B406" s="7">
        <v>43739</v>
      </c>
      <c r="C406" s="4">
        <v>0.79166666666666663</v>
      </c>
      <c r="D406" s="15">
        <f t="shared" si="12"/>
        <v>19</v>
      </c>
      <c r="E406" s="15" t="str">
        <f t="shared" si="13"/>
        <v>After 15</v>
      </c>
      <c r="F406" t="s">
        <v>946</v>
      </c>
      <c r="G406" s="16" t="str">
        <f>VLOOKUP(F406,DISTRICTS!B$2:C$626,2,FALSE)</f>
        <v>ARGANZUELA</v>
      </c>
      <c r="H406" s="16" t="str">
        <f>IFERROR(VLOOKUP(G406,'areas for question 4'!A$2:B$10,2,FALSE),"")</f>
        <v/>
      </c>
      <c r="I406" t="s">
        <v>1447</v>
      </c>
      <c r="J406" t="s">
        <v>1450</v>
      </c>
      <c r="K406" t="s">
        <v>1456</v>
      </c>
      <c r="L406" t="s">
        <v>1465</v>
      </c>
      <c r="M406" t="s">
        <v>1477</v>
      </c>
      <c r="N406" s="18">
        <v>14</v>
      </c>
    </row>
    <row r="407" spans="1:14" x14ac:dyDescent="0.25">
      <c r="A407" t="s">
        <v>1128</v>
      </c>
      <c r="B407" s="7">
        <v>43740</v>
      </c>
      <c r="C407" s="4">
        <v>0.39583333333333331</v>
      </c>
      <c r="D407" s="15">
        <f t="shared" si="12"/>
        <v>9</v>
      </c>
      <c r="E407" s="15" t="str">
        <f t="shared" si="13"/>
        <v>Before 15</v>
      </c>
      <c r="F407" t="s">
        <v>1129</v>
      </c>
      <c r="G407" s="16" t="str">
        <f>VLOOKUP(F407,DISTRICTS!B$2:C$626,2,FALSE)</f>
        <v>MORATALAZ</v>
      </c>
      <c r="H407" s="16" t="str">
        <f>IFERROR(VLOOKUP(G407,'areas for question 4'!A$2:B$10,2,FALSE),"")</f>
        <v>East</v>
      </c>
      <c r="I407" t="s">
        <v>1446</v>
      </c>
      <c r="J407" t="s">
        <v>1450</v>
      </c>
      <c r="K407" t="s">
        <v>1456</v>
      </c>
      <c r="L407" t="s">
        <v>1465</v>
      </c>
      <c r="M407" t="s">
        <v>1478</v>
      </c>
      <c r="N407" s="18">
        <v>2</v>
      </c>
    </row>
    <row r="408" spans="1:14" x14ac:dyDescent="0.25">
      <c r="A408" t="s">
        <v>1140</v>
      </c>
      <c r="B408" s="7">
        <v>43742</v>
      </c>
      <c r="C408" s="4">
        <v>0.39583333333333331</v>
      </c>
      <c r="D408" s="15">
        <f t="shared" si="12"/>
        <v>9</v>
      </c>
      <c r="E408" s="15" t="str">
        <f t="shared" si="13"/>
        <v>Before 15</v>
      </c>
      <c r="F408" t="s">
        <v>1141</v>
      </c>
      <c r="G408" s="16" t="str">
        <f>VLOOKUP(F408,DISTRICTS!B$2:C$626,2,FALSE)</f>
        <v>RETIRO</v>
      </c>
      <c r="H408" s="16" t="str">
        <f>IFERROR(VLOOKUP(G408,'areas for question 4'!A$2:B$10,2,FALSE),"")</f>
        <v/>
      </c>
      <c r="I408" t="s">
        <v>1449</v>
      </c>
      <c r="J408" t="s">
        <v>1450</v>
      </c>
      <c r="K408" t="s">
        <v>1456</v>
      </c>
      <c r="L408" t="s">
        <v>1465</v>
      </c>
      <c r="M408" t="s">
        <v>1477</v>
      </c>
      <c r="N408" s="18">
        <v>7</v>
      </c>
    </row>
    <row r="409" spans="1:14" x14ac:dyDescent="0.25">
      <c r="A409" t="s">
        <v>1154</v>
      </c>
      <c r="B409" s="7">
        <v>43743</v>
      </c>
      <c r="C409" s="4">
        <v>7.2916666666666671E-2</v>
      </c>
      <c r="D409" s="15">
        <f t="shared" si="12"/>
        <v>1</v>
      </c>
      <c r="E409" s="15" t="str">
        <f t="shared" si="13"/>
        <v>Before 15</v>
      </c>
      <c r="F409" t="s">
        <v>1155</v>
      </c>
      <c r="G409" s="16" t="str">
        <f>VLOOKUP(F409,DISTRICTS!B$2:C$626,2,FALSE)</f>
        <v>ARGANZUELA</v>
      </c>
      <c r="H409" s="16" t="str">
        <f>IFERROR(VLOOKUP(G409,'areas for question 4'!A$2:B$10,2,FALSE),"")</f>
        <v/>
      </c>
      <c r="I409" t="s">
        <v>1443</v>
      </c>
      <c r="J409" t="s">
        <v>1450</v>
      </c>
      <c r="K409" t="s">
        <v>1456</v>
      </c>
      <c r="L409" t="s">
        <v>1465</v>
      </c>
      <c r="M409" t="s">
        <v>1477</v>
      </c>
      <c r="N409" s="18">
        <v>14</v>
      </c>
    </row>
    <row r="410" spans="1:14" x14ac:dyDescent="0.25">
      <c r="A410" t="s">
        <v>1205</v>
      </c>
      <c r="B410" s="7">
        <v>43755</v>
      </c>
      <c r="C410" s="4">
        <v>0.64583333333333337</v>
      </c>
      <c r="D410" s="15">
        <f t="shared" si="12"/>
        <v>15</v>
      </c>
      <c r="E410" s="15" t="str">
        <f t="shared" si="13"/>
        <v>After 15</v>
      </c>
      <c r="F410" t="s">
        <v>1206</v>
      </c>
      <c r="G410" s="16" t="str">
        <f>VLOOKUP(F410,DISTRICTS!B$2:C$626,2,FALSE)</f>
        <v>USERA</v>
      </c>
      <c r="H410" s="16" t="str">
        <f>IFERROR(VLOOKUP(G410,'areas for question 4'!A$2:B$10,2,FALSE),"")</f>
        <v/>
      </c>
      <c r="I410" t="s">
        <v>1444</v>
      </c>
      <c r="K410" t="s">
        <v>1456</v>
      </c>
      <c r="L410" t="s">
        <v>1465</v>
      </c>
      <c r="M410" t="s">
        <v>1477</v>
      </c>
      <c r="N410" s="18" t="s">
        <v>34</v>
      </c>
    </row>
    <row r="411" spans="1:14" x14ac:dyDescent="0.25">
      <c r="A411" t="s">
        <v>1211</v>
      </c>
      <c r="B411" s="7">
        <v>43756</v>
      </c>
      <c r="C411" s="4">
        <v>0.36180555555555555</v>
      </c>
      <c r="D411" s="15">
        <f t="shared" si="12"/>
        <v>8</v>
      </c>
      <c r="E411" s="15" t="str">
        <f t="shared" si="13"/>
        <v>Before 15</v>
      </c>
      <c r="F411" t="s">
        <v>934</v>
      </c>
      <c r="G411" s="16" t="str">
        <f>VLOOKUP(F411,DISTRICTS!B$2:C$626,2,FALSE)</f>
        <v>MONCLOA-ARAVACA</v>
      </c>
      <c r="H411" s="16" t="str">
        <f>IFERROR(VLOOKUP(G411,'areas for question 4'!A$2:B$10,2,FALSE),"")</f>
        <v/>
      </c>
      <c r="I411" t="s">
        <v>1444</v>
      </c>
      <c r="J411" t="s">
        <v>1450</v>
      </c>
      <c r="K411" t="s">
        <v>1456</v>
      </c>
      <c r="L411" t="s">
        <v>1465</v>
      </c>
      <c r="M411" t="s">
        <v>1477</v>
      </c>
      <c r="N411" s="18">
        <v>7</v>
      </c>
    </row>
    <row r="412" spans="1:14" x14ac:dyDescent="0.25">
      <c r="A412" t="s">
        <v>1225</v>
      </c>
      <c r="B412" s="7">
        <v>43760</v>
      </c>
      <c r="C412" s="4">
        <v>0.83333333333333337</v>
      </c>
      <c r="D412" s="15">
        <f t="shared" si="12"/>
        <v>20</v>
      </c>
      <c r="E412" s="15" t="str">
        <f t="shared" si="13"/>
        <v>After 15</v>
      </c>
      <c r="F412" t="s">
        <v>258</v>
      </c>
      <c r="G412" s="16" t="str">
        <f>VLOOKUP(F412,DISTRICTS!B$2:C$626,2,FALSE)</f>
        <v>TETUÁN</v>
      </c>
      <c r="H412" s="16" t="str">
        <f>IFERROR(VLOOKUP(G412,'areas for question 4'!A$2:B$10,2,FALSE),"")</f>
        <v>North</v>
      </c>
      <c r="I412" t="s">
        <v>1441</v>
      </c>
      <c r="J412" t="s">
        <v>1452</v>
      </c>
      <c r="K412" t="s">
        <v>1456</v>
      </c>
      <c r="L412" t="s">
        <v>1465</v>
      </c>
      <c r="M412" t="s">
        <v>1478</v>
      </c>
      <c r="N412" s="18">
        <v>1</v>
      </c>
    </row>
    <row r="413" spans="1:14" x14ac:dyDescent="0.25">
      <c r="A413" t="s">
        <v>1238</v>
      </c>
      <c r="B413" s="7">
        <v>43764</v>
      </c>
      <c r="C413" s="4">
        <v>0.1875</v>
      </c>
      <c r="D413" s="15">
        <f t="shared" si="12"/>
        <v>4</v>
      </c>
      <c r="E413" s="15" t="str">
        <f t="shared" si="13"/>
        <v>Before 15</v>
      </c>
      <c r="F413" t="s">
        <v>1239</v>
      </c>
      <c r="G413" s="16" t="str">
        <f>VLOOKUP(F413,DISTRICTS!B$2:C$626,2,FALSE)</f>
        <v>CHAMBERÍ</v>
      </c>
      <c r="H413" s="16" t="str">
        <f>IFERROR(VLOOKUP(G413,'areas for question 4'!A$2:B$10,2,FALSE),"")</f>
        <v>North</v>
      </c>
      <c r="I413" t="s">
        <v>1444</v>
      </c>
      <c r="J413" t="s">
        <v>1450</v>
      </c>
      <c r="K413" t="s">
        <v>1456</v>
      </c>
      <c r="L413" t="s">
        <v>1465</v>
      </c>
      <c r="M413" t="s">
        <v>1477</v>
      </c>
      <c r="N413" s="18">
        <v>2</v>
      </c>
    </row>
    <row r="414" spans="1:14" x14ac:dyDescent="0.25">
      <c r="A414" t="s">
        <v>1240</v>
      </c>
      <c r="B414" s="7">
        <v>43764</v>
      </c>
      <c r="C414" s="4">
        <v>7.0833333333333331E-2</v>
      </c>
      <c r="D414" s="15">
        <f t="shared" si="12"/>
        <v>1</v>
      </c>
      <c r="E414" s="15" t="str">
        <f t="shared" si="13"/>
        <v>Before 15</v>
      </c>
      <c r="F414" t="s">
        <v>1241</v>
      </c>
      <c r="G414" s="16" t="str">
        <f>VLOOKUP(F414,DISTRICTS!B$2:C$626,2,FALSE)</f>
        <v>RETIRO</v>
      </c>
      <c r="H414" s="16" t="str">
        <f>IFERROR(VLOOKUP(G414,'areas for question 4'!A$2:B$10,2,FALSE),"")</f>
        <v/>
      </c>
      <c r="I414" t="s">
        <v>1444</v>
      </c>
      <c r="J414" t="s">
        <v>1450</v>
      </c>
      <c r="K414" t="s">
        <v>1456</v>
      </c>
      <c r="L414" t="s">
        <v>1465</v>
      </c>
      <c r="M414" t="s">
        <v>1477</v>
      </c>
      <c r="N414" s="18">
        <v>1</v>
      </c>
    </row>
    <row r="415" spans="1:14" x14ac:dyDescent="0.25">
      <c r="A415" t="s">
        <v>1259</v>
      </c>
      <c r="B415" s="7">
        <v>43773</v>
      </c>
      <c r="C415" s="4">
        <v>0.70972222222222225</v>
      </c>
      <c r="D415" s="15">
        <f t="shared" si="12"/>
        <v>17</v>
      </c>
      <c r="E415" s="15" t="str">
        <f t="shared" si="13"/>
        <v>After 15</v>
      </c>
      <c r="F415" t="s">
        <v>1260</v>
      </c>
      <c r="G415" s="16" t="str">
        <f>VLOOKUP(F415,DISTRICTS!B$2:C$626,2,FALSE)</f>
        <v>CHAMARTÍN</v>
      </c>
      <c r="H415" s="16" t="str">
        <f>IFERROR(VLOOKUP(G415,'areas for question 4'!A$2:B$10,2,FALSE),"")</f>
        <v>North</v>
      </c>
      <c r="I415" t="s">
        <v>1444</v>
      </c>
      <c r="J415" t="s">
        <v>1450</v>
      </c>
      <c r="K415" t="s">
        <v>1456</v>
      </c>
      <c r="L415" t="s">
        <v>1465</v>
      </c>
      <c r="M415" t="s">
        <v>1478</v>
      </c>
      <c r="N415" s="18">
        <v>7</v>
      </c>
    </row>
    <row r="416" spans="1:14" x14ac:dyDescent="0.25">
      <c r="A416" t="s">
        <v>1298</v>
      </c>
      <c r="B416" s="7">
        <v>43782</v>
      </c>
      <c r="C416" s="4">
        <v>0.55902777777777779</v>
      </c>
      <c r="D416" s="15">
        <f t="shared" si="12"/>
        <v>13</v>
      </c>
      <c r="E416" s="15" t="str">
        <f t="shared" si="13"/>
        <v>Before 15</v>
      </c>
      <c r="F416" t="s">
        <v>1299</v>
      </c>
      <c r="G416" s="16" t="str">
        <f>VLOOKUP(F416,DISTRICTS!B$2:C$626,2,FALSE)</f>
        <v>ARGANZUELA</v>
      </c>
      <c r="H416" s="16" t="str">
        <f>IFERROR(VLOOKUP(G416,'areas for question 4'!A$2:B$10,2,FALSE),"")</f>
        <v/>
      </c>
      <c r="I416" t="s">
        <v>1444</v>
      </c>
      <c r="J416" t="s">
        <v>1450</v>
      </c>
      <c r="K416" t="s">
        <v>1458</v>
      </c>
      <c r="L416" t="s">
        <v>1465</v>
      </c>
      <c r="M416" t="s">
        <v>1477</v>
      </c>
      <c r="N416" s="18">
        <v>14</v>
      </c>
    </row>
    <row r="417" spans="1:14" x14ac:dyDescent="0.25">
      <c r="A417" t="s">
        <v>1300</v>
      </c>
      <c r="B417" s="7">
        <v>43782</v>
      </c>
      <c r="C417" s="4">
        <v>2.8472222222222222E-2</v>
      </c>
      <c r="D417" s="15">
        <f t="shared" si="12"/>
        <v>0</v>
      </c>
      <c r="E417" s="15" t="str">
        <f t="shared" si="13"/>
        <v>Before 15</v>
      </c>
      <c r="F417" t="s">
        <v>1301</v>
      </c>
      <c r="G417" s="16" t="str">
        <f>VLOOKUP(F417,DISTRICTS!B$2:C$626,2,FALSE)</f>
        <v>CENTRO</v>
      </c>
      <c r="H417" s="16" t="str">
        <f>IFERROR(VLOOKUP(G417,'areas for question 4'!A$2:B$10,2,FALSE),"")</f>
        <v/>
      </c>
      <c r="I417" t="s">
        <v>1449</v>
      </c>
      <c r="J417" t="s">
        <v>1452</v>
      </c>
      <c r="K417" t="s">
        <v>1456</v>
      </c>
      <c r="L417" t="s">
        <v>1465</v>
      </c>
      <c r="M417" t="s">
        <v>1477</v>
      </c>
      <c r="N417" s="18">
        <v>1</v>
      </c>
    </row>
    <row r="418" spans="1:14" x14ac:dyDescent="0.25">
      <c r="A418" t="s">
        <v>1312</v>
      </c>
      <c r="B418" s="7">
        <v>43784</v>
      </c>
      <c r="C418" s="4">
        <v>0.625</v>
      </c>
      <c r="D418" s="15">
        <f t="shared" si="12"/>
        <v>15</v>
      </c>
      <c r="E418" s="15" t="str">
        <f t="shared" si="13"/>
        <v>After 15</v>
      </c>
      <c r="F418" t="s">
        <v>67</v>
      </c>
      <c r="G418" s="16" t="str">
        <f>VLOOKUP(F418,DISTRICTS!B$2:C$626,2,FALSE)</f>
        <v>CHAMARTÍN</v>
      </c>
      <c r="H418" s="16" t="str">
        <f>IFERROR(VLOOKUP(G418,'areas for question 4'!A$2:B$10,2,FALSE),"")</f>
        <v>North</v>
      </c>
      <c r="I418" t="s">
        <v>1444</v>
      </c>
      <c r="J418" t="s">
        <v>1450</v>
      </c>
      <c r="K418" t="s">
        <v>1456</v>
      </c>
      <c r="L418" t="s">
        <v>1465</v>
      </c>
      <c r="M418" t="s">
        <v>1477</v>
      </c>
      <c r="N418" s="18">
        <v>7</v>
      </c>
    </row>
    <row r="419" spans="1:14" x14ac:dyDescent="0.25">
      <c r="A419" t="s">
        <v>1321</v>
      </c>
      <c r="B419" s="7">
        <v>43790</v>
      </c>
      <c r="C419" s="4">
        <v>0.72569444444444453</v>
      </c>
      <c r="D419" s="15">
        <f t="shared" si="12"/>
        <v>17</v>
      </c>
      <c r="E419" s="15" t="str">
        <f t="shared" si="13"/>
        <v>After 15</v>
      </c>
      <c r="F419" t="s">
        <v>1322</v>
      </c>
      <c r="G419" s="16" t="str">
        <f>VLOOKUP(F419,DISTRICTS!B$2:C$626,2,FALSE)</f>
        <v>HORTALEZA</v>
      </c>
      <c r="H419" s="16" t="str">
        <f>IFERROR(VLOOKUP(G419,'areas for question 4'!A$2:B$10,2,FALSE),"")</f>
        <v/>
      </c>
      <c r="I419" t="s">
        <v>1444</v>
      </c>
      <c r="J419" t="s">
        <v>1450</v>
      </c>
      <c r="K419" t="s">
        <v>1456</v>
      </c>
      <c r="L419" t="s">
        <v>1465</v>
      </c>
      <c r="M419" t="s">
        <v>1478</v>
      </c>
      <c r="N419" s="18">
        <v>7</v>
      </c>
    </row>
    <row r="420" spans="1:14" x14ac:dyDescent="0.25">
      <c r="A420" t="s">
        <v>1327</v>
      </c>
      <c r="B420" s="7">
        <v>43791</v>
      </c>
      <c r="C420" s="4">
        <v>0.24652777777777779</v>
      </c>
      <c r="D420" s="15">
        <f t="shared" si="12"/>
        <v>5</v>
      </c>
      <c r="E420" s="15" t="str">
        <f t="shared" si="13"/>
        <v>Before 15</v>
      </c>
      <c r="F420" t="s">
        <v>32</v>
      </c>
      <c r="G420" s="16" t="str">
        <f>VLOOKUP(F420,DISTRICTS!B$2:C$626,2,FALSE)</f>
        <v>CENTRO</v>
      </c>
      <c r="H420" s="16" t="str">
        <f>IFERROR(VLOOKUP(G420,'areas for question 4'!A$2:B$10,2,FALSE),"")</f>
        <v/>
      </c>
      <c r="I420" t="s">
        <v>1446</v>
      </c>
      <c r="J420" t="s">
        <v>1452</v>
      </c>
      <c r="K420" t="s">
        <v>1456</v>
      </c>
      <c r="L420" t="s">
        <v>1465</v>
      </c>
      <c r="M420" t="s">
        <v>1477</v>
      </c>
      <c r="N420" s="18">
        <v>2</v>
      </c>
    </row>
    <row r="421" spans="1:14" x14ac:dyDescent="0.25">
      <c r="A421" t="s">
        <v>1357</v>
      </c>
      <c r="B421" s="7">
        <v>43803</v>
      </c>
      <c r="C421" s="4">
        <v>0.89583333333333337</v>
      </c>
      <c r="D421" s="15">
        <f t="shared" si="12"/>
        <v>21</v>
      </c>
      <c r="E421" s="15" t="str">
        <f t="shared" si="13"/>
        <v>After 15</v>
      </c>
      <c r="F421" t="s">
        <v>1358</v>
      </c>
      <c r="G421" s="16" t="str">
        <f>VLOOKUP(F421,DISTRICTS!B$2:C$626,2,FALSE)</f>
        <v>RETIRO</v>
      </c>
      <c r="H421" s="16" t="str">
        <f>IFERROR(VLOOKUP(G421,'areas for question 4'!A$2:B$10,2,FALSE),"")</f>
        <v/>
      </c>
      <c r="I421" t="s">
        <v>1446</v>
      </c>
      <c r="J421" t="s">
        <v>1454</v>
      </c>
      <c r="K421" t="s">
        <v>1456</v>
      </c>
      <c r="L421" t="s">
        <v>1465</v>
      </c>
      <c r="M421" t="s">
        <v>1477</v>
      </c>
      <c r="N421" s="18">
        <v>7</v>
      </c>
    </row>
    <row r="422" spans="1:14" x14ac:dyDescent="0.25">
      <c r="A422" t="s">
        <v>1361</v>
      </c>
      <c r="B422" s="7">
        <v>43803</v>
      </c>
      <c r="C422" s="4">
        <v>0.84375</v>
      </c>
      <c r="D422" s="15">
        <f t="shared" si="12"/>
        <v>20</v>
      </c>
      <c r="E422" s="15" t="str">
        <f t="shared" si="13"/>
        <v>After 15</v>
      </c>
      <c r="F422" t="s">
        <v>1362</v>
      </c>
      <c r="G422" s="16" t="str">
        <f>VLOOKUP(F422,DISTRICTS!B$2:C$626,2,FALSE)</f>
        <v>CHAMBERÍ</v>
      </c>
      <c r="H422" s="16" t="str">
        <f>IFERROR(VLOOKUP(G422,'areas for question 4'!A$2:B$10,2,FALSE),"")</f>
        <v>North</v>
      </c>
      <c r="I422" t="s">
        <v>1447</v>
      </c>
      <c r="J422" t="s">
        <v>1450</v>
      </c>
      <c r="K422" t="s">
        <v>1456</v>
      </c>
      <c r="L422" t="s">
        <v>1465</v>
      </c>
      <c r="M422" t="s">
        <v>1477</v>
      </c>
      <c r="N422" s="18" t="s">
        <v>34</v>
      </c>
    </row>
    <row r="423" spans="1:14" x14ac:dyDescent="0.25">
      <c r="A423" t="s">
        <v>1371</v>
      </c>
      <c r="B423" s="7">
        <v>43807</v>
      </c>
      <c r="C423" s="4">
        <v>0.82638888888888884</v>
      </c>
      <c r="D423" s="15">
        <f t="shared" si="12"/>
        <v>19</v>
      </c>
      <c r="E423" s="15" t="str">
        <f t="shared" si="13"/>
        <v>After 15</v>
      </c>
      <c r="F423" t="s">
        <v>1372</v>
      </c>
      <c r="G423" s="16" t="str">
        <f>VLOOKUP(F423,DISTRICTS!B$2:C$626,2,FALSE)</f>
        <v>TETUÁN</v>
      </c>
      <c r="H423" s="16" t="str">
        <f>IFERROR(VLOOKUP(G423,'areas for question 4'!A$2:B$10,2,FALSE),"")</f>
        <v>North</v>
      </c>
      <c r="I423" t="s">
        <v>1446</v>
      </c>
      <c r="J423" t="s">
        <v>1452</v>
      </c>
      <c r="K423" t="s">
        <v>1456</v>
      </c>
      <c r="L423" t="s">
        <v>1465</v>
      </c>
      <c r="M423" t="s">
        <v>1477</v>
      </c>
      <c r="N423" s="18" t="s">
        <v>34</v>
      </c>
    </row>
    <row r="424" spans="1:14" x14ac:dyDescent="0.25">
      <c r="A424" t="s">
        <v>1381</v>
      </c>
      <c r="B424" s="7">
        <v>43812</v>
      </c>
      <c r="C424" s="4">
        <v>0.21875</v>
      </c>
      <c r="D424" s="15">
        <f t="shared" si="12"/>
        <v>5</v>
      </c>
      <c r="E424" s="15" t="str">
        <f t="shared" si="13"/>
        <v>Before 15</v>
      </c>
      <c r="F424" t="s">
        <v>67</v>
      </c>
      <c r="G424" s="16" t="str">
        <f>VLOOKUP(F424,DISTRICTS!B$2:C$626,2,FALSE)</f>
        <v>CHAMARTÍN</v>
      </c>
      <c r="H424" s="16" t="str">
        <f>IFERROR(VLOOKUP(G424,'areas for question 4'!A$2:B$10,2,FALSE),"")</f>
        <v>North</v>
      </c>
      <c r="I424" t="s">
        <v>1444</v>
      </c>
      <c r="J424" t="s">
        <v>1450</v>
      </c>
      <c r="K424" t="s">
        <v>1456</v>
      </c>
      <c r="L424" t="s">
        <v>1465</v>
      </c>
      <c r="M424" t="s">
        <v>1477</v>
      </c>
      <c r="N424" s="18">
        <v>1</v>
      </c>
    </row>
    <row r="425" spans="1:14" x14ac:dyDescent="0.25">
      <c r="A425" t="s">
        <v>1389</v>
      </c>
      <c r="B425" s="7">
        <v>43814</v>
      </c>
      <c r="C425" s="4">
        <v>6.9444444444444441E-3</v>
      </c>
      <c r="D425" s="15">
        <f t="shared" si="12"/>
        <v>0</v>
      </c>
      <c r="E425" s="15" t="str">
        <f t="shared" si="13"/>
        <v>Before 15</v>
      </c>
      <c r="F425" t="s">
        <v>197</v>
      </c>
      <c r="G425" s="16" t="str">
        <f>VLOOKUP(F425,DISTRICTS!B$2:C$626,2,FALSE)</f>
        <v>CHAMARTÍN</v>
      </c>
      <c r="H425" s="16" t="str">
        <f>IFERROR(VLOOKUP(G425,'areas for question 4'!A$2:B$10,2,FALSE),"")</f>
        <v>North</v>
      </c>
      <c r="I425" t="s">
        <v>1444</v>
      </c>
      <c r="J425" t="s">
        <v>1450</v>
      </c>
      <c r="K425" t="s">
        <v>1456</v>
      </c>
      <c r="L425" t="s">
        <v>1465</v>
      </c>
      <c r="M425" t="s">
        <v>1477</v>
      </c>
      <c r="N425" s="18">
        <v>7</v>
      </c>
    </row>
    <row r="426" spans="1:14" x14ac:dyDescent="0.25">
      <c r="A426" t="s">
        <v>1392</v>
      </c>
      <c r="B426" s="7">
        <v>43816</v>
      </c>
      <c r="C426" s="4">
        <v>0.76041666666666663</v>
      </c>
      <c r="D426" s="15">
        <f t="shared" si="12"/>
        <v>18</v>
      </c>
      <c r="E426" s="15" t="str">
        <f t="shared" si="13"/>
        <v>After 15</v>
      </c>
      <c r="F426" t="s">
        <v>1393</v>
      </c>
      <c r="G426" s="16" t="str">
        <f>VLOOKUP(F426,DISTRICTS!B$2:C$626,2,FALSE)</f>
        <v>SAN BLAS-CANILLEJAS</v>
      </c>
      <c r="H426" s="16" t="str">
        <f>IFERROR(VLOOKUP(G426,'areas for question 4'!A$2:B$10,2,FALSE),"")</f>
        <v>East</v>
      </c>
      <c r="I426" t="s">
        <v>1446</v>
      </c>
      <c r="J426" t="s">
        <v>1454</v>
      </c>
      <c r="K426" t="s">
        <v>1456</v>
      </c>
      <c r="L426" t="s">
        <v>1465</v>
      </c>
      <c r="M426" t="s">
        <v>1477</v>
      </c>
      <c r="N426" s="18">
        <v>6</v>
      </c>
    </row>
    <row r="427" spans="1:14" x14ac:dyDescent="0.25">
      <c r="A427" t="s">
        <v>1421</v>
      </c>
      <c r="B427" s="7">
        <v>43826</v>
      </c>
      <c r="C427" s="4">
        <v>0.77083333333333337</v>
      </c>
      <c r="D427" s="15">
        <f t="shared" si="12"/>
        <v>18</v>
      </c>
      <c r="E427" s="15" t="str">
        <f t="shared" si="13"/>
        <v>After 15</v>
      </c>
      <c r="F427" t="s">
        <v>1422</v>
      </c>
      <c r="G427" s="16" t="str">
        <f>VLOOKUP(F427,DISTRICTS!B$2:C$626,2,FALSE)</f>
        <v>CARABANCHEL</v>
      </c>
      <c r="H427" s="16" t="str">
        <f>IFERROR(VLOOKUP(G427,'areas for question 4'!A$2:B$10,2,FALSE),"")</f>
        <v/>
      </c>
      <c r="I427" t="s">
        <v>1443</v>
      </c>
      <c r="J427" t="s">
        <v>1455</v>
      </c>
      <c r="K427" t="s">
        <v>1456</v>
      </c>
      <c r="L427" t="s">
        <v>1465</v>
      </c>
      <c r="M427" t="s">
        <v>1477</v>
      </c>
      <c r="N427" s="18">
        <v>14</v>
      </c>
    </row>
    <row r="428" spans="1:14" x14ac:dyDescent="0.25">
      <c r="A428" t="s">
        <v>1423</v>
      </c>
      <c r="B428" s="7">
        <v>43827</v>
      </c>
      <c r="C428" s="4">
        <v>0.77430555555555547</v>
      </c>
      <c r="D428" s="15">
        <f t="shared" si="12"/>
        <v>18</v>
      </c>
      <c r="E428" s="15" t="str">
        <f t="shared" si="13"/>
        <v>After 15</v>
      </c>
      <c r="F428" t="s">
        <v>1424</v>
      </c>
      <c r="G428" s="16" t="str">
        <f>VLOOKUP(F428,DISTRICTS!B$2:C$626,2,FALSE)</f>
        <v>MORATALAZ</v>
      </c>
      <c r="H428" s="16" t="str">
        <f>IFERROR(VLOOKUP(G428,'areas for question 4'!A$2:B$10,2,FALSE),"")</f>
        <v>East</v>
      </c>
      <c r="I428" t="s">
        <v>1446</v>
      </c>
      <c r="J428" t="s">
        <v>1450</v>
      </c>
      <c r="K428" t="s">
        <v>1456</v>
      </c>
      <c r="L428" t="s">
        <v>1465</v>
      </c>
      <c r="M428" t="s">
        <v>1477</v>
      </c>
      <c r="N428" s="18">
        <v>7</v>
      </c>
    </row>
    <row r="429" spans="1:14" x14ac:dyDescent="0.25">
      <c r="A429" s="5" t="s">
        <v>23</v>
      </c>
      <c r="B429" s="7">
        <v>43473</v>
      </c>
      <c r="C429" s="4">
        <v>0.87152777777777779</v>
      </c>
      <c r="D429" s="15">
        <f t="shared" si="12"/>
        <v>20</v>
      </c>
      <c r="E429" s="15" t="str">
        <f t="shared" si="13"/>
        <v>After 15</v>
      </c>
      <c r="F429" t="s">
        <v>24</v>
      </c>
      <c r="G429" s="16" t="str">
        <f>VLOOKUP(F429,DISTRICTS!B$2:C$626,2,FALSE)</f>
        <v>ARGANZUELA</v>
      </c>
      <c r="H429" s="16" t="str">
        <f>IFERROR(VLOOKUP(G429,'areas for question 4'!A$2:B$10,2,FALSE),"")</f>
        <v/>
      </c>
      <c r="I429" t="s">
        <v>1443</v>
      </c>
      <c r="J429" t="s">
        <v>1450</v>
      </c>
      <c r="K429" t="s">
        <v>1458</v>
      </c>
      <c r="L429" t="s">
        <v>1466</v>
      </c>
      <c r="M429" s="5" t="s">
        <v>1477</v>
      </c>
      <c r="N429" s="18">
        <v>7</v>
      </c>
    </row>
    <row r="430" spans="1:14" x14ac:dyDescent="0.25">
      <c r="A430" s="5" t="s">
        <v>62</v>
      </c>
      <c r="B430" s="7">
        <v>43481</v>
      </c>
      <c r="C430" s="4">
        <v>0.375</v>
      </c>
      <c r="D430" s="15">
        <f t="shared" si="12"/>
        <v>9</v>
      </c>
      <c r="E430" s="15" t="str">
        <f t="shared" si="13"/>
        <v>Before 15</v>
      </c>
      <c r="F430" t="s">
        <v>63</v>
      </c>
      <c r="G430" s="16" t="str">
        <f>VLOOKUP(F430,DISTRICTS!B$2:C$626,2,FALSE)</f>
        <v>CIUDAD LINEAL</v>
      </c>
      <c r="H430" s="16" t="str">
        <f>IFERROR(VLOOKUP(G430,'areas for question 4'!A$2:B$10,2,FALSE),"")</f>
        <v>East</v>
      </c>
      <c r="I430" t="s">
        <v>1446</v>
      </c>
      <c r="J430" t="s">
        <v>1450</v>
      </c>
      <c r="K430" t="s">
        <v>1456</v>
      </c>
      <c r="L430" t="s">
        <v>1466</v>
      </c>
      <c r="M430" s="5" t="s">
        <v>1477</v>
      </c>
      <c r="N430" s="18">
        <v>6</v>
      </c>
    </row>
    <row r="431" spans="1:14" x14ac:dyDescent="0.25">
      <c r="A431" s="5" t="s">
        <v>93</v>
      </c>
      <c r="B431" s="7">
        <v>43490</v>
      </c>
      <c r="C431" s="4">
        <v>0.3833333333333333</v>
      </c>
      <c r="D431" s="15">
        <f t="shared" si="12"/>
        <v>9</v>
      </c>
      <c r="E431" s="15" t="str">
        <f t="shared" si="13"/>
        <v>Before 15</v>
      </c>
      <c r="F431" t="s">
        <v>94</v>
      </c>
      <c r="G431" s="16" t="str">
        <f>VLOOKUP(F431,DISTRICTS!B$2:C$626,2,FALSE)</f>
        <v>RETIRO</v>
      </c>
      <c r="H431" s="16" t="str">
        <f>IFERROR(VLOOKUP(G431,'areas for question 4'!A$2:B$10,2,FALSE),"")</f>
        <v/>
      </c>
      <c r="I431" t="s">
        <v>1446</v>
      </c>
      <c r="J431" t="s">
        <v>1450</v>
      </c>
      <c r="K431" t="s">
        <v>1456</v>
      </c>
      <c r="L431" t="s">
        <v>1466</v>
      </c>
      <c r="M431" s="5" t="s">
        <v>1477</v>
      </c>
      <c r="N431" s="18">
        <v>7</v>
      </c>
    </row>
    <row r="432" spans="1:14" x14ac:dyDescent="0.25">
      <c r="A432" t="s">
        <v>108</v>
      </c>
      <c r="B432" s="7">
        <v>43497</v>
      </c>
      <c r="C432" s="4">
        <v>0.5625</v>
      </c>
      <c r="D432" s="15">
        <f t="shared" si="12"/>
        <v>13</v>
      </c>
      <c r="E432" s="15" t="str">
        <f t="shared" si="13"/>
        <v>Before 15</v>
      </c>
      <c r="F432" t="s">
        <v>109</v>
      </c>
      <c r="G432" s="16" t="str">
        <f>VLOOKUP(F432,DISTRICTS!B$2:C$626,2,FALSE)</f>
        <v>RETIRO</v>
      </c>
      <c r="H432" s="16" t="str">
        <f>IFERROR(VLOOKUP(G432,'areas for question 4'!A$2:B$10,2,FALSE),"")</f>
        <v/>
      </c>
      <c r="I432" t="s">
        <v>1441</v>
      </c>
      <c r="J432" t="s">
        <v>1450</v>
      </c>
      <c r="K432" t="s">
        <v>1456</v>
      </c>
      <c r="L432" t="s">
        <v>1466</v>
      </c>
      <c r="M432" t="s">
        <v>1478</v>
      </c>
      <c r="N432" s="18">
        <v>7</v>
      </c>
    </row>
    <row r="433" spans="1:14" x14ac:dyDescent="0.25">
      <c r="A433" t="s">
        <v>119</v>
      </c>
      <c r="B433" s="7">
        <v>43498</v>
      </c>
      <c r="C433" s="4">
        <v>2.0833333333333333E-3</v>
      </c>
      <c r="D433" s="15">
        <f t="shared" si="12"/>
        <v>0</v>
      </c>
      <c r="E433" s="15" t="str">
        <f t="shared" si="13"/>
        <v>Before 15</v>
      </c>
      <c r="F433" t="s">
        <v>97</v>
      </c>
      <c r="G433" s="16" t="str">
        <f>VLOOKUP(F433,DISTRICTS!B$2:C$626,2,FALSE)</f>
        <v>SALAMANCA</v>
      </c>
      <c r="H433" s="16" t="str">
        <f>IFERROR(VLOOKUP(G433,'areas for question 4'!A$2:B$10,2,FALSE),"")</f>
        <v/>
      </c>
      <c r="I433" t="s">
        <v>1444</v>
      </c>
      <c r="J433" t="s">
        <v>1450</v>
      </c>
      <c r="K433" t="s">
        <v>1456</v>
      </c>
      <c r="L433" t="s">
        <v>1466</v>
      </c>
      <c r="M433" t="s">
        <v>1477</v>
      </c>
      <c r="N433" s="18">
        <v>2</v>
      </c>
    </row>
    <row r="434" spans="1:14" x14ac:dyDescent="0.25">
      <c r="A434" t="s">
        <v>125</v>
      </c>
      <c r="B434" s="7">
        <v>43502</v>
      </c>
      <c r="C434" s="4">
        <v>0.69444444444444453</v>
      </c>
      <c r="D434" s="15">
        <f t="shared" si="12"/>
        <v>16</v>
      </c>
      <c r="E434" s="15" t="str">
        <f t="shared" si="13"/>
        <v>After 15</v>
      </c>
      <c r="F434" t="s">
        <v>126</v>
      </c>
      <c r="G434" s="16" t="str">
        <f>VLOOKUP(F434,DISTRICTS!B$2:C$626,2,FALSE)</f>
        <v>CENTRO</v>
      </c>
      <c r="H434" s="16" t="str">
        <f>IFERROR(VLOOKUP(G434,'areas for question 4'!A$2:B$10,2,FALSE),"")</f>
        <v/>
      </c>
      <c r="I434" t="s">
        <v>1444</v>
      </c>
      <c r="J434" t="s">
        <v>1450</v>
      </c>
      <c r="K434" t="s">
        <v>1456</v>
      </c>
      <c r="L434" t="s">
        <v>1466</v>
      </c>
      <c r="M434" t="s">
        <v>1477</v>
      </c>
      <c r="N434" s="18">
        <v>5</v>
      </c>
    </row>
    <row r="435" spans="1:14" x14ac:dyDescent="0.25">
      <c r="A435" t="s">
        <v>131</v>
      </c>
      <c r="B435" s="7">
        <v>43503</v>
      </c>
      <c r="C435" s="4">
        <v>0.78472222222222221</v>
      </c>
      <c r="D435" s="15">
        <f t="shared" si="12"/>
        <v>18</v>
      </c>
      <c r="E435" s="15" t="str">
        <f t="shared" si="13"/>
        <v>After 15</v>
      </c>
      <c r="F435" t="s">
        <v>132</v>
      </c>
      <c r="G435" s="16" t="str">
        <f>VLOOKUP(F435,DISTRICTS!B$2:C$626,2,FALSE)</f>
        <v>CHAMARTÍN</v>
      </c>
      <c r="H435" s="16" t="str">
        <f>IFERROR(VLOOKUP(G435,'areas for question 4'!A$2:B$10,2,FALSE),"")</f>
        <v>North</v>
      </c>
      <c r="I435" t="s">
        <v>1444</v>
      </c>
      <c r="J435" t="s">
        <v>1450</v>
      </c>
      <c r="K435" t="s">
        <v>1456</v>
      </c>
      <c r="L435" t="s">
        <v>1466</v>
      </c>
      <c r="M435" t="s">
        <v>1478</v>
      </c>
      <c r="N435" s="18">
        <v>6</v>
      </c>
    </row>
    <row r="436" spans="1:14" x14ac:dyDescent="0.25">
      <c r="A436" t="s">
        <v>135</v>
      </c>
      <c r="B436" s="7">
        <v>43503</v>
      </c>
      <c r="C436" s="4">
        <v>0.38541666666666669</v>
      </c>
      <c r="D436" s="15">
        <f t="shared" si="12"/>
        <v>9</v>
      </c>
      <c r="E436" s="15" t="str">
        <f t="shared" si="13"/>
        <v>Before 15</v>
      </c>
      <c r="F436" t="s">
        <v>15</v>
      </c>
      <c r="G436" s="16" t="str">
        <f>VLOOKUP(F436,DISTRICTS!B$2:C$626,2,FALSE)</f>
        <v>CHAMARTÍN</v>
      </c>
      <c r="H436" s="16" t="str">
        <f>IFERROR(VLOOKUP(G436,'areas for question 4'!A$2:B$10,2,FALSE),"")</f>
        <v>North</v>
      </c>
      <c r="I436" t="s">
        <v>1445</v>
      </c>
      <c r="J436" t="s">
        <v>1450</v>
      </c>
      <c r="K436" t="s">
        <v>1456</v>
      </c>
      <c r="L436" t="s">
        <v>1466</v>
      </c>
      <c r="M436" t="s">
        <v>1477</v>
      </c>
      <c r="N436" s="18">
        <v>7</v>
      </c>
    </row>
    <row r="437" spans="1:14" x14ac:dyDescent="0.25">
      <c r="A437" t="s">
        <v>143</v>
      </c>
      <c r="B437" s="7">
        <v>43507</v>
      </c>
      <c r="C437" s="4">
        <v>0.67569444444444438</v>
      </c>
      <c r="D437" s="15">
        <f t="shared" si="12"/>
        <v>16</v>
      </c>
      <c r="E437" s="15" t="str">
        <f t="shared" si="13"/>
        <v>After 15</v>
      </c>
      <c r="F437" t="s">
        <v>67</v>
      </c>
      <c r="G437" s="16" t="str">
        <f>VLOOKUP(F437,DISTRICTS!B$2:C$626,2,FALSE)</f>
        <v>CHAMARTÍN</v>
      </c>
      <c r="H437" s="16" t="str">
        <f>IFERROR(VLOOKUP(G437,'areas for question 4'!A$2:B$10,2,FALSE),"")</f>
        <v>North</v>
      </c>
      <c r="I437" t="s">
        <v>1441</v>
      </c>
      <c r="J437" t="s">
        <v>1450</v>
      </c>
      <c r="K437" t="s">
        <v>1456</v>
      </c>
      <c r="L437" t="s">
        <v>1466</v>
      </c>
      <c r="M437" t="s">
        <v>1477</v>
      </c>
      <c r="N437" s="18">
        <v>7</v>
      </c>
    </row>
    <row r="438" spans="1:14" x14ac:dyDescent="0.25">
      <c r="A438" t="s">
        <v>157</v>
      </c>
      <c r="B438" s="7">
        <v>43510</v>
      </c>
      <c r="C438" s="4">
        <v>0.75</v>
      </c>
      <c r="D438" s="15">
        <f t="shared" si="12"/>
        <v>18</v>
      </c>
      <c r="E438" s="15" t="str">
        <f t="shared" si="13"/>
        <v>After 15</v>
      </c>
      <c r="F438" t="s">
        <v>158</v>
      </c>
      <c r="G438" s="16" t="str">
        <f>VLOOKUP(F438,DISTRICTS!B$2:C$626,2,FALSE)</f>
        <v>RETIRO</v>
      </c>
      <c r="H438" s="16" t="str">
        <f>IFERROR(VLOOKUP(G438,'areas for question 4'!A$2:B$10,2,FALSE),"")</f>
        <v/>
      </c>
      <c r="I438" t="s">
        <v>1444</v>
      </c>
      <c r="J438" t="s">
        <v>1450</v>
      </c>
      <c r="K438" t="s">
        <v>1456</v>
      </c>
      <c r="L438" t="s">
        <v>1466</v>
      </c>
      <c r="M438" t="s">
        <v>1478</v>
      </c>
      <c r="N438" s="18" t="s">
        <v>34</v>
      </c>
    </row>
    <row r="439" spans="1:14" x14ac:dyDescent="0.25">
      <c r="A439" t="s">
        <v>167</v>
      </c>
      <c r="B439" s="7">
        <v>43512</v>
      </c>
      <c r="C439" s="4">
        <v>0.71527777777777779</v>
      </c>
      <c r="D439" s="15">
        <f t="shared" si="12"/>
        <v>17</v>
      </c>
      <c r="E439" s="15" t="str">
        <f t="shared" si="13"/>
        <v>After 15</v>
      </c>
      <c r="F439" t="s">
        <v>168</v>
      </c>
      <c r="G439" s="16" t="str">
        <f>VLOOKUP(F439,DISTRICTS!B$2:C$626,2,FALSE)</f>
        <v>ARGANZUELA</v>
      </c>
      <c r="H439" s="16" t="str">
        <f>IFERROR(VLOOKUP(G439,'areas for question 4'!A$2:B$10,2,FALSE),"")</f>
        <v/>
      </c>
      <c r="I439" t="s">
        <v>1444</v>
      </c>
      <c r="J439" t="s">
        <v>1450</v>
      </c>
      <c r="K439" t="s">
        <v>1456</v>
      </c>
      <c r="L439" t="s">
        <v>1466</v>
      </c>
      <c r="M439" t="s">
        <v>1478</v>
      </c>
      <c r="N439" s="18">
        <v>2</v>
      </c>
    </row>
    <row r="440" spans="1:14" x14ac:dyDescent="0.25">
      <c r="A440" t="s">
        <v>169</v>
      </c>
      <c r="B440" s="7">
        <v>43512</v>
      </c>
      <c r="C440" s="4">
        <v>0.58680555555555558</v>
      </c>
      <c r="D440" s="15">
        <f t="shared" si="12"/>
        <v>14</v>
      </c>
      <c r="E440" s="15" t="str">
        <f t="shared" si="13"/>
        <v>Before 15</v>
      </c>
      <c r="F440" t="s">
        <v>170</v>
      </c>
      <c r="G440" s="16" t="str">
        <f>VLOOKUP(F440,DISTRICTS!B$2:C$626,2,FALSE)</f>
        <v>CENTRO</v>
      </c>
      <c r="H440" s="16" t="str">
        <f>IFERROR(VLOOKUP(G440,'areas for question 4'!A$2:B$10,2,FALSE),"")</f>
        <v/>
      </c>
      <c r="I440" t="s">
        <v>1447</v>
      </c>
      <c r="J440" t="s">
        <v>1450</v>
      </c>
      <c r="K440" t="s">
        <v>1456</v>
      </c>
      <c r="L440" t="s">
        <v>1466</v>
      </c>
      <c r="M440" t="s">
        <v>1477</v>
      </c>
      <c r="N440" s="18" t="s">
        <v>34</v>
      </c>
    </row>
    <row r="441" spans="1:14" x14ac:dyDescent="0.25">
      <c r="A441" t="s">
        <v>171</v>
      </c>
      <c r="B441" s="7">
        <v>43513</v>
      </c>
      <c r="C441" s="4">
        <v>0.375</v>
      </c>
      <c r="D441" s="15">
        <f t="shared" si="12"/>
        <v>9</v>
      </c>
      <c r="E441" s="15" t="str">
        <f t="shared" si="13"/>
        <v>Before 15</v>
      </c>
      <c r="F441" t="s">
        <v>172</v>
      </c>
      <c r="G441" s="16" t="str">
        <f>VLOOKUP(F441,DISTRICTS!B$2:C$626,2,FALSE)</f>
        <v>CARABANCHEL</v>
      </c>
      <c r="H441" s="16" t="str">
        <f>IFERROR(VLOOKUP(G441,'areas for question 4'!A$2:B$10,2,FALSE),"")</f>
        <v/>
      </c>
      <c r="I441" t="s">
        <v>1441</v>
      </c>
      <c r="J441" t="s">
        <v>1450</v>
      </c>
      <c r="K441" t="s">
        <v>1456</v>
      </c>
      <c r="L441" t="s">
        <v>1466</v>
      </c>
      <c r="M441" t="s">
        <v>1477</v>
      </c>
      <c r="N441" s="18">
        <v>3</v>
      </c>
    </row>
    <row r="442" spans="1:14" x14ac:dyDescent="0.25">
      <c r="A442" t="s">
        <v>205</v>
      </c>
      <c r="B442" s="7">
        <v>43526</v>
      </c>
      <c r="C442" s="4">
        <v>0.61805555555555558</v>
      </c>
      <c r="D442" s="15">
        <f t="shared" si="12"/>
        <v>14</v>
      </c>
      <c r="E442" s="15" t="str">
        <f t="shared" si="13"/>
        <v>Before 15</v>
      </c>
      <c r="F442" t="s">
        <v>206</v>
      </c>
      <c r="G442" s="16" t="str">
        <f>VLOOKUP(F442,DISTRICTS!B$2:C$626,2,FALSE)</f>
        <v>TETUÁN</v>
      </c>
      <c r="H442" s="16" t="str">
        <f>IFERROR(VLOOKUP(G442,'areas for question 4'!A$2:B$10,2,FALSE),"")</f>
        <v>North</v>
      </c>
      <c r="I442" t="s">
        <v>1444</v>
      </c>
      <c r="J442" t="s">
        <v>1450</v>
      </c>
      <c r="K442" t="s">
        <v>1456</v>
      </c>
      <c r="L442" t="s">
        <v>1466</v>
      </c>
      <c r="M442" t="s">
        <v>1478</v>
      </c>
      <c r="N442" s="18">
        <v>7</v>
      </c>
    </row>
    <row r="443" spans="1:14" x14ac:dyDescent="0.25">
      <c r="A443" t="s">
        <v>220</v>
      </c>
      <c r="B443" s="7">
        <v>43529</v>
      </c>
      <c r="C443" s="4">
        <v>0.67708333333333337</v>
      </c>
      <c r="D443" s="15">
        <f t="shared" si="12"/>
        <v>16</v>
      </c>
      <c r="E443" s="15" t="str">
        <f t="shared" si="13"/>
        <v>After 15</v>
      </c>
      <c r="F443" t="s">
        <v>221</v>
      </c>
      <c r="G443" s="16" t="str">
        <f>VLOOKUP(F443,DISTRICTS!B$2:C$626,2,FALSE)</f>
        <v>BARAJAS</v>
      </c>
      <c r="H443" s="16" t="str">
        <f>IFERROR(VLOOKUP(G443,'areas for question 4'!A$2:B$10,2,FALSE),"")</f>
        <v>East</v>
      </c>
      <c r="I443" t="s">
        <v>1446</v>
      </c>
      <c r="J443" t="s">
        <v>1450</v>
      </c>
      <c r="K443" t="s">
        <v>1456</v>
      </c>
      <c r="L443" t="s">
        <v>1466</v>
      </c>
      <c r="M443" t="s">
        <v>1477</v>
      </c>
      <c r="N443" s="18">
        <v>7</v>
      </c>
    </row>
    <row r="444" spans="1:14" x14ac:dyDescent="0.25">
      <c r="A444" t="s">
        <v>224</v>
      </c>
      <c r="B444" s="7">
        <v>43530</v>
      </c>
      <c r="C444" s="4">
        <v>0.39583333333333331</v>
      </c>
      <c r="D444" s="15">
        <f t="shared" si="12"/>
        <v>9</v>
      </c>
      <c r="E444" s="15" t="str">
        <f t="shared" si="13"/>
        <v>Before 15</v>
      </c>
      <c r="F444" t="s">
        <v>225</v>
      </c>
      <c r="G444" s="16" t="str">
        <f>VLOOKUP(F444,DISTRICTS!B$2:C$626,2,FALSE)</f>
        <v>VILLA DE VALLECAS</v>
      </c>
      <c r="H444" s="16" t="str">
        <f>IFERROR(VLOOKUP(G444,'areas for question 4'!A$2:B$10,2,FALSE),"")</f>
        <v/>
      </c>
      <c r="I444" t="s">
        <v>1444</v>
      </c>
      <c r="J444" t="s">
        <v>1453</v>
      </c>
      <c r="K444" t="s">
        <v>1456</v>
      </c>
      <c r="L444" t="s">
        <v>1466</v>
      </c>
      <c r="M444" t="s">
        <v>1477</v>
      </c>
      <c r="N444" s="18">
        <v>7</v>
      </c>
    </row>
    <row r="445" spans="1:14" x14ac:dyDescent="0.25">
      <c r="A445" t="s">
        <v>242</v>
      </c>
      <c r="B445" s="7">
        <v>43535</v>
      </c>
      <c r="C445" s="4">
        <v>0.89583333333333337</v>
      </c>
      <c r="D445" s="15">
        <f t="shared" si="12"/>
        <v>21</v>
      </c>
      <c r="E445" s="15" t="str">
        <f t="shared" si="13"/>
        <v>After 15</v>
      </c>
      <c r="F445" t="s">
        <v>243</v>
      </c>
      <c r="G445" s="16" t="str">
        <f>VLOOKUP(F445,DISTRICTS!B$2:C$626,2,FALSE)</f>
        <v>CENTRO</v>
      </c>
      <c r="H445" s="16" t="str">
        <f>IFERROR(VLOOKUP(G445,'areas for question 4'!A$2:B$10,2,FALSE),"")</f>
        <v/>
      </c>
      <c r="I445" t="s">
        <v>1441</v>
      </c>
      <c r="K445" t="s">
        <v>1456</v>
      </c>
      <c r="L445" t="s">
        <v>1466</v>
      </c>
      <c r="M445" t="s">
        <v>1478</v>
      </c>
      <c r="N445" s="18" t="s">
        <v>34</v>
      </c>
    </row>
    <row r="446" spans="1:14" x14ac:dyDescent="0.25">
      <c r="A446" t="s">
        <v>244</v>
      </c>
      <c r="B446" s="7">
        <v>43535</v>
      </c>
      <c r="C446" s="4">
        <v>0.875</v>
      </c>
      <c r="D446" s="15">
        <f t="shared" si="12"/>
        <v>21</v>
      </c>
      <c r="E446" s="15" t="str">
        <f t="shared" si="13"/>
        <v>After 15</v>
      </c>
      <c r="F446" t="s">
        <v>245</v>
      </c>
      <c r="G446" s="16" t="str">
        <f>VLOOKUP(F446,DISTRICTS!B$2:C$626,2,FALSE)</f>
        <v>SALAMANCA</v>
      </c>
      <c r="H446" s="16" t="str">
        <f>IFERROR(VLOOKUP(G446,'areas for question 4'!A$2:B$10,2,FALSE),"")</f>
        <v/>
      </c>
      <c r="I446" t="s">
        <v>1444</v>
      </c>
      <c r="J446" t="s">
        <v>1450</v>
      </c>
      <c r="K446" t="s">
        <v>1456</v>
      </c>
      <c r="L446" t="s">
        <v>1466</v>
      </c>
      <c r="M446" t="s">
        <v>1478</v>
      </c>
      <c r="N446" s="18">
        <v>2</v>
      </c>
    </row>
    <row r="447" spans="1:14" x14ac:dyDescent="0.25">
      <c r="A447" t="s">
        <v>251</v>
      </c>
      <c r="B447" s="7">
        <v>43536</v>
      </c>
      <c r="C447" s="4">
        <v>0.38194444444444442</v>
      </c>
      <c r="D447" s="15">
        <f t="shared" si="12"/>
        <v>9</v>
      </c>
      <c r="E447" s="15" t="str">
        <f t="shared" si="13"/>
        <v>Before 15</v>
      </c>
      <c r="F447" t="s">
        <v>252</v>
      </c>
      <c r="G447" s="16" t="str">
        <f>VLOOKUP(F447,DISTRICTS!B$2:C$626,2,FALSE)</f>
        <v>CHAMARTÍN</v>
      </c>
      <c r="H447" s="16" t="str">
        <f>IFERROR(VLOOKUP(G447,'areas for question 4'!A$2:B$10,2,FALSE),"")</f>
        <v>North</v>
      </c>
      <c r="I447" t="s">
        <v>1441</v>
      </c>
      <c r="J447" t="s">
        <v>1450</v>
      </c>
      <c r="K447" t="s">
        <v>1456</v>
      </c>
      <c r="L447" t="s">
        <v>1466</v>
      </c>
      <c r="M447" t="s">
        <v>1477</v>
      </c>
      <c r="N447" s="18">
        <v>1</v>
      </c>
    </row>
    <row r="448" spans="1:14" x14ac:dyDescent="0.25">
      <c r="A448" t="s">
        <v>289</v>
      </c>
      <c r="B448" s="7">
        <v>43544</v>
      </c>
      <c r="C448" s="4">
        <v>0.4375</v>
      </c>
      <c r="D448" s="15">
        <f t="shared" si="12"/>
        <v>10</v>
      </c>
      <c r="E448" s="15" t="str">
        <f t="shared" si="13"/>
        <v>Before 15</v>
      </c>
      <c r="F448" t="s">
        <v>290</v>
      </c>
      <c r="G448" s="16" t="str">
        <f>VLOOKUP(F448,DISTRICTS!B$2:C$626,2,FALSE)</f>
        <v>CHAMARTÍN</v>
      </c>
      <c r="H448" s="16" t="str">
        <f>IFERROR(VLOOKUP(G448,'areas for question 4'!A$2:B$10,2,FALSE),"")</f>
        <v>North</v>
      </c>
      <c r="I448" t="s">
        <v>1443</v>
      </c>
      <c r="J448" t="s">
        <v>1450</v>
      </c>
      <c r="K448" t="s">
        <v>1456</v>
      </c>
      <c r="L448" t="s">
        <v>1466</v>
      </c>
      <c r="M448" t="s">
        <v>1477</v>
      </c>
      <c r="N448" s="18">
        <v>14</v>
      </c>
    </row>
    <row r="449" spans="1:14" x14ac:dyDescent="0.25">
      <c r="A449" t="s">
        <v>295</v>
      </c>
      <c r="B449" s="7">
        <v>43546</v>
      </c>
      <c r="C449" s="4">
        <v>0.59375</v>
      </c>
      <c r="D449" s="15">
        <f t="shared" si="12"/>
        <v>14</v>
      </c>
      <c r="E449" s="15" t="str">
        <f t="shared" si="13"/>
        <v>Before 15</v>
      </c>
      <c r="F449" t="s">
        <v>178</v>
      </c>
      <c r="G449" s="16" t="str">
        <f>VLOOKUP(F449,DISTRICTS!B$2:C$626,2,FALSE)</f>
        <v>CENTRO</v>
      </c>
      <c r="H449" s="16" t="str">
        <f>IFERROR(VLOOKUP(G449,'areas for question 4'!A$2:B$10,2,FALSE),"")</f>
        <v/>
      </c>
      <c r="I449" t="s">
        <v>1443</v>
      </c>
      <c r="J449" t="s">
        <v>1450</v>
      </c>
      <c r="K449" t="s">
        <v>1456</v>
      </c>
      <c r="L449" t="s">
        <v>1466</v>
      </c>
      <c r="M449" t="s">
        <v>1478</v>
      </c>
      <c r="N449" s="18">
        <v>14</v>
      </c>
    </row>
    <row r="450" spans="1:14" x14ac:dyDescent="0.25">
      <c r="A450" t="s">
        <v>302</v>
      </c>
      <c r="B450" s="7">
        <v>43548</v>
      </c>
      <c r="C450" s="4">
        <v>0.52083333333333337</v>
      </c>
      <c r="D450" s="15">
        <f t="shared" si="12"/>
        <v>12</v>
      </c>
      <c r="E450" s="15" t="str">
        <f t="shared" si="13"/>
        <v>Before 15</v>
      </c>
      <c r="F450" t="s">
        <v>303</v>
      </c>
      <c r="G450" s="16" t="str">
        <f>VLOOKUP(F450,DISTRICTS!B$2:C$626,2,FALSE)</f>
        <v>ARGANZUELA</v>
      </c>
      <c r="H450" s="16" t="str">
        <f>IFERROR(VLOOKUP(G450,'areas for question 4'!A$2:B$10,2,FALSE),"")</f>
        <v/>
      </c>
      <c r="I450" t="s">
        <v>1446</v>
      </c>
      <c r="J450" t="s">
        <v>1450</v>
      </c>
      <c r="K450" t="s">
        <v>1456</v>
      </c>
      <c r="L450" t="s">
        <v>1466</v>
      </c>
      <c r="M450" t="s">
        <v>1478</v>
      </c>
      <c r="N450" s="18">
        <v>7</v>
      </c>
    </row>
    <row r="451" spans="1:14" x14ac:dyDescent="0.25">
      <c r="A451" t="s">
        <v>314</v>
      </c>
      <c r="B451" s="7">
        <v>43550</v>
      </c>
      <c r="C451" s="4">
        <v>0.55555555555555558</v>
      </c>
      <c r="D451" s="15">
        <f t="shared" ref="D451:D514" si="14">HOUR(C451)</f>
        <v>13</v>
      </c>
      <c r="E451" s="15" t="str">
        <f t="shared" ref="E451:E514" si="15">IF(D451&lt;15,"Before 15","After 15")</f>
        <v>Before 15</v>
      </c>
      <c r="F451" t="s">
        <v>315</v>
      </c>
      <c r="G451" s="16" t="str">
        <f>VLOOKUP(F451,DISTRICTS!B$2:C$626,2,FALSE)</f>
        <v>CENTRO</v>
      </c>
      <c r="H451" s="16" t="str">
        <f>IFERROR(VLOOKUP(G451,'areas for question 4'!A$2:B$10,2,FALSE),"")</f>
        <v/>
      </c>
      <c r="I451" t="s">
        <v>1444</v>
      </c>
      <c r="J451" t="s">
        <v>1450</v>
      </c>
      <c r="K451" t="s">
        <v>1456</v>
      </c>
      <c r="L451" t="s">
        <v>1466</v>
      </c>
      <c r="M451" t="s">
        <v>1477</v>
      </c>
      <c r="N451" s="18">
        <v>7</v>
      </c>
    </row>
    <row r="452" spans="1:14" x14ac:dyDescent="0.25">
      <c r="A452" t="s">
        <v>318</v>
      </c>
      <c r="B452" s="7">
        <v>43551</v>
      </c>
      <c r="C452" s="4">
        <v>0.54861111111111105</v>
      </c>
      <c r="D452" s="15">
        <f t="shared" si="14"/>
        <v>13</v>
      </c>
      <c r="E452" s="15" t="str">
        <f t="shared" si="15"/>
        <v>Before 15</v>
      </c>
      <c r="F452" t="s">
        <v>319</v>
      </c>
      <c r="G452" s="16" t="str">
        <f>VLOOKUP(F452,DISTRICTS!B$2:C$626,2,FALSE)</f>
        <v>MORATALAZ</v>
      </c>
      <c r="H452" s="16" t="str">
        <f>IFERROR(VLOOKUP(G452,'areas for question 4'!A$2:B$10,2,FALSE),"")</f>
        <v>East</v>
      </c>
      <c r="I452" t="s">
        <v>1444</v>
      </c>
      <c r="J452" t="s">
        <v>1450</v>
      </c>
      <c r="K452" t="s">
        <v>1456</v>
      </c>
      <c r="L452" t="s">
        <v>1466</v>
      </c>
      <c r="M452" t="s">
        <v>1477</v>
      </c>
      <c r="N452" s="18">
        <v>7</v>
      </c>
    </row>
    <row r="453" spans="1:14" x14ac:dyDescent="0.25">
      <c r="A453" t="s">
        <v>328</v>
      </c>
      <c r="B453" s="7">
        <v>43553</v>
      </c>
      <c r="C453" s="4">
        <v>0.71875</v>
      </c>
      <c r="D453" s="15">
        <f t="shared" si="14"/>
        <v>17</v>
      </c>
      <c r="E453" s="15" t="str">
        <f t="shared" si="15"/>
        <v>After 15</v>
      </c>
      <c r="F453" t="s">
        <v>329</v>
      </c>
      <c r="G453" s="16" t="str">
        <f>VLOOKUP(F453,DISTRICTS!B$2:C$626,2,FALSE)</f>
        <v>TETUÁN</v>
      </c>
      <c r="H453" s="16" t="str">
        <f>IFERROR(VLOOKUP(G453,'areas for question 4'!A$2:B$10,2,FALSE),"")</f>
        <v>North</v>
      </c>
      <c r="I453" t="s">
        <v>1447</v>
      </c>
      <c r="J453" t="s">
        <v>1450</v>
      </c>
      <c r="K453" t="s">
        <v>1456</v>
      </c>
      <c r="L453" t="s">
        <v>1466</v>
      </c>
      <c r="M453" t="s">
        <v>1477</v>
      </c>
      <c r="N453" s="18">
        <v>7</v>
      </c>
    </row>
    <row r="454" spans="1:14" x14ac:dyDescent="0.25">
      <c r="A454" t="s">
        <v>336</v>
      </c>
      <c r="B454" s="7">
        <v>43554</v>
      </c>
      <c r="C454" s="4">
        <v>0.3888888888888889</v>
      </c>
      <c r="D454" s="15">
        <f t="shared" si="14"/>
        <v>9</v>
      </c>
      <c r="E454" s="15" t="str">
        <f t="shared" si="15"/>
        <v>Before 15</v>
      </c>
      <c r="F454" t="s">
        <v>337</v>
      </c>
      <c r="G454" s="16" t="str">
        <f>VLOOKUP(F454,DISTRICTS!B$2:C$626,2,FALSE)</f>
        <v>PUENTE DE VALLECAS</v>
      </c>
      <c r="H454" s="16" t="str">
        <f>IFERROR(VLOOKUP(G454,'areas for question 4'!A$2:B$10,2,FALSE),"")</f>
        <v/>
      </c>
      <c r="I454" t="s">
        <v>1446</v>
      </c>
      <c r="J454" t="s">
        <v>1450</v>
      </c>
      <c r="K454" t="s">
        <v>1456</v>
      </c>
      <c r="L454" t="s">
        <v>1466</v>
      </c>
      <c r="M454" t="s">
        <v>1477</v>
      </c>
      <c r="N454" s="18">
        <v>6</v>
      </c>
    </row>
    <row r="455" spans="1:14" x14ac:dyDescent="0.25">
      <c r="A455" t="s">
        <v>354</v>
      </c>
      <c r="B455" s="7">
        <v>43560</v>
      </c>
      <c r="C455" s="4">
        <v>0.4375</v>
      </c>
      <c r="D455" s="15">
        <f t="shared" si="14"/>
        <v>10</v>
      </c>
      <c r="E455" s="15" t="str">
        <f t="shared" si="15"/>
        <v>Before 15</v>
      </c>
      <c r="F455" t="s">
        <v>355</v>
      </c>
      <c r="G455" s="16" t="str">
        <f>VLOOKUP(F455,DISTRICTS!B$2:C$626,2,FALSE)</f>
        <v>CIUDAD LINEAL</v>
      </c>
      <c r="H455" s="16" t="str">
        <f>IFERROR(VLOOKUP(G455,'areas for question 4'!A$2:B$10,2,FALSE),"")</f>
        <v>East</v>
      </c>
      <c r="I455" t="s">
        <v>1447</v>
      </c>
      <c r="J455" t="s">
        <v>1452</v>
      </c>
      <c r="K455" t="s">
        <v>1456</v>
      </c>
      <c r="L455" t="s">
        <v>1466</v>
      </c>
      <c r="M455" t="s">
        <v>1478</v>
      </c>
      <c r="N455" s="18">
        <v>2</v>
      </c>
    </row>
    <row r="456" spans="1:14" x14ac:dyDescent="0.25">
      <c r="A456" t="s">
        <v>366</v>
      </c>
      <c r="B456" s="7">
        <v>43563</v>
      </c>
      <c r="C456" s="4">
        <v>0.37152777777777773</v>
      </c>
      <c r="D456" s="15">
        <f t="shared" si="14"/>
        <v>8</v>
      </c>
      <c r="E456" s="15" t="str">
        <f t="shared" si="15"/>
        <v>Before 15</v>
      </c>
      <c r="F456" t="s">
        <v>367</v>
      </c>
      <c r="G456" s="16" t="str">
        <f>VLOOKUP(F456,DISTRICTS!B$2:C$626,2,FALSE)</f>
        <v>MONCLOA-ARAVACA</v>
      </c>
      <c r="H456" s="16" t="str">
        <f>IFERROR(VLOOKUP(G456,'areas for question 4'!A$2:B$10,2,FALSE),"")</f>
        <v/>
      </c>
      <c r="I456" t="s">
        <v>1441</v>
      </c>
      <c r="J456" t="s">
        <v>1452</v>
      </c>
      <c r="K456" t="s">
        <v>1456</v>
      </c>
      <c r="L456" t="s">
        <v>1466</v>
      </c>
      <c r="M456" t="s">
        <v>1477</v>
      </c>
      <c r="N456" s="18">
        <v>7</v>
      </c>
    </row>
    <row r="457" spans="1:14" x14ac:dyDescent="0.25">
      <c r="A457" t="s">
        <v>430</v>
      </c>
      <c r="B457" s="7">
        <v>43591</v>
      </c>
      <c r="C457" s="4">
        <v>0.21180555555555555</v>
      </c>
      <c r="D457" s="15">
        <f t="shared" si="14"/>
        <v>5</v>
      </c>
      <c r="E457" s="15" t="str">
        <f t="shared" si="15"/>
        <v>Before 15</v>
      </c>
      <c r="F457" t="s">
        <v>431</v>
      </c>
      <c r="G457" s="16" t="str">
        <f>VLOOKUP(F457,DISTRICTS!B$2:C$626,2,FALSE)</f>
        <v>SALAMANCA</v>
      </c>
      <c r="H457" s="16" t="str">
        <f>IFERROR(VLOOKUP(G457,'areas for question 4'!A$2:B$10,2,FALSE),"")</f>
        <v/>
      </c>
      <c r="I457" t="s">
        <v>1441</v>
      </c>
      <c r="J457" t="s">
        <v>1450</v>
      </c>
      <c r="K457" t="s">
        <v>1456</v>
      </c>
      <c r="L457" t="s">
        <v>1466</v>
      </c>
      <c r="M457" t="s">
        <v>1477</v>
      </c>
      <c r="N457" s="18">
        <v>7</v>
      </c>
    </row>
    <row r="458" spans="1:14" x14ac:dyDescent="0.25">
      <c r="A458" t="s">
        <v>445</v>
      </c>
      <c r="B458" s="7">
        <v>43595</v>
      </c>
      <c r="C458" s="4">
        <v>0.4861111111111111</v>
      </c>
      <c r="D458" s="15">
        <f t="shared" si="14"/>
        <v>11</v>
      </c>
      <c r="E458" s="15" t="str">
        <f t="shared" si="15"/>
        <v>Before 15</v>
      </c>
      <c r="F458" t="s">
        <v>446</v>
      </c>
      <c r="G458" s="16" t="str">
        <f>VLOOKUP(F458,DISTRICTS!B$2:C$626,2,FALSE)</f>
        <v>CARABANCHEL</v>
      </c>
      <c r="H458" s="16" t="str">
        <f>IFERROR(VLOOKUP(G458,'areas for question 4'!A$2:B$10,2,FALSE),"")</f>
        <v/>
      </c>
      <c r="I458" t="s">
        <v>1441</v>
      </c>
      <c r="J458" t="s">
        <v>1450</v>
      </c>
      <c r="K458" t="s">
        <v>1456</v>
      </c>
      <c r="L458" t="s">
        <v>1466</v>
      </c>
      <c r="M458" t="s">
        <v>1478</v>
      </c>
      <c r="N458" s="18">
        <v>7</v>
      </c>
    </row>
    <row r="459" spans="1:14" x14ac:dyDescent="0.25">
      <c r="A459" t="s">
        <v>461</v>
      </c>
      <c r="B459" s="7">
        <v>43598</v>
      </c>
      <c r="C459" s="4">
        <v>0.54513888888888895</v>
      </c>
      <c r="D459" s="15">
        <f t="shared" si="14"/>
        <v>13</v>
      </c>
      <c r="E459" s="15" t="str">
        <f t="shared" si="15"/>
        <v>Before 15</v>
      </c>
      <c r="F459" t="s">
        <v>462</v>
      </c>
      <c r="G459" s="16" t="str">
        <f>VLOOKUP(F459,DISTRICTS!B$2:C$626,2,FALSE)</f>
        <v>SALAMANCA</v>
      </c>
      <c r="H459" s="16" t="str">
        <f>IFERROR(VLOOKUP(G459,'areas for question 4'!A$2:B$10,2,FALSE),"")</f>
        <v/>
      </c>
      <c r="I459" t="s">
        <v>1446</v>
      </c>
      <c r="J459" t="s">
        <v>1450</v>
      </c>
      <c r="K459" t="s">
        <v>1456</v>
      </c>
      <c r="L459" t="s">
        <v>1466</v>
      </c>
      <c r="M459" t="s">
        <v>1477</v>
      </c>
      <c r="N459" s="18">
        <v>7</v>
      </c>
    </row>
    <row r="460" spans="1:14" x14ac:dyDescent="0.25">
      <c r="A460" t="s">
        <v>471</v>
      </c>
      <c r="B460" s="7">
        <v>43601</v>
      </c>
      <c r="C460" s="4">
        <v>0.96527777777777779</v>
      </c>
      <c r="D460" s="15">
        <f t="shared" si="14"/>
        <v>23</v>
      </c>
      <c r="E460" s="15" t="str">
        <f t="shared" si="15"/>
        <v>After 15</v>
      </c>
      <c r="F460" t="s">
        <v>472</v>
      </c>
      <c r="G460" s="16" t="str">
        <f>VLOOKUP(F460,DISTRICTS!B$2:C$626,2,FALSE)</f>
        <v>PUENTE DE VALLECAS</v>
      </c>
      <c r="H460" s="16" t="str">
        <f>IFERROR(VLOOKUP(G460,'areas for question 4'!A$2:B$10,2,FALSE),"")</f>
        <v/>
      </c>
      <c r="I460" t="s">
        <v>1447</v>
      </c>
      <c r="J460" t="s">
        <v>1450</v>
      </c>
      <c r="K460" t="s">
        <v>1456</v>
      </c>
      <c r="L460" t="s">
        <v>1466</v>
      </c>
      <c r="M460" t="s">
        <v>1477</v>
      </c>
      <c r="N460" s="18">
        <v>1</v>
      </c>
    </row>
    <row r="461" spans="1:14" x14ac:dyDescent="0.25">
      <c r="A461" t="s">
        <v>478</v>
      </c>
      <c r="B461" s="7">
        <v>43601</v>
      </c>
      <c r="C461" s="4">
        <v>0.33680555555555558</v>
      </c>
      <c r="D461" s="15">
        <f t="shared" si="14"/>
        <v>8</v>
      </c>
      <c r="E461" s="15" t="str">
        <f t="shared" si="15"/>
        <v>Before 15</v>
      </c>
      <c r="F461" t="s">
        <v>479</v>
      </c>
      <c r="G461" s="16" t="str">
        <f>VLOOKUP(F461,DISTRICTS!B$2:C$626,2,FALSE)</f>
        <v>HORTALEZA</v>
      </c>
      <c r="H461" s="16" t="str">
        <f>IFERROR(VLOOKUP(G461,'areas for question 4'!A$2:B$10,2,FALSE),"")</f>
        <v/>
      </c>
      <c r="I461" t="s">
        <v>1446</v>
      </c>
      <c r="J461" t="s">
        <v>1450</v>
      </c>
      <c r="K461" t="s">
        <v>1456</v>
      </c>
      <c r="L461" t="s">
        <v>1466</v>
      </c>
      <c r="M461" t="s">
        <v>1477</v>
      </c>
      <c r="N461" s="18">
        <v>2</v>
      </c>
    </row>
    <row r="462" spans="1:14" x14ac:dyDescent="0.25">
      <c r="A462" t="s">
        <v>480</v>
      </c>
      <c r="B462" s="7">
        <v>43601</v>
      </c>
      <c r="C462" s="4">
        <v>4.1666666666666664E-2</v>
      </c>
      <c r="D462" s="15">
        <f t="shared" si="14"/>
        <v>1</v>
      </c>
      <c r="E462" s="15" t="str">
        <f t="shared" si="15"/>
        <v>Before 15</v>
      </c>
      <c r="F462" t="s">
        <v>481</v>
      </c>
      <c r="G462" s="16" t="str">
        <f>VLOOKUP(F462,DISTRICTS!B$2:C$626,2,FALSE)</f>
        <v>ARGANZUELA</v>
      </c>
      <c r="H462" s="16" t="str">
        <f>IFERROR(VLOOKUP(G462,'areas for question 4'!A$2:B$10,2,FALSE),"")</f>
        <v/>
      </c>
      <c r="I462" t="s">
        <v>1441</v>
      </c>
      <c r="J462" t="s">
        <v>1450</v>
      </c>
      <c r="K462" t="s">
        <v>1456</v>
      </c>
      <c r="L462" t="s">
        <v>1466</v>
      </c>
      <c r="M462" t="s">
        <v>1478</v>
      </c>
      <c r="N462" s="18">
        <v>5</v>
      </c>
    </row>
    <row r="463" spans="1:14" x14ac:dyDescent="0.25">
      <c r="A463" t="s">
        <v>484</v>
      </c>
      <c r="B463" s="7">
        <v>43603</v>
      </c>
      <c r="C463" s="4">
        <v>0.74652777777777779</v>
      </c>
      <c r="D463" s="15">
        <f t="shared" si="14"/>
        <v>17</v>
      </c>
      <c r="E463" s="15" t="str">
        <f t="shared" si="15"/>
        <v>After 15</v>
      </c>
      <c r="F463" t="s">
        <v>397</v>
      </c>
      <c r="G463" s="16" t="str">
        <f>VLOOKUP(F463,DISTRICTS!B$2:C$626,2,FALSE)</f>
        <v>BARAJAS</v>
      </c>
      <c r="H463" s="16" t="str">
        <f>IFERROR(VLOOKUP(G463,'areas for question 4'!A$2:B$10,2,FALSE),"")</f>
        <v>East</v>
      </c>
      <c r="I463" t="s">
        <v>1444</v>
      </c>
      <c r="J463" t="s">
        <v>1450</v>
      </c>
      <c r="K463" t="s">
        <v>1456</v>
      </c>
      <c r="L463" t="s">
        <v>1466</v>
      </c>
      <c r="M463" t="s">
        <v>1478</v>
      </c>
      <c r="N463" s="18">
        <v>2</v>
      </c>
    </row>
    <row r="464" spans="1:14" x14ac:dyDescent="0.25">
      <c r="A464" t="s">
        <v>494</v>
      </c>
      <c r="B464" s="7">
        <v>43605</v>
      </c>
      <c r="C464" s="4">
        <v>0.60416666666666663</v>
      </c>
      <c r="D464" s="15">
        <f t="shared" si="14"/>
        <v>14</v>
      </c>
      <c r="E464" s="15" t="str">
        <f t="shared" si="15"/>
        <v>Before 15</v>
      </c>
      <c r="F464" t="s">
        <v>495</v>
      </c>
      <c r="G464" s="16" t="str">
        <f>VLOOKUP(F464,DISTRICTS!B$2:C$626,2,FALSE)</f>
        <v>VILLAVERDE</v>
      </c>
      <c r="H464" s="16" t="str">
        <f>IFERROR(VLOOKUP(G464,'areas for question 4'!A$2:B$10,2,FALSE),"")</f>
        <v/>
      </c>
      <c r="I464" t="s">
        <v>1443</v>
      </c>
      <c r="J464" t="s">
        <v>1450</v>
      </c>
      <c r="K464" t="s">
        <v>1456</v>
      </c>
      <c r="L464" t="s">
        <v>1466</v>
      </c>
      <c r="M464" t="s">
        <v>1477</v>
      </c>
      <c r="N464" s="18">
        <v>14</v>
      </c>
    </row>
    <row r="465" spans="1:14" x14ac:dyDescent="0.25">
      <c r="A465" t="s">
        <v>517</v>
      </c>
      <c r="B465" s="7">
        <v>43608</v>
      </c>
      <c r="C465" s="4">
        <v>0.37152777777777773</v>
      </c>
      <c r="D465" s="15">
        <f t="shared" si="14"/>
        <v>8</v>
      </c>
      <c r="E465" s="15" t="str">
        <f t="shared" si="15"/>
        <v>Before 15</v>
      </c>
      <c r="F465" t="s">
        <v>518</v>
      </c>
      <c r="G465" s="16" t="str">
        <f>VLOOKUP(F465,DISTRICTS!B$2:C$626,2,FALSE)</f>
        <v>CENTRO</v>
      </c>
      <c r="H465" s="16" t="str">
        <f>IFERROR(VLOOKUP(G465,'areas for question 4'!A$2:B$10,2,FALSE),"")</f>
        <v/>
      </c>
      <c r="I465" t="s">
        <v>1444</v>
      </c>
      <c r="J465" t="s">
        <v>1450</v>
      </c>
      <c r="K465" t="s">
        <v>1456</v>
      </c>
      <c r="L465" t="s">
        <v>1466</v>
      </c>
      <c r="M465" t="s">
        <v>1477</v>
      </c>
      <c r="N465" s="18" t="s">
        <v>34</v>
      </c>
    </row>
    <row r="466" spans="1:14" x14ac:dyDescent="0.25">
      <c r="A466" t="s">
        <v>524</v>
      </c>
      <c r="B466" s="7">
        <v>43610</v>
      </c>
      <c r="C466" s="4">
        <v>0.34722222222222227</v>
      </c>
      <c r="D466" s="15">
        <f t="shared" si="14"/>
        <v>8</v>
      </c>
      <c r="E466" s="15" t="str">
        <f t="shared" si="15"/>
        <v>Before 15</v>
      </c>
      <c r="F466" t="s">
        <v>525</v>
      </c>
      <c r="G466" s="16" t="str">
        <f>VLOOKUP(F466,DISTRICTS!B$2:C$626,2,FALSE)</f>
        <v>CENTRO</v>
      </c>
      <c r="H466" s="16" t="str">
        <f>IFERROR(VLOOKUP(G466,'areas for question 4'!A$2:B$10,2,FALSE),"")</f>
        <v/>
      </c>
      <c r="I466" t="s">
        <v>1444</v>
      </c>
      <c r="J466" t="s">
        <v>1450</v>
      </c>
      <c r="K466" t="s">
        <v>1456</v>
      </c>
      <c r="L466" t="s">
        <v>1466</v>
      </c>
      <c r="M466" t="s">
        <v>1477</v>
      </c>
      <c r="N466" s="18">
        <v>3</v>
      </c>
    </row>
    <row r="467" spans="1:14" x14ac:dyDescent="0.25">
      <c r="A467" t="s">
        <v>528</v>
      </c>
      <c r="B467" s="7">
        <v>43611</v>
      </c>
      <c r="C467" s="4">
        <v>0.10069444444444443</v>
      </c>
      <c r="D467" s="15">
        <f t="shared" si="14"/>
        <v>2</v>
      </c>
      <c r="E467" s="15" t="str">
        <f t="shared" si="15"/>
        <v>Before 15</v>
      </c>
      <c r="F467" t="s">
        <v>529</v>
      </c>
      <c r="G467" s="16" t="str">
        <f>VLOOKUP(F467,DISTRICTS!B$2:C$626,2,FALSE)</f>
        <v>TETUÁN</v>
      </c>
      <c r="H467" s="16" t="str">
        <f>IFERROR(VLOOKUP(G467,'areas for question 4'!A$2:B$10,2,FALSE),"")</f>
        <v>North</v>
      </c>
      <c r="I467" t="s">
        <v>1447</v>
      </c>
      <c r="J467" t="s">
        <v>1450</v>
      </c>
      <c r="K467" t="s">
        <v>1456</v>
      </c>
      <c r="L467" t="s">
        <v>1466</v>
      </c>
      <c r="M467" t="s">
        <v>1477</v>
      </c>
      <c r="N467" s="18" t="s">
        <v>34</v>
      </c>
    </row>
    <row r="468" spans="1:14" x14ac:dyDescent="0.25">
      <c r="A468" t="s">
        <v>544</v>
      </c>
      <c r="B468" s="7">
        <v>43614</v>
      </c>
      <c r="C468" s="4">
        <v>0.73611111111111116</v>
      </c>
      <c r="D468" s="15">
        <f t="shared" si="14"/>
        <v>17</v>
      </c>
      <c r="E468" s="15" t="str">
        <f t="shared" si="15"/>
        <v>After 15</v>
      </c>
      <c r="F468" t="s">
        <v>142</v>
      </c>
      <c r="G468" s="16" t="str">
        <f>VLOOKUP(F468,DISTRICTS!B$2:C$626,2,FALSE)</f>
        <v>CHAMARTÍN</v>
      </c>
      <c r="H468" s="16" t="str">
        <f>IFERROR(VLOOKUP(G468,'areas for question 4'!A$2:B$10,2,FALSE),"")</f>
        <v>North</v>
      </c>
      <c r="I468" t="s">
        <v>1441</v>
      </c>
      <c r="J468" t="s">
        <v>1450</v>
      </c>
      <c r="K468" t="s">
        <v>1456</v>
      </c>
      <c r="L468" t="s">
        <v>1466</v>
      </c>
      <c r="M468" t="s">
        <v>1477</v>
      </c>
      <c r="N468" s="18">
        <v>7</v>
      </c>
    </row>
    <row r="469" spans="1:14" x14ac:dyDescent="0.25">
      <c r="A469" t="s">
        <v>568</v>
      </c>
      <c r="B469" s="7">
        <v>43618</v>
      </c>
      <c r="C469" s="4">
        <v>0.5</v>
      </c>
      <c r="D469" s="15">
        <f t="shared" si="14"/>
        <v>12</v>
      </c>
      <c r="E469" s="15" t="str">
        <f t="shared" si="15"/>
        <v>Before 15</v>
      </c>
      <c r="F469" t="s">
        <v>569</v>
      </c>
      <c r="G469" s="16" t="str">
        <f>VLOOKUP(F469,DISTRICTS!B$2:C$626,2,FALSE)</f>
        <v>CENTRO</v>
      </c>
      <c r="H469" s="16" t="str">
        <f>IFERROR(VLOOKUP(G469,'areas for question 4'!A$2:B$10,2,FALSE),"")</f>
        <v/>
      </c>
      <c r="I469" t="s">
        <v>1441</v>
      </c>
      <c r="J469" t="s">
        <v>1450</v>
      </c>
      <c r="K469" t="s">
        <v>1456</v>
      </c>
      <c r="L469" t="s">
        <v>1466</v>
      </c>
      <c r="M469" t="s">
        <v>1477</v>
      </c>
      <c r="N469" s="18">
        <v>7</v>
      </c>
    </row>
    <row r="470" spans="1:14" x14ac:dyDescent="0.25">
      <c r="A470" t="s">
        <v>579</v>
      </c>
      <c r="B470" s="7">
        <v>43621</v>
      </c>
      <c r="C470" s="4">
        <v>0.80902777777777779</v>
      </c>
      <c r="D470" s="15">
        <f t="shared" si="14"/>
        <v>19</v>
      </c>
      <c r="E470" s="15" t="str">
        <f t="shared" si="15"/>
        <v>After 15</v>
      </c>
      <c r="F470" t="s">
        <v>67</v>
      </c>
      <c r="G470" s="16" t="str">
        <f>VLOOKUP(F470,DISTRICTS!B$2:C$626,2,FALSE)</f>
        <v>CHAMARTÍN</v>
      </c>
      <c r="H470" s="16" t="str">
        <f>IFERROR(VLOOKUP(G470,'areas for question 4'!A$2:B$10,2,FALSE),"")</f>
        <v>North</v>
      </c>
      <c r="I470" t="s">
        <v>1444</v>
      </c>
      <c r="J470" t="s">
        <v>1450</v>
      </c>
      <c r="K470" t="s">
        <v>1456</v>
      </c>
      <c r="L470" t="s">
        <v>1466</v>
      </c>
      <c r="M470" t="s">
        <v>1477</v>
      </c>
      <c r="N470" s="18">
        <v>2</v>
      </c>
    </row>
    <row r="471" spans="1:14" x14ac:dyDescent="0.25">
      <c r="A471" t="s">
        <v>628</v>
      </c>
      <c r="B471" s="7">
        <v>43629</v>
      </c>
      <c r="C471" s="4">
        <v>0.3888888888888889</v>
      </c>
      <c r="D471" s="15">
        <f t="shared" si="14"/>
        <v>9</v>
      </c>
      <c r="E471" s="15" t="str">
        <f t="shared" si="15"/>
        <v>Before 15</v>
      </c>
      <c r="F471" t="s">
        <v>629</v>
      </c>
      <c r="G471" s="16" t="str">
        <f>VLOOKUP(F471,DISTRICTS!B$2:C$626,2,FALSE)</f>
        <v>CENTRO</v>
      </c>
      <c r="H471" s="16" t="str">
        <f>IFERROR(VLOOKUP(G471,'areas for question 4'!A$2:B$10,2,FALSE),"")</f>
        <v/>
      </c>
      <c r="I471" t="s">
        <v>1446</v>
      </c>
      <c r="J471" t="s">
        <v>1450</v>
      </c>
      <c r="K471" t="s">
        <v>1456</v>
      </c>
      <c r="L471" t="s">
        <v>1466</v>
      </c>
      <c r="M471" t="s">
        <v>1477</v>
      </c>
      <c r="N471" s="18">
        <v>7</v>
      </c>
    </row>
    <row r="472" spans="1:14" x14ac:dyDescent="0.25">
      <c r="A472" t="s">
        <v>640</v>
      </c>
      <c r="B472" s="7">
        <v>43631</v>
      </c>
      <c r="C472" s="4">
        <v>0.69444444444444453</v>
      </c>
      <c r="D472" s="15">
        <f t="shared" si="14"/>
        <v>16</v>
      </c>
      <c r="E472" s="15" t="str">
        <f t="shared" si="15"/>
        <v>After 15</v>
      </c>
      <c r="F472" t="s">
        <v>641</v>
      </c>
      <c r="G472" s="16" t="str">
        <f>VLOOKUP(F472,DISTRICTS!B$2:C$626,2,FALSE)</f>
        <v>CHAMBERÍ</v>
      </c>
      <c r="H472" s="16" t="str">
        <f>IFERROR(VLOOKUP(G472,'areas for question 4'!A$2:B$10,2,FALSE),"")</f>
        <v>North</v>
      </c>
      <c r="I472" t="s">
        <v>1444</v>
      </c>
      <c r="J472" t="s">
        <v>1450</v>
      </c>
      <c r="K472" t="s">
        <v>1456</v>
      </c>
      <c r="L472" t="s">
        <v>1466</v>
      </c>
      <c r="M472" t="s">
        <v>1477</v>
      </c>
      <c r="N472" s="18">
        <v>7</v>
      </c>
    </row>
    <row r="473" spans="1:14" x14ac:dyDescent="0.25">
      <c r="A473" t="s">
        <v>667</v>
      </c>
      <c r="B473" s="7">
        <v>43638</v>
      </c>
      <c r="C473" s="4">
        <v>0.82638888888888884</v>
      </c>
      <c r="D473" s="15">
        <f t="shared" si="14"/>
        <v>19</v>
      </c>
      <c r="E473" s="15" t="str">
        <f t="shared" si="15"/>
        <v>After 15</v>
      </c>
      <c r="F473" t="s">
        <v>67</v>
      </c>
      <c r="G473" s="16" t="str">
        <f>VLOOKUP(F473,DISTRICTS!B$2:C$626,2,FALSE)</f>
        <v>CHAMARTÍN</v>
      </c>
      <c r="H473" s="16" t="str">
        <f>IFERROR(VLOOKUP(G473,'areas for question 4'!A$2:B$10,2,FALSE),"")</f>
        <v>North</v>
      </c>
      <c r="I473" t="s">
        <v>1444</v>
      </c>
      <c r="J473" t="s">
        <v>1450</v>
      </c>
      <c r="K473" t="s">
        <v>1458</v>
      </c>
      <c r="L473" t="s">
        <v>1466</v>
      </c>
      <c r="M473" t="s">
        <v>1477</v>
      </c>
      <c r="N473" s="18">
        <v>14</v>
      </c>
    </row>
    <row r="474" spans="1:14" x14ac:dyDescent="0.25">
      <c r="A474" t="s">
        <v>673</v>
      </c>
      <c r="B474" s="7">
        <v>43639</v>
      </c>
      <c r="C474" s="4">
        <v>0.75</v>
      </c>
      <c r="D474" s="15">
        <f t="shared" si="14"/>
        <v>18</v>
      </c>
      <c r="E474" s="15" t="str">
        <f t="shared" si="15"/>
        <v>After 15</v>
      </c>
      <c r="F474" t="s">
        <v>258</v>
      </c>
      <c r="G474" s="16" t="str">
        <f>VLOOKUP(F474,DISTRICTS!B$2:C$626,2,FALSE)</f>
        <v>TETUÁN</v>
      </c>
      <c r="H474" s="16" t="str">
        <f>IFERROR(VLOOKUP(G474,'areas for question 4'!A$2:B$10,2,FALSE),"")</f>
        <v>North</v>
      </c>
      <c r="I474" t="s">
        <v>1447</v>
      </c>
      <c r="J474" t="s">
        <v>1450</v>
      </c>
      <c r="K474" t="s">
        <v>1456</v>
      </c>
      <c r="L474" t="s">
        <v>1466</v>
      </c>
      <c r="M474" t="s">
        <v>1477</v>
      </c>
      <c r="N474" s="18">
        <v>5</v>
      </c>
    </row>
    <row r="475" spans="1:14" x14ac:dyDescent="0.25">
      <c r="A475" t="s">
        <v>678</v>
      </c>
      <c r="B475" s="7">
        <v>43640</v>
      </c>
      <c r="C475" s="4">
        <v>0.8125</v>
      </c>
      <c r="D475" s="15">
        <f t="shared" si="14"/>
        <v>19</v>
      </c>
      <c r="E475" s="15" t="str">
        <f t="shared" si="15"/>
        <v>After 15</v>
      </c>
      <c r="F475" t="s">
        <v>679</v>
      </c>
      <c r="G475" s="16" t="str">
        <f>VLOOKUP(F475,DISTRICTS!B$2:C$626,2,FALSE)</f>
        <v>CHAMBERÍ</v>
      </c>
      <c r="H475" s="16" t="str">
        <f>IFERROR(VLOOKUP(G475,'areas for question 4'!A$2:B$10,2,FALSE),"")</f>
        <v>North</v>
      </c>
      <c r="I475" t="s">
        <v>1444</v>
      </c>
      <c r="J475" t="s">
        <v>1450</v>
      </c>
      <c r="K475" t="s">
        <v>1456</v>
      </c>
      <c r="L475" t="s">
        <v>1466</v>
      </c>
      <c r="M475" t="s">
        <v>1477</v>
      </c>
      <c r="N475" s="18">
        <v>3</v>
      </c>
    </row>
    <row r="476" spans="1:14" x14ac:dyDescent="0.25">
      <c r="A476" t="s">
        <v>701</v>
      </c>
      <c r="B476" s="7">
        <v>43645</v>
      </c>
      <c r="C476" s="4">
        <v>0.80555555555555547</v>
      </c>
      <c r="D476" s="15">
        <f t="shared" si="14"/>
        <v>19</v>
      </c>
      <c r="E476" s="15" t="str">
        <f t="shared" si="15"/>
        <v>After 15</v>
      </c>
      <c r="F476" t="s">
        <v>702</v>
      </c>
      <c r="G476" s="16" t="str">
        <f>VLOOKUP(F476,DISTRICTS!B$2:C$626,2,FALSE)</f>
        <v>LATINA</v>
      </c>
      <c r="H476" s="16" t="str">
        <f>IFERROR(VLOOKUP(G476,'areas for question 4'!A$2:B$10,2,FALSE),"")</f>
        <v/>
      </c>
      <c r="I476" t="s">
        <v>1444</v>
      </c>
      <c r="J476" t="s">
        <v>1450</v>
      </c>
      <c r="K476" t="s">
        <v>1456</v>
      </c>
      <c r="L476" t="s">
        <v>1466</v>
      </c>
      <c r="M476" t="s">
        <v>1477</v>
      </c>
      <c r="N476" s="18">
        <v>2</v>
      </c>
    </row>
    <row r="477" spans="1:14" x14ac:dyDescent="0.25">
      <c r="A477" t="s">
        <v>703</v>
      </c>
      <c r="B477" s="7">
        <v>43645</v>
      </c>
      <c r="C477" s="4">
        <v>0.69791666666666663</v>
      </c>
      <c r="D477" s="15">
        <f t="shared" si="14"/>
        <v>16</v>
      </c>
      <c r="E477" s="15" t="str">
        <f t="shared" si="15"/>
        <v>After 15</v>
      </c>
      <c r="F477" t="s">
        <v>180</v>
      </c>
      <c r="G477" s="16" t="str">
        <f>VLOOKUP(F477,DISTRICTS!B$2:C$626,2,FALSE)</f>
        <v>CARABANCHEL</v>
      </c>
      <c r="H477" s="16" t="str">
        <f>IFERROR(VLOOKUP(G477,'areas for question 4'!A$2:B$10,2,FALSE),"")</f>
        <v/>
      </c>
      <c r="I477" t="s">
        <v>1443</v>
      </c>
      <c r="J477" t="s">
        <v>1450</v>
      </c>
      <c r="K477" t="s">
        <v>1458</v>
      </c>
      <c r="L477" t="s">
        <v>1466</v>
      </c>
      <c r="M477" t="s">
        <v>1477</v>
      </c>
      <c r="N477" s="18">
        <v>7</v>
      </c>
    </row>
    <row r="478" spans="1:14" x14ac:dyDescent="0.25">
      <c r="A478" t="s">
        <v>704</v>
      </c>
      <c r="B478" s="7">
        <v>43645</v>
      </c>
      <c r="C478" s="4">
        <v>0.35416666666666669</v>
      </c>
      <c r="D478" s="15">
        <f t="shared" si="14"/>
        <v>8</v>
      </c>
      <c r="E478" s="15" t="str">
        <f t="shared" si="15"/>
        <v>Before 15</v>
      </c>
      <c r="F478" t="s">
        <v>705</v>
      </c>
      <c r="G478" s="16" t="str">
        <f>VLOOKUP(F478,DISTRICTS!B$2:C$626,2,FALSE)</f>
        <v>FUENCARRAL-EL PARDO</v>
      </c>
      <c r="H478" s="16" t="str">
        <f>IFERROR(VLOOKUP(G478,'areas for question 4'!A$2:B$10,2,FALSE),"")</f>
        <v>North</v>
      </c>
      <c r="I478" t="s">
        <v>1446</v>
      </c>
      <c r="J478" t="s">
        <v>1450</v>
      </c>
      <c r="K478" t="s">
        <v>1456</v>
      </c>
      <c r="L478" t="s">
        <v>1466</v>
      </c>
      <c r="M478" t="s">
        <v>1477</v>
      </c>
      <c r="N478" s="18">
        <v>6</v>
      </c>
    </row>
    <row r="479" spans="1:14" x14ac:dyDescent="0.25">
      <c r="A479" t="s">
        <v>704</v>
      </c>
      <c r="B479" s="7">
        <v>43645</v>
      </c>
      <c r="C479" s="4">
        <v>0.35416666666666669</v>
      </c>
      <c r="D479" s="15">
        <f t="shared" si="14"/>
        <v>8</v>
      </c>
      <c r="E479" s="15" t="str">
        <f t="shared" si="15"/>
        <v>Before 15</v>
      </c>
      <c r="F479" t="s">
        <v>705</v>
      </c>
      <c r="G479" s="16" t="str">
        <f>VLOOKUP(F479,DISTRICTS!B$2:C$626,2,FALSE)</f>
        <v>FUENCARRAL-EL PARDO</v>
      </c>
      <c r="H479" s="16" t="str">
        <f>IFERROR(VLOOKUP(G479,'areas for question 4'!A$2:B$10,2,FALSE),"")</f>
        <v>North</v>
      </c>
      <c r="I479" t="s">
        <v>1446</v>
      </c>
      <c r="J479" t="s">
        <v>1450</v>
      </c>
      <c r="K479" t="s">
        <v>1456</v>
      </c>
      <c r="L479" t="s">
        <v>1466</v>
      </c>
      <c r="M479" t="s">
        <v>1477</v>
      </c>
      <c r="N479" s="18">
        <v>6</v>
      </c>
    </row>
    <row r="480" spans="1:14" x14ac:dyDescent="0.25">
      <c r="A480" t="s">
        <v>745</v>
      </c>
      <c r="B480" s="7">
        <v>43652</v>
      </c>
      <c r="C480" s="4">
        <v>0.67361111111111116</v>
      </c>
      <c r="D480" s="15">
        <f t="shared" si="14"/>
        <v>16</v>
      </c>
      <c r="E480" s="15" t="str">
        <f t="shared" si="15"/>
        <v>After 15</v>
      </c>
      <c r="F480" t="s">
        <v>746</v>
      </c>
      <c r="G480" s="16" t="str">
        <f>VLOOKUP(F480,DISTRICTS!B$2:C$626,2,FALSE)</f>
        <v>CENTRO</v>
      </c>
      <c r="H480" s="16" t="str">
        <f>IFERROR(VLOOKUP(G480,'areas for question 4'!A$2:B$10,2,FALSE),"")</f>
        <v/>
      </c>
      <c r="I480" t="s">
        <v>1443</v>
      </c>
      <c r="J480" t="s">
        <v>1450</v>
      </c>
      <c r="K480" t="s">
        <v>1458</v>
      </c>
      <c r="L480" t="s">
        <v>1466</v>
      </c>
      <c r="M480" t="s">
        <v>1478</v>
      </c>
      <c r="N480" s="18">
        <v>7</v>
      </c>
    </row>
    <row r="481" spans="1:14" x14ac:dyDescent="0.25">
      <c r="A481" t="s">
        <v>777</v>
      </c>
      <c r="B481" s="7">
        <v>43660</v>
      </c>
      <c r="C481" s="4">
        <v>0.93402777777777779</v>
      </c>
      <c r="D481" s="15">
        <f t="shared" si="14"/>
        <v>22</v>
      </c>
      <c r="E481" s="15" t="str">
        <f t="shared" si="15"/>
        <v>After 15</v>
      </c>
      <c r="F481" t="s">
        <v>778</v>
      </c>
      <c r="G481" s="16" t="str">
        <f>VLOOKUP(F481,DISTRICTS!B$2:C$626,2,FALSE)</f>
        <v>PUENTE DE VALLECAS</v>
      </c>
      <c r="H481" s="16" t="str">
        <f>IFERROR(VLOOKUP(G481,'areas for question 4'!A$2:B$10,2,FALSE),"")</f>
        <v/>
      </c>
      <c r="I481" t="s">
        <v>1446</v>
      </c>
      <c r="J481" t="s">
        <v>1450</v>
      </c>
      <c r="K481" t="s">
        <v>1456</v>
      </c>
      <c r="L481" t="s">
        <v>1466</v>
      </c>
      <c r="M481" t="s">
        <v>1477</v>
      </c>
      <c r="N481" s="18">
        <v>7</v>
      </c>
    </row>
    <row r="482" spans="1:14" x14ac:dyDescent="0.25">
      <c r="A482" t="s">
        <v>793</v>
      </c>
      <c r="B482" s="7">
        <v>43663</v>
      </c>
      <c r="C482" s="4">
        <v>0.78125</v>
      </c>
      <c r="D482" s="15">
        <f t="shared" si="14"/>
        <v>18</v>
      </c>
      <c r="E482" s="15" t="str">
        <f t="shared" si="15"/>
        <v>After 15</v>
      </c>
      <c r="F482" t="s">
        <v>340</v>
      </c>
      <c r="G482" s="16" t="str">
        <f>VLOOKUP(F482,DISTRICTS!B$2:C$626,2,FALSE)</f>
        <v>ARGANZUELA</v>
      </c>
      <c r="H482" s="16" t="str">
        <f>IFERROR(VLOOKUP(G482,'areas for question 4'!A$2:B$10,2,FALSE),"")</f>
        <v/>
      </c>
      <c r="I482" t="s">
        <v>1441</v>
      </c>
      <c r="J482" t="s">
        <v>1450</v>
      </c>
      <c r="K482" t="s">
        <v>1456</v>
      </c>
      <c r="L482" t="s">
        <v>1466</v>
      </c>
      <c r="M482" t="s">
        <v>1477</v>
      </c>
      <c r="N482" s="18">
        <v>7</v>
      </c>
    </row>
    <row r="483" spans="1:14" x14ac:dyDescent="0.25">
      <c r="A483" t="s">
        <v>803</v>
      </c>
      <c r="B483" s="7">
        <v>43666</v>
      </c>
      <c r="C483" s="4">
        <v>0.60763888888888895</v>
      </c>
      <c r="D483" s="15">
        <f t="shared" si="14"/>
        <v>14</v>
      </c>
      <c r="E483" s="15" t="str">
        <f t="shared" si="15"/>
        <v>Before 15</v>
      </c>
      <c r="F483" t="s">
        <v>804</v>
      </c>
      <c r="G483" s="16" t="str">
        <f>VLOOKUP(F483,DISTRICTS!B$2:C$626,2,FALSE)</f>
        <v>CENTRO</v>
      </c>
      <c r="H483" s="16" t="str">
        <f>IFERROR(VLOOKUP(G483,'areas for question 4'!A$2:B$10,2,FALSE),"")</f>
        <v/>
      </c>
      <c r="I483" t="s">
        <v>1444</v>
      </c>
      <c r="J483" t="s">
        <v>1450</v>
      </c>
      <c r="K483" t="s">
        <v>1456</v>
      </c>
      <c r="L483" t="s">
        <v>1466</v>
      </c>
      <c r="M483" t="s">
        <v>1477</v>
      </c>
      <c r="N483" s="18">
        <v>7</v>
      </c>
    </row>
    <row r="484" spans="1:14" x14ac:dyDescent="0.25">
      <c r="A484" t="s">
        <v>820</v>
      </c>
      <c r="B484" s="7">
        <v>43669</v>
      </c>
      <c r="C484" s="4">
        <v>0.85555555555555562</v>
      </c>
      <c r="D484" s="15">
        <f t="shared" si="14"/>
        <v>20</v>
      </c>
      <c r="E484" s="15" t="str">
        <f t="shared" si="15"/>
        <v>After 15</v>
      </c>
      <c r="F484" t="s">
        <v>821</v>
      </c>
      <c r="G484" s="16" t="str">
        <f>VLOOKUP(F484,DISTRICTS!B$2:C$626,2,FALSE)</f>
        <v>CENTRO</v>
      </c>
      <c r="H484" s="16" t="str">
        <f>IFERROR(VLOOKUP(G484,'areas for question 4'!A$2:B$10,2,FALSE),"")</f>
        <v/>
      </c>
      <c r="I484" t="s">
        <v>1444</v>
      </c>
      <c r="J484" t="s">
        <v>1452</v>
      </c>
      <c r="K484" t="s">
        <v>1456</v>
      </c>
      <c r="L484" t="s">
        <v>1466</v>
      </c>
      <c r="M484" t="s">
        <v>1477</v>
      </c>
      <c r="N484" s="18">
        <v>1</v>
      </c>
    </row>
    <row r="485" spans="1:14" x14ac:dyDescent="0.25">
      <c r="A485" t="s">
        <v>822</v>
      </c>
      <c r="B485" s="7">
        <v>43669</v>
      </c>
      <c r="C485" s="4">
        <v>0.82638888888888884</v>
      </c>
      <c r="D485" s="15">
        <f t="shared" si="14"/>
        <v>19</v>
      </c>
      <c r="E485" s="15" t="str">
        <f t="shared" si="15"/>
        <v>After 15</v>
      </c>
      <c r="F485" t="s">
        <v>823</v>
      </c>
      <c r="G485" s="16" t="str">
        <f>VLOOKUP(F485,DISTRICTS!B$2:C$626,2,FALSE)</f>
        <v>MONCLOA-ARAVACA</v>
      </c>
      <c r="H485" s="16" t="str">
        <f>IFERROR(VLOOKUP(G485,'areas for question 4'!A$2:B$10,2,FALSE),"")</f>
        <v/>
      </c>
      <c r="I485" t="s">
        <v>1444</v>
      </c>
      <c r="J485" t="s">
        <v>1453</v>
      </c>
      <c r="K485" t="s">
        <v>1456</v>
      </c>
      <c r="L485" t="s">
        <v>1466</v>
      </c>
      <c r="M485" t="s">
        <v>1478</v>
      </c>
      <c r="N485" s="18">
        <v>1</v>
      </c>
    </row>
    <row r="486" spans="1:14" x14ac:dyDescent="0.25">
      <c r="A486" t="s">
        <v>867</v>
      </c>
      <c r="B486" s="7">
        <v>43682</v>
      </c>
      <c r="C486" s="4">
        <v>0.52430555555555558</v>
      </c>
      <c r="D486" s="15">
        <f t="shared" si="14"/>
        <v>12</v>
      </c>
      <c r="E486" s="15" t="str">
        <f t="shared" si="15"/>
        <v>Before 15</v>
      </c>
      <c r="F486" t="s">
        <v>868</v>
      </c>
      <c r="G486" s="16" t="str">
        <f>VLOOKUP(F486,DISTRICTS!B$2:C$626,2,FALSE)</f>
        <v>RETIRO</v>
      </c>
      <c r="H486" s="16" t="str">
        <f>IFERROR(VLOOKUP(G486,'areas for question 4'!A$2:B$10,2,FALSE),"")</f>
        <v/>
      </c>
      <c r="I486" t="s">
        <v>1443</v>
      </c>
      <c r="J486" t="s">
        <v>1450</v>
      </c>
      <c r="K486" t="s">
        <v>1456</v>
      </c>
      <c r="L486" t="s">
        <v>1466</v>
      </c>
      <c r="M486" t="s">
        <v>1478</v>
      </c>
      <c r="N486" s="18">
        <v>6</v>
      </c>
    </row>
    <row r="487" spans="1:14" x14ac:dyDescent="0.25">
      <c r="A487" t="s">
        <v>871</v>
      </c>
      <c r="B487" s="7">
        <v>43683</v>
      </c>
      <c r="C487" s="4">
        <v>0.29444444444444445</v>
      </c>
      <c r="D487" s="15">
        <f t="shared" si="14"/>
        <v>7</v>
      </c>
      <c r="E487" s="15" t="str">
        <f t="shared" si="15"/>
        <v>Before 15</v>
      </c>
      <c r="F487" t="s">
        <v>629</v>
      </c>
      <c r="G487" s="16" t="str">
        <f>VLOOKUP(F487,DISTRICTS!B$2:C$626,2,FALSE)</f>
        <v>CENTRO</v>
      </c>
      <c r="H487" s="16" t="str">
        <f>IFERROR(VLOOKUP(G487,'areas for question 4'!A$2:B$10,2,FALSE),"")</f>
        <v/>
      </c>
      <c r="I487" t="s">
        <v>1446</v>
      </c>
      <c r="J487" t="s">
        <v>1450</v>
      </c>
      <c r="K487" t="s">
        <v>1456</v>
      </c>
      <c r="L487" t="s">
        <v>1466</v>
      </c>
      <c r="M487" t="s">
        <v>1477</v>
      </c>
      <c r="N487" s="18" t="s">
        <v>34</v>
      </c>
    </row>
    <row r="488" spans="1:14" x14ac:dyDescent="0.25">
      <c r="A488" t="s">
        <v>888</v>
      </c>
      <c r="B488" s="7">
        <v>43691</v>
      </c>
      <c r="C488" s="4">
        <v>0.77777777777777779</v>
      </c>
      <c r="D488" s="15">
        <f t="shared" si="14"/>
        <v>18</v>
      </c>
      <c r="E488" s="15" t="str">
        <f t="shared" si="15"/>
        <v>After 15</v>
      </c>
      <c r="F488" t="s">
        <v>889</v>
      </c>
      <c r="G488" s="16" t="str">
        <f>VLOOKUP(F488,DISTRICTS!B$2:C$626,2,FALSE)</f>
        <v>CARABANCHEL</v>
      </c>
      <c r="H488" s="16" t="str">
        <f>IFERROR(VLOOKUP(G488,'areas for question 4'!A$2:B$10,2,FALSE),"")</f>
        <v/>
      </c>
      <c r="I488" t="s">
        <v>1444</v>
      </c>
      <c r="J488" t="s">
        <v>1450</v>
      </c>
      <c r="K488" t="s">
        <v>1456</v>
      </c>
      <c r="L488" t="s">
        <v>1466</v>
      </c>
      <c r="M488" t="s">
        <v>1478</v>
      </c>
      <c r="N488" s="18">
        <v>1</v>
      </c>
    </row>
    <row r="489" spans="1:14" x14ac:dyDescent="0.25">
      <c r="A489" t="s">
        <v>926</v>
      </c>
      <c r="B489" s="7">
        <v>43705</v>
      </c>
      <c r="C489" s="4">
        <v>0.39930555555555558</v>
      </c>
      <c r="D489" s="15">
        <f t="shared" si="14"/>
        <v>9</v>
      </c>
      <c r="E489" s="15" t="str">
        <f t="shared" si="15"/>
        <v>Before 15</v>
      </c>
      <c r="F489" t="s">
        <v>154</v>
      </c>
      <c r="G489" s="16" t="str">
        <f>VLOOKUP(F489,DISTRICTS!B$2:C$626,2,FALSE)</f>
        <v>SALAMANCA</v>
      </c>
      <c r="H489" s="16" t="str">
        <f>IFERROR(VLOOKUP(G489,'areas for question 4'!A$2:B$10,2,FALSE),"")</f>
        <v/>
      </c>
      <c r="I489" t="s">
        <v>1441</v>
      </c>
      <c r="J489" t="s">
        <v>1450</v>
      </c>
      <c r="K489" t="s">
        <v>1456</v>
      </c>
      <c r="L489" t="s">
        <v>1466</v>
      </c>
      <c r="M489" t="s">
        <v>1477</v>
      </c>
      <c r="N489" s="18">
        <v>7</v>
      </c>
    </row>
    <row r="490" spans="1:14" x14ac:dyDescent="0.25">
      <c r="A490" t="s">
        <v>932</v>
      </c>
      <c r="B490" s="7">
        <v>43706</v>
      </c>
      <c r="C490" s="4">
        <v>0.1076388888888889</v>
      </c>
      <c r="D490" s="15">
        <f t="shared" si="14"/>
        <v>2</v>
      </c>
      <c r="E490" s="15" t="str">
        <f t="shared" si="15"/>
        <v>Before 15</v>
      </c>
      <c r="F490" t="s">
        <v>647</v>
      </c>
      <c r="G490" s="16" t="str">
        <f>VLOOKUP(F490,DISTRICTS!B$2:C$626,2,FALSE)</f>
        <v>ARGANZUELA</v>
      </c>
      <c r="H490" s="16" t="str">
        <f>IFERROR(VLOOKUP(G490,'areas for question 4'!A$2:B$10,2,FALSE),"")</f>
        <v/>
      </c>
      <c r="I490" t="s">
        <v>1446</v>
      </c>
      <c r="K490" t="s">
        <v>1456</v>
      </c>
      <c r="L490" t="s">
        <v>1466</v>
      </c>
      <c r="M490" t="s">
        <v>1477</v>
      </c>
      <c r="N490" s="18" t="s">
        <v>34</v>
      </c>
    </row>
    <row r="491" spans="1:14" x14ac:dyDescent="0.25">
      <c r="A491" t="s">
        <v>941</v>
      </c>
      <c r="B491" s="7">
        <v>43708</v>
      </c>
      <c r="C491" s="4">
        <v>0.56597222222222221</v>
      </c>
      <c r="D491" s="15">
        <f t="shared" si="14"/>
        <v>13</v>
      </c>
      <c r="E491" s="15" t="str">
        <f t="shared" si="15"/>
        <v>Before 15</v>
      </c>
      <c r="F491" t="s">
        <v>942</v>
      </c>
      <c r="G491" s="16" t="str">
        <f>VLOOKUP(F491,DISTRICTS!B$2:C$626,2,FALSE)</f>
        <v>CARABANCHEL</v>
      </c>
      <c r="H491" s="16" t="str">
        <f>IFERROR(VLOOKUP(G491,'areas for question 4'!A$2:B$10,2,FALSE),"")</f>
        <v/>
      </c>
      <c r="I491" t="s">
        <v>1446</v>
      </c>
      <c r="J491" t="s">
        <v>1450</v>
      </c>
      <c r="K491" t="s">
        <v>1456</v>
      </c>
      <c r="L491" t="s">
        <v>1466</v>
      </c>
      <c r="M491" t="s">
        <v>1477</v>
      </c>
      <c r="N491" s="18">
        <v>6</v>
      </c>
    </row>
    <row r="492" spans="1:14" x14ac:dyDescent="0.25">
      <c r="A492" t="s">
        <v>945</v>
      </c>
      <c r="B492" s="7">
        <v>43709</v>
      </c>
      <c r="C492" s="4">
        <v>0.64027777777777783</v>
      </c>
      <c r="D492" s="15">
        <f t="shared" si="14"/>
        <v>15</v>
      </c>
      <c r="E492" s="15" t="str">
        <f t="shared" si="15"/>
        <v>After 15</v>
      </c>
      <c r="F492" t="s">
        <v>946</v>
      </c>
      <c r="G492" s="16" t="str">
        <f>VLOOKUP(F492,DISTRICTS!B$2:C$626,2,FALSE)</f>
        <v>ARGANZUELA</v>
      </c>
      <c r="H492" s="16" t="str">
        <f>IFERROR(VLOOKUP(G492,'areas for question 4'!A$2:B$10,2,FALSE),"")</f>
        <v/>
      </c>
      <c r="I492" t="s">
        <v>1445</v>
      </c>
      <c r="J492" t="s">
        <v>1450</v>
      </c>
      <c r="K492" t="s">
        <v>1456</v>
      </c>
      <c r="L492" t="s">
        <v>1466</v>
      </c>
      <c r="M492" t="s">
        <v>1477</v>
      </c>
      <c r="N492" s="18">
        <v>7</v>
      </c>
    </row>
    <row r="493" spans="1:14" x14ac:dyDescent="0.25">
      <c r="A493" t="s">
        <v>954</v>
      </c>
      <c r="B493" s="7">
        <v>43711</v>
      </c>
      <c r="C493" s="4">
        <v>0.66666666666666663</v>
      </c>
      <c r="D493" s="15">
        <f t="shared" si="14"/>
        <v>16</v>
      </c>
      <c r="E493" s="15" t="str">
        <f t="shared" si="15"/>
        <v>After 15</v>
      </c>
      <c r="F493" t="s">
        <v>955</v>
      </c>
      <c r="G493" s="16" t="str">
        <f>VLOOKUP(F493,DISTRICTS!B$2:C$626,2,FALSE)</f>
        <v>TETUÁN</v>
      </c>
      <c r="H493" s="16" t="str">
        <f>IFERROR(VLOOKUP(G493,'areas for question 4'!A$2:B$10,2,FALSE),"")</f>
        <v>North</v>
      </c>
      <c r="I493" t="s">
        <v>1444</v>
      </c>
      <c r="J493" t="s">
        <v>1450</v>
      </c>
      <c r="K493" t="s">
        <v>1456</v>
      </c>
      <c r="L493" t="s">
        <v>1466</v>
      </c>
      <c r="M493" t="s">
        <v>1477</v>
      </c>
      <c r="N493" s="18">
        <v>7</v>
      </c>
    </row>
    <row r="494" spans="1:14" x14ac:dyDescent="0.25">
      <c r="A494" t="s">
        <v>965</v>
      </c>
      <c r="B494" s="7">
        <v>43713</v>
      </c>
      <c r="C494" s="4">
        <v>0.88541666666666663</v>
      </c>
      <c r="D494" s="15">
        <f t="shared" si="14"/>
        <v>21</v>
      </c>
      <c r="E494" s="15" t="str">
        <f t="shared" si="15"/>
        <v>After 15</v>
      </c>
      <c r="F494" t="s">
        <v>966</v>
      </c>
      <c r="G494" s="16" t="str">
        <f>VLOOKUP(F494,DISTRICTS!B$2:C$626,2,FALSE)</f>
        <v>MORATALAZ</v>
      </c>
      <c r="H494" s="16" t="str">
        <f>IFERROR(VLOOKUP(G494,'areas for question 4'!A$2:B$10,2,FALSE),"")</f>
        <v>East</v>
      </c>
      <c r="I494" t="s">
        <v>1443</v>
      </c>
      <c r="J494" t="s">
        <v>1450</v>
      </c>
      <c r="K494" t="s">
        <v>1456</v>
      </c>
      <c r="L494" t="s">
        <v>1466</v>
      </c>
      <c r="M494" t="s">
        <v>1477</v>
      </c>
      <c r="N494" s="18">
        <v>14</v>
      </c>
    </row>
    <row r="495" spans="1:14" x14ac:dyDescent="0.25">
      <c r="A495" t="s">
        <v>969</v>
      </c>
      <c r="B495" s="7">
        <v>43713</v>
      </c>
      <c r="C495" s="4">
        <v>0.7944444444444444</v>
      </c>
      <c r="D495" s="15">
        <f t="shared" si="14"/>
        <v>19</v>
      </c>
      <c r="E495" s="15" t="str">
        <f t="shared" si="15"/>
        <v>After 15</v>
      </c>
      <c r="F495" t="s">
        <v>970</v>
      </c>
      <c r="G495" s="16" t="str">
        <f>VLOOKUP(F495,DISTRICTS!B$2:C$626,2,FALSE)</f>
        <v>CENTRO</v>
      </c>
      <c r="H495" s="16" t="str">
        <f>IFERROR(VLOOKUP(G495,'areas for question 4'!A$2:B$10,2,FALSE),"")</f>
        <v/>
      </c>
      <c r="I495" t="s">
        <v>1447</v>
      </c>
      <c r="J495" t="s">
        <v>1450</v>
      </c>
      <c r="K495" t="s">
        <v>1456</v>
      </c>
      <c r="L495" t="s">
        <v>1466</v>
      </c>
      <c r="M495" t="s">
        <v>1478</v>
      </c>
      <c r="N495" s="18">
        <v>2</v>
      </c>
    </row>
    <row r="496" spans="1:14" x14ac:dyDescent="0.25">
      <c r="A496" t="s">
        <v>990</v>
      </c>
      <c r="B496" s="7">
        <v>43718</v>
      </c>
      <c r="C496" s="4">
        <v>0.60416666666666663</v>
      </c>
      <c r="D496" s="15">
        <f t="shared" si="14"/>
        <v>14</v>
      </c>
      <c r="E496" s="15" t="str">
        <f t="shared" si="15"/>
        <v>Before 15</v>
      </c>
      <c r="F496" t="s">
        <v>991</v>
      </c>
      <c r="G496" s="16" t="str">
        <f>VLOOKUP(F496,DISTRICTS!B$2:C$626,2,FALSE)</f>
        <v>CHAMARTÍN</v>
      </c>
      <c r="H496" s="16" t="str">
        <f>IFERROR(VLOOKUP(G496,'areas for question 4'!A$2:B$10,2,FALSE),"")</f>
        <v>North</v>
      </c>
      <c r="I496" t="s">
        <v>1444</v>
      </c>
      <c r="J496" t="s">
        <v>1450</v>
      </c>
      <c r="K496" t="s">
        <v>1456</v>
      </c>
      <c r="L496" t="s">
        <v>1466</v>
      </c>
      <c r="M496" t="s">
        <v>1477</v>
      </c>
      <c r="N496" s="18">
        <v>6</v>
      </c>
    </row>
    <row r="497" spans="1:14" x14ac:dyDescent="0.25">
      <c r="A497" t="s">
        <v>998</v>
      </c>
      <c r="B497" s="7">
        <v>43719</v>
      </c>
      <c r="C497" s="4">
        <v>0.3263888888888889</v>
      </c>
      <c r="D497" s="15">
        <f t="shared" si="14"/>
        <v>7</v>
      </c>
      <c r="E497" s="15" t="str">
        <f t="shared" si="15"/>
        <v>Before 15</v>
      </c>
      <c r="F497" t="s">
        <v>999</v>
      </c>
      <c r="G497" s="16" t="str">
        <f>VLOOKUP(F497,DISTRICTS!B$2:C$626,2,FALSE)</f>
        <v>CENTRO</v>
      </c>
      <c r="H497" s="16" t="str">
        <f>IFERROR(VLOOKUP(G497,'areas for question 4'!A$2:B$10,2,FALSE),"")</f>
        <v/>
      </c>
      <c r="I497" t="s">
        <v>1446</v>
      </c>
      <c r="J497" t="s">
        <v>1450</v>
      </c>
      <c r="K497" t="s">
        <v>1456</v>
      </c>
      <c r="L497" t="s">
        <v>1466</v>
      </c>
      <c r="M497" t="s">
        <v>1478</v>
      </c>
      <c r="N497" s="18">
        <v>5</v>
      </c>
    </row>
    <row r="498" spans="1:14" x14ac:dyDescent="0.25">
      <c r="A498" t="s">
        <v>1021</v>
      </c>
      <c r="B498" s="7">
        <v>43724</v>
      </c>
      <c r="C498" s="4">
        <v>0.70833333333333337</v>
      </c>
      <c r="D498" s="15">
        <f t="shared" si="14"/>
        <v>17</v>
      </c>
      <c r="E498" s="15" t="str">
        <f t="shared" si="15"/>
        <v>After 15</v>
      </c>
      <c r="F498" t="s">
        <v>431</v>
      </c>
      <c r="G498" s="16" t="str">
        <f>VLOOKUP(F498,DISTRICTS!B$2:C$626,2,FALSE)</f>
        <v>SALAMANCA</v>
      </c>
      <c r="H498" s="16" t="str">
        <f>IFERROR(VLOOKUP(G498,'areas for question 4'!A$2:B$10,2,FALSE),"")</f>
        <v/>
      </c>
      <c r="I498" t="s">
        <v>1447</v>
      </c>
      <c r="J498" t="s">
        <v>1450</v>
      </c>
      <c r="K498" t="s">
        <v>1456</v>
      </c>
      <c r="L498" t="s">
        <v>1466</v>
      </c>
      <c r="M498" t="s">
        <v>1477</v>
      </c>
      <c r="N498" s="18">
        <v>6</v>
      </c>
    </row>
    <row r="499" spans="1:14" x14ac:dyDescent="0.25">
      <c r="A499" t="s">
        <v>1024</v>
      </c>
      <c r="B499" s="7">
        <v>43725</v>
      </c>
      <c r="C499" s="4">
        <v>0.95833333333333337</v>
      </c>
      <c r="D499" s="15">
        <f t="shared" si="14"/>
        <v>23</v>
      </c>
      <c r="E499" s="15" t="str">
        <f t="shared" si="15"/>
        <v>After 15</v>
      </c>
      <c r="F499" t="s">
        <v>483</v>
      </c>
      <c r="G499" s="16" t="str">
        <f>VLOOKUP(F499,DISTRICTS!B$2:C$626,2,FALSE)</f>
        <v>CHAMBERÍ</v>
      </c>
      <c r="H499" s="16" t="str">
        <f>IFERROR(VLOOKUP(G499,'areas for question 4'!A$2:B$10,2,FALSE),"")</f>
        <v>North</v>
      </c>
      <c r="I499" t="s">
        <v>1441</v>
      </c>
      <c r="J499" t="s">
        <v>1450</v>
      </c>
      <c r="K499" t="s">
        <v>1456</v>
      </c>
      <c r="L499" t="s">
        <v>1466</v>
      </c>
      <c r="M499" t="s">
        <v>1477</v>
      </c>
      <c r="N499" s="18">
        <v>7</v>
      </c>
    </row>
    <row r="500" spans="1:14" x14ac:dyDescent="0.25">
      <c r="A500" t="s">
        <v>1037</v>
      </c>
      <c r="B500" s="7">
        <v>43727</v>
      </c>
      <c r="C500" s="4">
        <v>0.74305555555555547</v>
      </c>
      <c r="D500" s="15">
        <f t="shared" si="14"/>
        <v>17</v>
      </c>
      <c r="E500" s="15" t="str">
        <f t="shared" si="15"/>
        <v>After 15</v>
      </c>
      <c r="F500" t="s">
        <v>1038</v>
      </c>
      <c r="G500" s="16" t="str">
        <f>VLOOKUP(F500,DISTRICTS!B$2:C$626,2,FALSE)</f>
        <v>TETUÁN</v>
      </c>
      <c r="H500" s="16" t="str">
        <f>IFERROR(VLOOKUP(G500,'areas for question 4'!A$2:B$10,2,FALSE),"")</f>
        <v>North</v>
      </c>
      <c r="I500" t="s">
        <v>1446</v>
      </c>
      <c r="J500" t="s">
        <v>1450</v>
      </c>
      <c r="K500" t="s">
        <v>1456</v>
      </c>
      <c r="L500" t="s">
        <v>1466</v>
      </c>
      <c r="M500" t="s">
        <v>1477</v>
      </c>
      <c r="N500" s="18">
        <v>5</v>
      </c>
    </row>
    <row r="501" spans="1:14" x14ac:dyDescent="0.25">
      <c r="A501" t="s">
        <v>1062</v>
      </c>
      <c r="B501" s="7">
        <v>43732</v>
      </c>
      <c r="C501" s="4">
        <v>0.88194444444444453</v>
      </c>
      <c r="D501" s="15">
        <f t="shared" si="14"/>
        <v>21</v>
      </c>
      <c r="E501" s="15" t="str">
        <f t="shared" si="15"/>
        <v>After 15</v>
      </c>
      <c r="F501" t="s">
        <v>1063</v>
      </c>
      <c r="G501" s="16" t="str">
        <f>VLOOKUP(F501,DISTRICTS!B$2:C$626,2,FALSE)</f>
        <v>MONCLOA-ARAVACA</v>
      </c>
      <c r="H501" s="16" t="str">
        <f>IFERROR(VLOOKUP(G501,'areas for question 4'!A$2:B$10,2,FALSE),"")</f>
        <v/>
      </c>
      <c r="I501" t="s">
        <v>1444</v>
      </c>
      <c r="J501" t="s">
        <v>1450</v>
      </c>
      <c r="K501" t="s">
        <v>1456</v>
      </c>
      <c r="L501" t="s">
        <v>1466</v>
      </c>
      <c r="M501" t="s">
        <v>1477</v>
      </c>
      <c r="N501" s="18">
        <v>7</v>
      </c>
    </row>
    <row r="502" spans="1:14" x14ac:dyDescent="0.25">
      <c r="A502" t="s">
        <v>1065</v>
      </c>
      <c r="B502" s="7">
        <v>43732</v>
      </c>
      <c r="C502" s="4">
        <v>0.60416666666666663</v>
      </c>
      <c r="D502" s="15">
        <f t="shared" si="14"/>
        <v>14</v>
      </c>
      <c r="E502" s="15" t="str">
        <f t="shared" si="15"/>
        <v>Before 15</v>
      </c>
      <c r="F502" t="s">
        <v>197</v>
      </c>
      <c r="G502" s="16" t="str">
        <f>VLOOKUP(F502,DISTRICTS!B$2:C$626,2,FALSE)</f>
        <v>CHAMARTÍN</v>
      </c>
      <c r="H502" s="16" t="str">
        <f>IFERROR(VLOOKUP(G502,'areas for question 4'!A$2:B$10,2,FALSE),"")</f>
        <v>North</v>
      </c>
      <c r="I502" t="s">
        <v>1441</v>
      </c>
      <c r="J502" t="s">
        <v>1450</v>
      </c>
      <c r="K502" t="s">
        <v>1456</v>
      </c>
      <c r="L502" t="s">
        <v>1466</v>
      </c>
      <c r="M502" t="s">
        <v>1477</v>
      </c>
      <c r="N502" s="18">
        <v>7</v>
      </c>
    </row>
    <row r="503" spans="1:14" x14ac:dyDescent="0.25">
      <c r="A503" t="s">
        <v>1087</v>
      </c>
      <c r="B503" s="7">
        <v>43737</v>
      </c>
      <c r="C503" s="4">
        <v>0.86458333333333337</v>
      </c>
      <c r="D503" s="15">
        <f t="shared" si="14"/>
        <v>20</v>
      </c>
      <c r="E503" s="15" t="str">
        <f t="shared" si="15"/>
        <v>After 15</v>
      </c>
      <c r="F503" t="s">
        <v>1088</v>
      </c>
      <c r="G503" s="16" t="str">
        <f>VLOOKUP(F503,DISTRICTS!B$2:C$626,2,FALSE)</f>
        <v>CHAMARTÍN</v>
      </c>
      <c r="H503" s="16" t="str">
        <f>IFERROR(VLOOKUP(G503,'areas for question 4'!A$2:B$10,2,FALSE),"")</f>
        <v>North</v>
      </c>
      <c r="I503" t="s">
        <v>1444</v>
      </c>
      <c r="J503" t="s">
        <v>1450</v>
      </c>
      <c r="K503" t="s">
        <v>1456</v>
      </c>
      <c r="L503" t="s">
        <v>1466</v>
      </c>
      <c r="M503" t="s">
        <v>1478</v>
      </c>
      <c r="N503" s="18">
        <v>6</v>
      </c>
    </row>
    <row r="504" spans="1:14" x14ac:dyDescent="0.25">
      <c r="A504" t="s">
        <v>1090</v>
      </c>
      <c r="B504" s="7">
        <v>43737</v>
      </c>
      <c r="C504" s="4">
        <v>0.68402777777777779</v>
      </c>
      <c r="D504" s="15">
        <f t="shared" si="14"/>
        <v>16</v>
      </c>
      <c r="E504" s="15" t="str">
        <f t="shared" si="15"/>
        <v>After 15</v>
      </c>
      <c r="F504" t="s">
        <v>1091</v>
      </c>
      <c r="G504" s="16" t="str">
        <f>VLOOKUP(F504,DISTRICTS!B$2:C$626,2,FALSE)</f>
        <v>SALAMANCA</v>
      </c>
      <c r="H504" s="16" t="str">
        <f>IFERROR(VLOOKUP(G504,'areas for question 4'!A$2:B$10,2,FALSE),"")</f>
        <v/>
      </c>
      <c r="I504" t="s">
        <v>1447</v>
      </c>
      <c r="J504" t="s">
        <v>1450</v>
      </c>
      <c r="K504" t="s">
        <v>1456</v>
      </c>
      <c r="L504" t="s">
        <v>1466</v>
      </c>
      <c r="M504" t="s">
        <v>1477</v>
      </c>
      <c r="N504" s="18">
        <v>1</v>
      </c>
    </row>
    <row r="505" spans="1:14" x14ac:dyDescent="0.25">
      <c r="A505" t="s">
        <v>1092</v>
      </c>
      <c r="B505" s="7">
        <v>43737</v>
      </c>
      <c r="C505" s="4">
        <v>0.50694444444444442</v>
      </c>
      <c r="D505" s="15">
        <f t="shared" si="14"/>
        <v>12</v>
      </c>
      <c r="E505" s="15" t="str">
        <f t="shared" si="15"/>
        <v>Before 15</v>
      </c>
      <c r="F505" t="s">
        <v>1093</v>
      </c>
      <c r="G505" s="16" t="str">
        <f>VLOOKUP(F505,DISTRICTS!B$2:C$626,2,FALSE)</f>
        <v>RETIRO</v>
      </c>
      <c r="H505" s="16" t="str">
        <f>IFERROR(VLOOKUP(G505,'areas for question 4'!A$2:B$10,2,FALSE),"")</f>
        <v/>
      </c>
      <c r="I505" t="s">
        <v>1447</v>
      </c>
      <c r="J505" t="s">
        <v>1450</v>
      </c>
      <c r="K505" t="s">
        <v>1456</v>
      </c>
      <c r="L505" t="s">
        <v>1466</v>
      </c>
      <c r="M505" t="s">
        <v>1478</v>
      </c>
      <c r="N505" s="18">
        <v>7</v>
      </c>
    </row>
    <row r="506" spans="1:14" x14ac:dyDescent="0.25">
      <c r="A506" t="s">
        <v>1092</v>
      </c>
      <c r="B506" s="7">
        <v>43737</v>
      </c>
      <c r="C506" s="4">
        <v>0.50694444444444442</v>
      </c>
      <c r="D506" s="15">
        <f t="shared" si="14"/>
        <v>12</v>
      </c>
      <c r="E506" s="15" t="str">
        <f t="shared" si="15"/>
        <v>Before 15</v>
      </c>
      <c r="F506" t="s">
        <v>1093</v>
      </c>
      <c r="G506" s="16" t="str">
        <f>VLOOKUP(F506,DISTRICTS!B$2:C$626,2,FALSE)</f>
        <v>RETIRO</v>
      </c>
      <c r="H506" s="16" t="str">
        <f>IFERROR(VLOOKUP(G506,'areas for question 4'!A$2:B$10,2,FALSE),"")</f>
        <v/>
      </c>
      <c r="I506" t="s">
        <v>1447</v>
      </c>
      <c r="J506" t="s">
        <v>1450</v>
      </c>
      <c r="K506" t="s">
        <v>1456</v>
      </c>
      <c r="L506" t="s">
        <v>1466</v>
      </c>
      <c r="M506" t="s">
        <v>1477</v>
      </c>
      <c r="N506" s="18">
        <v>14</v>
      </c>
    </row>
    <row r="507" spans="1:14" x14ac:dyDescent="0.25">
      <c r="A507" t="s">
        <v>1110</v>
      </c>
      <c r="B507" s="7">
        <v>43739</v>
      </c>
      <c r="C507" s="4">
        <v>0.35138888888888892</v>
      </c>
      <c r="D507" s="15">
        <f t="shared" si="14"/>
        <v>8</v>
      </c>
      <c r="E507" s="15" t="str">
        <f t="shared" si="15"/>
        <v>Before 15</v>
      </c>
      <c r="F507" t="s">
        <v>1111</v>
      </c>
      <c r="G507" s="16" t="str">
        <f>VLOOKUP(F507,DISTRICTS!B$2:C$626,2,FALSE)</f>
        <v>ARGANZUELA</v>
      </c>
      <c r="H507" s="16" t="str">
        <f>IFERROR(VLOOKUP(G507,'areas for question 4'!A$2:B$10,2,FALSE),"")</f>
        <v/>
      </c>
      <c r="I507" t="s">
        <v>1444</v>
      </c>
      <c r="J507" t="s">
        <v>1450</v>
      </c>
      <c r="K507" t="s">
        <v>1456</v>
      </c>
      <c r="L507" t="s">
        <v>1466</v>
      </c>
      <c r="M507" t="s">
        <v>1478</v>
      </c>
      <c r="N507" s="18">
        <v>7</v>
      </c>
    </row>
    <row r="508" spans="1:14" x14ac:dyDescent="0.25">
      <c r="A508" t="s">
        <v>1114</v>
      </c>
      <c r="B508" s="7">
        <v>43740</v>
      </c>
      <c r="C508" s="4">
        <v>0.86458333333333337</v>
      </c>
      <c r="D508" s="15">
        <f t="shared" si="14"/>
        <v>20</v>
      </c>
      <c r="E508" s="15" t="str">
        <f t="shared" si="15"/>
        <v>After 15</v>
      </c>
      <c r="F508" t="s">
        <v>1115</v>
      </c>
      <c r="G508" s="16" t="str">
        <f>VLOOKUP(F508,DISTRICTS!B$2:C$626,2,FALSE)</f>
        <v>LATINA</v>
      </c>
      <c r="H508" s="16" t="str">
        <f>IFERROR(VLOOKUP(G508,'areas for question 4'!A$2:B$10,2,FALSE),"")</f>
        <v/>
      </c>
      <c r="I508" t="s">
        <v>1446</v>
      </c>
      <c r="J508" t="s">
        <v>1450</v>
      </c>
      <c r="K508" t="s">
        <v>1456</v>
      </c>
      <c r="L508" t="s">
        <v>1466</v>
      </c>
      <c r="M508" t="s">
        <v>1477</v>
      </c>
      <c r="N508" s="18">
        <v>7</v>
      </c>
    </row>
    <row r="509" spans="1:14" x14ac:dyDescent="0.25">
      <c r="A509" t="s">
        <v>1142</v>
      </c>
      <c r="B509" s="7">
        <v>43742</v>
      </c>
      <c r="C509" s="4">
        <v>0.38194444444444442</v>
      </c>
      <c r="D509" s="15">
        <f t="shared" si="14"/>
        <v>9</v>
      </c>
      <c r="E509" s="15" t="str">
        <f t="shared" si="15"/>
        <v>Before 15</v>
      </c>
      <c r="F509" t="s">
        <v>1143</v>
      </c>
      <c r="G509" s="16" t="str">
        <f>VLOOKUP(F509,DISTRICTS!B$2:C$626,2,FALSE)</f>
        <v>PUENTE DE VALLECAS</v>
      </c>
      <c r="H509" s="16" t="str">
        <f>IFERROR(VLOOKUP(G509,'areas for question 4'!A$2:B$10,2,FALSE),"")</f>
        <v/>
      </c>
      <c r="I509" t="s">
        <v>1446</v>
      </c>
      <c r="J509" t="s">
        <v>1450</v>
      </c>
      <c r="K509" t="s">
        <v>1456</v>
      </c>
      <c r="L509" t="s">
        <v>1466</v>
      </c>
      <c r="M509" t="s">
        <v>1477</v>
      </c>
      <c r="N509" s="18">
        <v>2</v>
      </c>
    </row>
    <row r="510" spans="1:14" x14ac:dyDescent="0.25">
      <c r="A510" t="s">
        <v>1193</v>
      </c>
      <c r="B510" s="7">
        <v>43753</v>
      </c>
      <c r="C510" s="4">
        <v>0.73125000000000007</v>
      </c>
      <c r="D510" s="15">
        <f t="shared" si="14"/>
        <v>17</v>
      </c>
      <c r="E510" s="15" t="str">
        <f t="shared" si="15"/>
        <v>After 15</v>
      </c>
      <c r="F510" t="s">
        <v>270</v>
      </c>
      <c r="G510" s="16" t="str">
        <f>VLOOKUP(F510,DISTRICTS!B$2:C$626,2,FALSE)</f>
        <v>CHAMARTÍN</v>
      </c>
      <c r="H510" s="16" t="str">
        <f>IFERROR(VLOOKUP(G510,'areas for question 4'!A$2:B$10,2,FALSE),"")</f>
        <v>North</v>
      </c>
      <c r="I510" t="s">
        <v>1447</v>
      </c>
      <c r="J510" t="s">
        <v>1450</v>
      </c>
      <c r="K510" t="s">
        <v>1456</v>
      </c>
      <c r="L510" t="s">
        <v>1466</v>
      </c>
      <c r="M510" t="s">
        <v>1477</v>
      </c>
      <c r="N510" s="18">
        <v>7</v>
      </c>
    </row>
    <row r="511" spans="1:14" x14ac:dyDescent="0.25">
      <c r="A511" t="s">
        <v>1200</v>
      </c>
      <c r="B511" s="7">
        <v>43754</v>
      </c>
      <c r="C511" s="4">
        <v>0.3611111111111111</v>
      </c>
      <c r="D511" s="15">
        <f t="shared" si="14"/>
        <v>8</v>
      </c>
      <c r="E511" s="15" t="str">
        <f t="shared" si="15"/>
        <v>Before 15</v>
      </c>
      <c r="F511" t="s">
        <v>1201</v>
      </c>
      <c r="G511" s="16" t="str">
        <f>VLOOKUP(F511,DISTRICTS!B$2:C$626,2,FALSE)</f>
        <v>ARGANZUELA</v>
      </c>
      <c r="H511" s="16" t="str">
        <f>IFERROR(VLOOKUP(G511,'areas for question 4'!A$2:B$10,2,FALSE),"")</f>
        <v/>
      </c>
      <c r="I511" t="s">
        <v>1444</v>
      </c>
      <c r="J511" t="s">
        <v>1450</v>
      </c>
      <c r="K511" t="s">
        <v>1456</v>
      </c>
      <c r="L511" t="s">
        <v>1466</v>
      </c>
      <c r="M511" t="s">
        <v>1478</v>
      </c>
      <c r="N511" s="18">
        <v>7</v>
      </c>
    </row>
    <row r="512" spans="1:14" x14ac:dyDescent="0.25">
      <c r="A512" t="s">
        <v>1234</v>
      </c>
      <c r="B512" s="7">
        <v>43763</v>
      </c>
      <c r="C512" s="4">
        <v>0.39166666666666666</v>
      </c>
      <c r="D512" s="15">
        <f t="shared" si="14"/>
        <v>9</v>
      </c>
      <c r="E512" s="15" t="str">
        <f t="shared" si="15"/>
        <v>Before 15</v>
      </c>
      <c r="F512" t="s">
        <v>970</v>
      </c>
      <c r="G512" s="16" t="str">
        <f>VLOOKUP(F512,DISTRICTS!B$2:C$626,2,FALSE)</f>
        <v>CENTRO</v>
      </c>
      <c r="H512" s="16" t="str">
        <f>IFERROR(VLOOKUP(G512,'areas for question 4'!A$2:B$10,2,FALSE),"")</f>
        <v/>
      </c>
      <c r="I512" t="s">
        <v>1444</v>
      </c>
      <c r="J512" t="s">
        <v>1450</v>
      </c>
      <c r="K512" t="s">
        <v>1456</v>
      </c>
      <c r="L512" t="s">
        <v>1466</v>
      </c>
      <c r="M512" t="s">
        <v>1477</v>
      </c>
      <c r="N512" s="18">
        <v>6</v>
      </c>
    </row>
    <row r="513" spans="1:14" x14ac:dyDescent="0.25">
      <c r="A513" t="s">
        <v>1244</v>
      </c>
      <c r="B513" s="7">
        <v>43765</v>
      </c>
      <c r="C513" s="4">
        <v>2.6388888888888889E-2</v>
      </c>
      <c r="D513" s="15">
        <f t="shared" si="14"/>
        <v>0</v>
      </c>
      <c r="E513" s="15" t="str">
        <f t="shared" si="15"/>
        <v>Before 15</v>
      </c>
      <c r="F513" t="s">
        <v>1245</v>
      </c>
      <c r="G513" s="16" t="str">
        <f>VLOOKUP(F513,DISTRICTS!B$2:C$626,2,FALSE)</f>
        <v>CHAMBERÍ</v>
      </c>
      <c r="H513" s="16" t="str">
        <f>IFERROR(VLOOKUP(G513,'areas for question 4'!A$2:B$10,2,FALSE),"")</f>
        <v>North</v>
      </c>
      <c r="I513" t="s">
        <v>1443</v>
      </c>
      <c r="J513" t="s">
        <v>1450</v>
      </c>
      <c r="K513" t="s">
        <v>1458</v>
      </c>
      <c r="L513" t="s">
        <v>1466</v>
      </c>
      <c r="M513" t="s">
        <v>1477</v>
      </c>
      <c r="N513" s="18">
        <v>7</v>
      </c>
    </row>
    <row r="514" spans="1:14" x14ac:dyDescent="0.25">
      <c r="A514" t="s">
        <v>1255</v>
      </c>
      <c r="B514" s="7">
        <v>43770</v>
      </c>
      <c r="C514" s="4">
        <v>0.45833333333333331</v>
      </c>
      <c r="D514" s="15">
        <f t="shared" si="14"/>
        <v>11</v>
      </c>
      <c r="E514" s="15" t="str">
        <f t="shared" si="15"/>
        <v>Before 15</v>
      </c>
      <c r="F514" t="s">
        <v>1256</v>
      </c>
      <c r="G514" s="16" t="str">
        <f>VLOOKUP(F514,DISTRICTS!B$2:C$626,2,FALSE)</f>
        <v>FUENCARRAL-EL PARDO</v>
      </c>
      <c r="H514" s="16" t="str">
        <f>IFERROR(VLOOKUP(G514,'areas for question 4'!A$2:B$10,2,FALSE),"")</f>
        <v>North</v>
      </c>
      <c r="I514" t="s">
        <v>1444</v>
      </c>
      <c r="J514" t="s">
        <v>1450</v>
      </c>
      <c r="K514" t="s">
        <v>1456</v>
      </c>
      <c r="L514" t="s">
        <v>1466</v>
      </c>
      <c r="M514" t="s">
        <v>1477</v>
      </c>
      <c r="N514" s="18">
        <v>3</v>
      </c>
    </row>
    <row r="515" spans="1:14" x14ac:dyDescent="0.25">
      <c r="A515" t="s">
        <v>1274</v>
      </c>
      <c r="B515" s="7">
        <v>43778</v>
      </c>
      <c r="C515" s="4">
        <v>0.875</v>
      </c>
      <c r="D515" s="15">
        <f t="shared" ref="D515:D578" si="16">HOUR(C515)</f>
        <v>21</v>
      </c>
      <c r="E515" s="15" t="str">
        <f t="shared" ref="E515:E578" si="17">IF(D515&lt;15,"Before 15","After 15")</f>
        <v>After 15</v>
      </c>
      <c r="F515" t="s">
        <v>1275</v>
      </c>
      <c r="G515" s="16" t="str">
        <f>VLOOKUP(F515,DISTRICTS!B$2:C$626,2,FALSE)</f>
        <v>SALAMANCA</v>
      </c>
      <c r="H515" s="16" t="str">
        <f>IFERROR(VLOOKUP(G515,'areas for question 4'!A$2:B$10,2,FALSE),"")</f>
        <v/>
      </c>
      <c r="I515" t="s">
        <v>1444</v>
      </c>
      <c r="J515" t="s">
        <v>1452</v>
      </c>
      <c r="K515" t="s">
        <v>1456</v>
      </c>
      <c r="L515" t="s">
        <v>1466</v>
      </c>
      <c r="M515" t="s">
        <v>1477</v>
      </c>
      <c r="N515" s="18">
        <v>7</v>
      </c>
    </row>
    <row r="516" spans="1:14" x14ac:dyDescent="0.25">
      <c r="A516" t="s">
        <v>1276</v>
      </c>
      <c r="B516" s="7">
        <v>43778</v>
      </c>
      <c r="C516" s="4">
        <v>0.83333333333333337</v>
      </c>
      <c r="D516" s="15">
        <f t="shared" si="16"/>
        <v>20</v>
      </c>
      <c r="E516" s="15" t="str">
        <f t="shared" si="17"/>
        <v>After 15</v>
      </c>
      <c r="F516" t="s">
        <v>142</v>
      </c>
      <c r="G516" s="16" t="str">
        <f>VLOOKUP(F516,DISTRICTS!B$2:C$626,2,FALSE)</f>
        <v>CHAMARTÍN</v>
      </c>
      <c r="H516" s="16" t="str">
        <f>IFERROR(VLOOKUP(G516,'areas for question 4'!A$2:B$10,2,FALSE),"")</f>
        <v>North</v>
      </c>
      <c r="I516" t="s">
        <v>1446</v>
      </c>
      <c r="J516" t="s">
        <v>1452</v>
      </c>
      <c r="K516" t="s">
        <v>1456</v>
      </c>
      <c r="L516" t="s">
        <v>1466</v>
      </c>
      <c r="M516" t="s">
        <v>1477</v>
      </c>
      <c r="N516" s="18">
        <v>1</v>
      </c>
    </row>
    <row r="517" spans="1:14" x14ac:dyDescent="0.25">
      <c r="A517" t="s">
        <v>1286</v>
      </c>
      <c r="B517" s="7">
        <v>43781</v>
      </c>
      <c r="C517" s="4">
        <v>0.8125</v>
      </c>
      <c r="D517" s="15">
        <f t="shared" si="16"/>
        <v>19</v>
      </c>
      <c r="E517" s="15" t="str">
        <f t="shared" si="17"/>
        <v>After 15</v>
      </c>
      <c r="F517" t="s">
        <v>1287</v>
      </c>
      <c r="G517" s="16" t="str">
        <f>VLOOKUP(F517,DISTRICTS!B$2:C$626,2,FALSE)</f>
        <v>SALAMANCA</v>
      </c>
      <c r="H517" s="16" t="str">
        <f>IFERROR(VLOOKUP(G517,'areas for question 4'!A$2:B$10,2,FALSE),"")</f>
        <v/>
      </c>
      <c r="I517" t="s">
        <v>1447</v>
      </c>
      <c r="J517" t="s">
        <v>1450</v>
      </c>
      <c r="K517" t="s">
        <v>1456</v>
      </c>
      <c r="L517" t="s">
        <v>1466</v>
      </c>
      <c r="M517" t="s">
        <v>1477</v>
      </c>
      <c r="N517" s="18" t="s">
        <v>34</v>
      </c>
    </row>
    <row r="518" spans="1:14" x14ac:dyDescent="0.25">
      <c r="A518" t="s">
        <v>1288</v>
      </c>
      <c r="B518" s="7">
        <v>43781</v>
      </c>
      <c r="C518" s="4">
        <v>0.79513888888888884</v>
      </c>
      <c r="D518" s="15">
        <f t="shared" si="16"/>
        <v>19</v>
      </c>
      <c r="E518" s="15" t="str">
        <f t="shared" si="17"/>
        <v>After 15</v>
      </c>
      <c r="F518" t="s">
        <v>1289</v>
      </c>
      <c r="G518" s="16" t="str">
        <f>VLOOKUP(F518,DISTRICTS!B$2:C$626,2,FALSE)</f>
        <v>CENTRO</v>
      </c>
      <c r="H518" s="16" t="str">
        <f>IFERROR(VLOOKUP(G518,'areas for question 4'!A$2:B$10,2,FALSE),"")</f>
        <v/>
      </c>
      <c r="I518" t="s">
        <v>1444</v>
      </c>
      <c r="J518" t="s">
        <v>1450</v>
      </c>
      <c r="K518" t="s">
        <v>1456</v>
      </c>
      <c r="L518" t="s">
        <v>1466</v>
      </c>
      <c r="M518" t="s">
        <v>1477</v>
      </c>
      <c r="N518" s="18">
        <v>7</v>
      </c>
    </row>
    <row r="519" spans="1:14" x14ac:dyDescent="0.25">
      <c r="A519" t="s">
        <v>1308</v>
      </c>
      <c r="B519" s="7">
        <v>43784</v>
      </c>
      <c r="C519" s="4">
        <v>0.99305555555555547</v>
      </c>
      <c r="D519" s="15">
        <f t="shared" si="16"/>
        <v>23</v>
      </c>
      <c r="E519" s="15" t="str">
        <f t="shared" si="17"/>
        <v>After 15</v>
      </c>
      <c r="F519" t="s">
        <v>1309</v>
      </c>
      <c r="G519" s="16" t="str">
        <f>VLOOKUP(F519,DISTRICTS!B$2:C$626,2,FALSE)</f>
        <v>CENTRO</v>
      </c>
      <c r="H519" s="16" t="str">
        <f>IFERROR(VLOOKUP(G519,'areas for question 4'!A$2:B$10,2,FALSE),"")</f>
        <v/>
      </c>
      <c r="I519" t="s">
        <v>1446</v>
      </c>
      <c r="J519" t="s">
        <v>1450</v>
      </c>
      <c r="K519" t="s">
        <v>1456</v>
      </c>
      <c r="L519" t="s">
        <v>1466</v>
      </c>
      <c r="M519" t="s">
        <v>1477</v>
      </c>
      <c r="N519" s="18" t="s">
        <v>34</v>
      </c>
    </row>
    <row r="520" spans="1:14" x14ac:dyDescent="0.25">
      <c r="A520" t="s">
        <v>1315</v>
      </c>
      <c r="B520" s="7">
        <v>43788</v>
      </c>
      <c r="C520" s="4">
        <v>0.63888888888888895</v>
      </c>
      <c r="D520" s="15">
        <f t="shared" si="16"/>
        <v>15</v>
      </c>
      <c r="E520" s="15" t="str">
        <f t="shared" si="17"/>
        <v>After 15</v>
      </c>
      <c r="F520" t="s">
        <v>1316</v>
      </c>
      <c r="G520" s="16" t="str">
        <f>VLOOKUP(F520,DISTRICTS!B$2:C$626,2,FALSE)</f>
        <v>CENTRO</v>
      </c>
      <c r="H520" s="16" t="str">
        <f>IFERROR(VLOOKUP(G520,'areas for question 4'!A$2:B$10,2,FALSE),"")</f>
        <v/>
      </c>
      <c r="I520" t="s">
        <v>1447</v>
      </c>
      <c r="J520" t="s">
        <v>1450</v>
      </c>
      <c r="K520" t="s">
        <v>1456</v>
      </c>
      <c r="L520" t="s">
        <v>1466</v>
      </c>
      <c r="M520" t="s">
        <v>1477</v>
      </c>
      <c r="N520" s="18">
        <v>14</v>
      </c>
    </row>
    <row r="521" spans="1:14" x14ac:dyDescent="0.25">
      <c r="A521" t="s">
        <v>1317</v>
      </c>
      <c r="B521" s="7">
        <v>43788</v>
      </c>
      <c r="C521" s="4">
        <v>0.38194444444444442</v>
      </c>
      <c r="D521" s="15">
        <f t="shared" si="16"/>
        <v>9</v>
      </c>
      <c r="E521" s="15" t="str">
        <f t="shared" si="17"/>
        <v>Before 15</v>
      </c>
      <c r="F521" t="s">
        <v>1318</v>
      </c>
      <c r="G521" s="16" t="str">
        <f>VLOOKUP(F521,DISTRICTS!B$2:C$626,2,FALSE)</f>
        <v>VILLA DE VALLECAS</v>
      </c>
      <c r="H521" s="16" t="str">
        <f>IFERROR(VLOOKUP(G521,'areas for question 4'!A$2:B$10,2,FALSE),"")</f>
        <v/>
      </c>
      <c r="I521" t="s">
        <v>1447</v>
      </c>
      <c r="J521" t="s">
        <v>1450</v>
      </c>
      <c r="K521" t="s">
        <v>1456</v>
      </c>
      <c r="L521" t="s">
        <v>1466</v>
      </c>
      <c r="M521" t="s">
        <v>1477</v>
      </c>
      <c r="N521" s="18">
        <v>6</v>
      </c>
    </row>
    <row r="522" spans="1:14" x14ac:dyDescent="0.25">
      <c r="A522" t="s">
        <v>1339</v>
      </c>
      <c r="B522" s="7">
        <v>43795</v>
      </c>
      <c r="C522" s="4">
        <v>0.95138888888888884</v>
      </c>
      <c r="D522" s="15">
        <f t="shared" si="16"/>
        <v>22</v>
      </c>
      <c r="E522" s="15" t="str">
        <f t="shared" si="17"/>
        <v>After 15</v>
      </c>
      <c r="F522" t="s">
        <v>1340</v>
      </c>
      <c r="G522" s="16" t="str">
        <f>VLOOKUP(F522,DISTRICTS!B$2:C$626,2,FALSE)</f>
        <v>CHAMBERÍ</v>
      </c>
      <c r="H522" s="16" t="str">
        <f>IFERROR(VLOOKUP(G522,'areas for question 4'!A$2:B$10,2,FALSE),"")</f>
        <v>North</v>
      </c>
      <c r="I522" t="s">
        <v>1444</v>
      </c>
      <c r="J522" t="s">
        <v>1452</v>
      </c>
      <c r="K522" t="s">
        <v>1456</v>
      </c>
      <c r="L522" t="s">
        <v>1466</v>
      </c>
      <c r="M522" t="s">
        <v>1477</v>
      </c>
      <c r="N522" s="18">
        <v>7</v>
      </c>
    </row>
    <row r="523" spans="1:14" x14ac:dyDescent="0.25">
      <c r="A523" t="s">
        <v>1345</v>
      </c>
      <c r="B523" s="7">
        <v>43797</v>
      </c>
      <c r="C523" s="4">
        <v>0.8125</v>
      </c>
      <c r="D523" s="15">
        <f t="shared" si="16"/>
        <v>19</v>
      </c>
      <c r="E523" s="15" t="str">
        <f t="shared" si="17"/>
        <v>After 15</v>
      </c>
      <c r="F523" t="s">
        <v>168</v>
      </c>
      <c r="G523" s="16" t="str">
        <f>VLOOKUP(F523,DISTRICTS!B$2:C$626,2,FALSE)</f>
        <v>ARGANZUELA</v>
      </c>
      <c r="H523" s="16" t="str">
        <f>IFERROR(VLOOKUP(G523,'areas for question 4'!A$2:B$10,2,FALSE),"")</f>
        <v/>
      </c>
      <c r="I523" t="s">
        <v>1446</v>
      </c>
      <c r="K523" t="s">
        <v>1456</v>
      </c>
      <c r="L523" t="s">
        <v>1466</v>
      </c>
      <c r="M523" t="s">
        <v>1477</v>
      </c>
      <c r="N523" s="18">
        <v>14</v>
      </c>
    </row>
    <row r="524" spans="1:14" x14ac:dyDescent="0.25">
      <c r="A524" t="s">
        <v>1375</v>
      </c>
      <c r="B524" s="7">
        <v>43810</v>
      </c>
      <c r="C524" s="4">
        <v>0.71875</v>
      </c>
      <c r="D524" s="15">
        <f t="shared" si="16"/>
        <v>17</v>
      </c>
      <c r="E524" s="15" t="str">
        <f t="shared" si="17"/>
        <v>After 15</v>
      </c>
      <c r="F524" t="s">
        <v>1376</v>
      </c>
      <c r="G524" s="16" t="str">
        <f>VLOOKUP(F524,DISTRICTS!B$2:C$626,2,FALSE)</f>
        <v>FUENCARRAL-EL PARDO</v>
      </c>
      <c r="H524" s="16" t="str">
        <f>IFERROR(VLOOKUP(G524,'areas for question 4'!A$2:B$10,2,FALSE),"")</f>
        <v>North</v>
      </c>
      <c r="I524" t="s">
        <v>1441</v>
      </c>
      <c r="J524" t="s">
        <v>1454</v>
      </c>
      <c r="K524" t="s">
        <v>1456</v>
      </c>
      <c r="L524" t="s">
        <v>1466</v>
      </c>
      <c r="M524" t="s">
        <v>1477</v>
      </c>
      <c r="N524" s="18" t="s">
        <v>34</v>
      </c>
    </row>
    <row r="525" spans="1:14" x14ac:dyDescent="0.25">
      <c r="A525" s="5" t="s">
        <v>53</v>
      </c>
      <c r="B525" s="7">
        <v>43479</v>
      </c>
      <c r="C525" s="4">
        <v>0.84722222222222221</v>
      </c>
      <c r="D525" s="15">
        <f t="shared" si="16"/>
        <v>20</v>
      </c>
      <c r="E525" s="15" t="str">
        <f t="shared" si="17"/>
        <v>After 15</v>
      </c>
      <c r="F525" t="s">
        <v>54</v>
      </c>
      <c r="G525" s="16" t="str">
        <f>VLOOKUP(F525,DISTRICTS!B$2:C$626,2,FALSE)</f>
        <v>FUENCARRAL-EL PARDO</v>
      </c>
      <c r="H525" s="16" t="str">
        <f>IFERROR(VLOOKUP(G525,'areas for question 4'!A$2:B$10,2,FALSE),"")</f>
        <v>North</v>
      </c>
      <c r="I525" t="s">
        <v>1444</v>
      </c>
      <c r="J525" t="s">
        <v>1450</v>
      </c>
      <c r="K525" t="s">
        <v>1456</v>
      </c>
      <c r="L525" t="s">
        <v>1467</v>
      </c>
      <c r="M525" s="5" t="s">
        <v>1477</v>
      </c>
      <c r="N525" s="18">
        <v>2</v>
      </c>
    </row>
    <row r="526" spans="1:14" x14ac:dyDescent="0.25">
      <c r="A526" s="5" t="s">
        <v>58</v>
      </c>
      <c r="B526" s="7">
        <v>43479</v>
      </c>
      <c r="C526" s="4">
        <v>0.46527777777777773</v>
      </c>
      <c r="D526" s="15">
        <f t="shared" si="16"/>
        <v>11</v>
      </c>
      <c r="E526" s="15" t="str">
        <f t="shared" si="17"/>
        <v>Before 15</v>
      </c>
      <c r="F526" t="s">
        <v>59</v>
      </c>
      <c r="G526" s="16" t="str">
        <f>VLOOKUP(F526,DISTRICTS!B$2:C$626,2,FALSE)</f>
        <v>CENTRO</v>
      </c>
      <c r="H526" s="16" t="str">
        <f>IFERROR(VLOOKUP(G526,'areas for question 4'!A$2:B$10,2,FALSE),"")</f>
        <v/>
      </c>
      <c r="I526" t="s">
        <v>1444</v>
      </c>
      <c r="J526" t="s">
        <v>1450</v>
      </c>
      <c r="K526" t="s">
        <v>1456</v>
      </c>
      <c r="L526" t="s">
        <v>1467</v>
      </c>
      <c r="M526" s="5" t="s">
        <v>1477</v>
      </c>
      <c r="N526" s="18">
        <v>7</v>
      </c>
    </row>
    <row r="527" spans="1:14" x14ac:dyDescent="0.25">
      <c r="A527" t="s">
        <v>114</v>
      </c>
      <c r="B527" s="7">
        <v>43498</v>
      </c>
      <c r="C527" s="4">
        <v>0.47916666666666669</v>
      </c>
      <c r="D527" s="15">
        <f t="shared" si="16"/>
        <v>11</v>
      </c>
      <c r="E527" s="15" t="str">
        <f t="shared" si="17"/>
        <v>Before 15</v>
      </c>
      <c r="F527" t="s">
        <v>115</v>
      </c>
      <c r="G527" s="16" t="str">
        <f>VLOOKUP(F527,DISTRICTS!B$2:C$626,2,FALSE)</f>
        <v>PUENTE DE VALLECAS</v>
      </c>
      <c r="H527" s="16" t="str">
        <f>IFERROR(VLOOKUP(G527,'areas for question 4'!A$2:B$10,2,FALSE),"")</f>
        <v/>
      </c>
      <c r="I527" t="s">
        <v>1447</v>
      </c>
      <c r="J527" t="s">
        <v>1450</v>
      </c>
      <c r="K527" t="s">
        <v>1456</v>
      </c>
      <c r="L527" t="s">
        <v>1467</v>
      </c>
      <c r="M527" t="s">
        <v>1477</v>
      </c>
      <c r="N527" s="18" t="s">
        <v>34</v>
      </c>
    </row>
    <row r="528" spans="1:14" x14ac:dyDescent="0.25">
      <c r="A528" t="s">
        <v>124</v>
      </c>
      <c r="B528" s="7">
        <v>43502</v>
      </c>
      <c r="C528" s="4">
        <v>0.72916666666666663</v>
      </c>
      <c r="D528" s="15">
        <f t="shared" si="16"/>
        <v>17</v>
      </c>
      <c r="E528" s="15" t="str">
        <f t="shared" si="17"/>
        <v>After 15</v>
      </c>
      <c r="F528" t="s">
        <v>99</v>
      </c>
      <c r="G528" s="16" t="str">
        <f>VLOOKUP(F528,DISTRICTS!B$2:C$626,2,FALSE)</f>
        <v>CENTRO</v>
      </c>
      <c r="H528" s="16" t="str">
        <f>IFERROR(VLOOKUP(G528,'areas for question 4'!A$2:B$10,2,FALSE),"")</f>
        <v/>
      </c>
      <c r="I528" t="s">
        <v>1441</v>
      </c>
      <c r="J528" t="s">
        <v>1450</v>
      </c>
      <c r="K528" t="s">
        <v>1456</v>
      </c>
      <c r="L528" t="s">
        <v>1467</v>
      </c>
      <c r="M528" t="s">
        <v>1477</v>
      </c>
      <c r="N528" s="18" t="s">
        <v>34</v>
      </c>
    </row>
    <row r="529" spans="1:14" x14ac:dyDescent="0.25">
      <c r="A529" t="s">
        <v>179</v>
      </c>
      <c r="B529" s="7">
        <v>43518</v>
      </c>
      <c r="C529" s="4">
        <v>0.83680555555555547</v>
      </c>
      <c r="D529" s="15">
        <f t="shared" si="16"/>
        <v>20</v>
      </c>
      <c r="E529" s="15" t="str">
        <f t="shared" si="17"/>
        <v>After 15</v>
      </c>
      <c r="F529" t="s">
        <v>180</v>
      </c>
      <c r="G529" s="16" t="str">
        <f>VLOOKUP(F529,DISTRICTS!B$2:C$626,2,FALSE)</f>
        <v>CARABANCHEL</v>
      </c>
      <c r="H529" s="16" t="str">
        <f>IFERROR(VLOOKUP(G529,'areas for question 4'!A$2:B$10,2,FALSE),"")</f>
        <v/>
      </c>
      <c r="I529" t="s">
        <v>1441</v>
      </c>
      <c r="J529" t="s">
        <v>1450</v>
      </c>
      <c r="K529" t="s">
        <v>1456</v>
      </c>
      <c r="L529" t="s">
        <v>1467</v>
      </c>
      <c r="M529" t="s">
        <v>1477</v>
      </c>
      <c r="N529" s="18">
        <v>2</v>
      </c>
    </row>
    <row r="530" spans="1:14" x14ac:dyDescent="0.25">
      <c r="A530" t="s">
        <v>183</v>
      </c>
      <c r="B530" s="7">
        <v>43519</v>
      </c>
      <c r="C530" s="4">
        <v>0.44097222222222227</v>
      </c>
      <c r="D530" s="15">
        <f t="shared" si="16"/>
        <v>10</v>
      </c>
      <c r="E530" s="15" t="str">
        <f t="shared" si="17"/>
        <v>Before 15</v>
      </c>
      <c r="F530" t="s">
        <v>184</v>
      </c>
      <c r="G530" s="16" t="str">
        <f>VLOOKUP(F530,DISTRICTS!B$2:C$626,2,FALSE)</f>
        <v>ARGANZUELA</v>
      </c>
      <c r="H530" s="16" t="str">
        <f>IFERROR(VLOOKUP(G530,'areas for question 4'!A$2:B$10,2,FALSE),"")</f>
        <v/>
      </c>
      <c r="I530" t="s">
        <v>1444</v>
      </c>
      <c r="J530" t="s">
        <v>1450</v>
      </c>
      <c r="K530" t="s">
        <v>1456</v>
      </c>
      <c r="L530" t="s">
        <v>1467</v>
      </c>
      <c r="M530" t="s">
        <v>1477</v>
      </c>
      <c r="N530" s="18">
        <v>5</v>
      </c>
    </row>
    <row r="531" spans="1:14" x14ac:dyDescent="0.25">
      <c r="A531" t="s">
        <v>203</v>
      </c>
      <c r="B531" s="7">
        <v>43525</v>
      </c>
      <c r="C531" s="4">
        <v>0.50694444444444442</v>
      </c>
      <c r="D531" s="15">
        <f t="shared" si="16"/>
        <v>12</v>
      </c>
      <c r="E531" s="15" t="str">
        <f t="shared" si="17"/>
        <v>Before 15</v>
      </c>
      <c r="F531" t="s">
        <v>204</v>
      </c>
      <c r="G531" s="16" t="str">
        <f>VLOOKUP(F531,DISTRICTS!B$2:C$626,2,FALSE)</f>
        <v>ARGANZUELA</v>
      </c>
      <c r="H531" s="16" t="str">
        <f>IFERROR(VLOOKUP(G531,'areas for question 4'!A$2:B$10,2,FALSE),"")</f>
        <v/>
      </c>
      <c r="I531" t="s">
        <v>1444</v>
      </c>
      <c r="J531" t="s">
        <v>1450</v>
      </c>
      <c r="K531" t="s">
        <v>1456</v>
      </c>
      <c r="L531" t="s">
        <v>1467</v>
      </c>
      <c r="M531" t="s">
        <v>1477</v>
      </c>
      <c r="N531" s="18">
        <v>14</v>
      </c>
    </row>
    <row r="532" spans="1:14" x14ac:dyDescent="0.25">
      <c r="A532" t="s">
        <v>219</v>
      </c>
      <c r="B532" s="7">
        <v>43528</v>
      </c>
      <c r="C532" s="4">
        <v>0.4826388888888889</v>
      </c>
      <c r="D532" s="15">
        <f t="shared" si="16"/>
        <v>11</v>
      </c>
      <c r="E532" s="15" t="str">
        <f t="shared" si="17"/>
        <v>Before 15</v>
      </c>
      <c r="F532" t="s">
        <v>70</v>
      </c>
      <c r="G532" s="16" t="str">
        <f>VLOOKUP(F532,DISTRICTS!B$2:C$626,2,FALSE)</f>
        <v>RETIRO</v>
      </c>
      <c r="H532" s="16" t="str">
        <f>IFERROR(VLOOKUP(G532,'areas for question 4'!A$2:B$10,2,FALSE),"")</f>
        <v/>
      </c>
      <c r="I532" t="s">
        <v>1444</v>
      </c>
      <c r="J532" t="s">
        <v>1450</v>
      </c>
      <c r="K532" t="s">
        <v>1456</v>
      </c>
      <c r="L532" t="s">
        <v>1467</v>
      </c>
      <c r="M532" t="s">
        <v>1477</v>
      </c>
      <c r="N532" s="18">
        <v>5</v>
      </c>
    </row>
    <row r="533" spans="1:14" x14ac:dyDescent="0.25">
      <c r="A533" t="s">
        <v>253</v>
      </c>
      <c r="B533" s="7">
        <v>43537</v>
      </c>
      <c r="C533" s="4">
        <v>0.79166666666666663</v>
      </c>
      <c r="D533" s="15">
        <f t="shared" si="16"/>
        <v>19</v>
      </c>
      <c r="E533" s="15" t="str">
        <f t="shared" si="17"/>
        <v>After 15</v>
      </c>
      <c r="F533" t="s">
        <v>254</v>
      </c>
      <c r="G533" s="16" t="str">
        <f>VLOOKUP(F533,DISTRICTS!B$2:C$626,2,FALSE)</f>
        <v>USERA</v>
      </c>
      <c r="H533" s="16" t="str">
        <f>IFERROR(VLOOKUP(G533,'areas for question 4'!A$2:B$10,2,FALSE),"")</f>
        <v/>
      </c>
      <c r="I533" t="s">
        <v>1449</v>
      </c>
      <c r="J533" t="s">
        <v>1450</v>
      </c>
      <c r="K533" t="s">
        <v>1456</v>
      </c>
      <c r="L533" t="s">
        <v>1467</v>
      </c>
      <c r="M533" t="s">
        <v>1477</v>
      </c>
      <c r="N533" s="18">
        <v>7</v>
      </c>
    </row>
    <row r="534" spans="1:14" x14ac:dyDescent="0.25">
      <c r="A534" t="s">
        <v>261</v>
      </c>
      <c r="B534" s="7">
        <v>43540</v>
      </c>
      <c r="C534" s="4">
        <v>0.77430555555555547</v>
      </c>
      <c r="D534" s="15">
        <f t="shared" si="16"/>
        <v>18</v>
      </c>
      <c r="E534" s="15" t="str">
        <f t="shared" si="17"/>
        <v>After 15</v>
      </c>
      <c r="F534" t="s">
        <v>262</v>
      </c>
      <c r="G534" s="16" t="str">
        <f>VLOOKUP(F534,DISTRICTS!B$2:C$626,2,FALSE)</f>
        <v>RETIRO</v>
      </c>
      <c r="H534" s="16" t="str">
        <f>IFERROR(VLOOKUP(G534,'areas for question 4'!A$2:B$10,2,FALSE),"")</f>
        <v/>
      </c>
      <c r="I534" t="s">
        <v>1446</v>
      </c>
      <c r="J534" t="s">
        <v>1450</v>
      </c>
      <c r="K534" t="s">
        <v>1456</v>
      </c>
      <c r="L534" t="s">
        <v>1467</v>
      </c>
      <c r="M534" t="s">
        <v>1477</v>
      </c>
      <c r="N534" s="18">
        <v>14</v>
      </c>
    </row>
    <row r="535" spans="1:14" x14ac:dyDescent="0.25">
      <c r="A535" t="s">
        <v>281</v>
      </c>
      <c r="B535" s="7">
        <v>43543</v>
      </c>
      <c r="C535" s="4">
        <v>0.34375</v>
      </c>
      <c r="D535" s="15">
        <f t="shared" si="16"/>
        <v>8</v>
      </c>
      <c r="E535" s="15" t="str">
        <f t="shared" si="17"/>
        <v>Before 15</v>
      </c>
      <c r="F535" t="s">
        <v>282</v>
      </c>
      <c r="G535" s="16" t="str">
        <f>VLOOKUP(F535,DISTRICTS!B$2:C$626,2,FALSE)</f>
        <v>FUENCARRAL-EL PARDO</v>
      </c>
      <c r="H535" s="16" t="str">
        <f>IFERROR(VLOOKUP(G535,'areas for question 4'!A$2:B$10,2,FALSE),"")</f>
        <v>North</v>
      </c>
      <c r="I535" t="s">
        <v>1446</v>
      </c>
      <c r="J535" t="s">
        <v>1450</v>
      </c>
      <c r="K535" t="s">
        <v>1456</v>
      </c>
      <c r="L535" t="s">
        <v>1467</v>
      </c>
      <c r="M535" t="s">
        <v>1477</v>
      </c>
      <c r="N535" s="18">
        <v>7</v>
      </c>
    </row>
    <row r="536" spans="1:14" x14ac:dyDescent="0.25">
      <c r="A536" t="s">
        <v>305</v>
      </c>
      <c r="B536" s="7">
        <v>43549</v>
      </c>
      <c r="C536" s="4">
        <v>0.94791666666666663</v>
      </c>
      <c r="D536" s="15">
        <f t="shared" si="16"/>
        <v>22</v>
      </c>
      <c r="E536" s="15" t="str">
        <f t="shared" si="17"/>
        <v>After 15</v>
      </c>
      <c r="F536" t="s">
        <v>301</v>
      </c>
      <c r="G536" s="16" t="str">
        <f>VLOOKUP(F536,DISTRICTS!B$2:C$626,2,FALSE)</f>
        <v>CENTRO</v>
      </c>
      <c r="H536" s="16" t="str">
        <f>IFERROR(VLOOKUP(G536,'areas for question 4'!A$2:B$10,2,FALSE),"")</f>
        <v/>
      </c>
      <c r="I536" t="s">
        <v>1443</v>
      </c>
      <c r="J536" t="s">
        <v>1450</v>
      </c>
      <c r="K536" t="s">
        <v>1458</v>
      </c>
      <c r="L536" t="s">
        <v>1467</v>
      </c>
      <c r="M536" t="s">
        <v>1478</v>
      </c>
      <c r="N536" s="18">
        <v>2</v>
      </c>
    </row>
    <row r="537" spans="1:14" x14ac:dyDescent="0.25">
      <c r="A537" t="s">
        <v>320</v>
      </c>
      <c r="B537" s="7">
        <v>43552</v>
      </c>
      <c r="C537" s="4">
        <v>0.61458333333333337</v>
      </c>
      <c r="D537" s="15">
        <f t="shared" si="16"/>
        <v>14</v>
      </c>
      <c r="E537" s="15" t="str">
        <f t="shared" si="17"/>
        <v>Before 15</v>
      </c>
      <c r="F537" t="s">
        <v>321</v>
      </c>
      <c r="G537" s="16" t="str">
        <f>VLOOKUP(F537,DISTRICTS!B$2:C$626,2,FALSE)</f>
        <v>CENTRO</v>
      </c>
      <c r="H537" s="16" t="str">
        <f>IFERROR(VLOOKUP(G537,'areas for question 4'!A$2:B$10,2,FALSE),"")</f>
        <v/>
      </c>
      <c r="I537" t="s">
        <v>1441</v>
      </c>
      <c r="J537" t="s">
        <v>1450</v>
      </c>
      <c r="K537" t="s">
        <v>1456</v>
      </c>
      <c r="L537" t="s">
        <v>1467</v>
      </c>
      <c r="M537" t="s">
        <v>1477</v>
      </c>
      <c r="N537" s="18">
        <v>7</v>
      </c>
    </row>
    <row r="538" spans="1:14" x14ac:dyDescent="0.25">
      <c r="A538" t="s">
        <v>322</v>
      </c>
      <c r="B538" s="7">
        <v>43552</v>
      </c>
      <c r="C538" s="4">
        <v>0.4548611111111111</v>
      </c>
      <c r="D538" s="15">
        <f t="shared" si="16"/>
        <v>10</v>
      </c>
      <c r="E538" s="15" t="str">
        <f t="shared" si="17"/>
        <v>Before 15</v>
      </c>
      <c r="F538" t="s">
        <v>323</v>
      </c>
      <c r="G538" s="16" t="str">
        <f>VLOOKUP(F538,DISTRICTS!B$2:C$626,2,FALSE)</f>
        <v>CHAMBERÍ</v>
      </c>
      <c r="H538" s="16" t="str">
        <f>IFERROR(VLOOKUP(G538,'areas for question 4'!A$2:B$10,2,FALSE),"")</f>
        <v>North</v>
      </c>
      <c r="I538" t="s">
        <v>1444</v>
      </c>
      <c r="J538" t="s">
        <v>1450</v>
      </c>
      <c r="K538" t="s">
        <v>1456</v>
      </c>
      <c r="L538" t="s">
        <v>1467</v>
      </c>
      <c r="M538" t="s">
        <v>1477</v>
      </c>
      <c r="N538" s="18">
        <v>7</v>
      </c>
    </row>
    <row r="539" spans="1:14" x14ac:dyDescent="0.25">
      <c r="A539" t="s">
        <v>343</v>
      </c>
      <c r="B539" s="7">
        <v>43556</v>
      </c>
      <c r="C539" s="4">
        <v>0.66875000000000007</v>
      </c>
      <c r="D539" s="15">
        <f t="shared" si="16"/>
        <v>16</v>
      </c>
      <c r="E539" s="15" t="str">
        <f t="shared" si="17"/>
        <v>After 15</v>
      </c>
      <c r="F539" t="s">
        <v>344</v>
      </c>
      <c r="G539" s="16" t="str">
        <f>VLOOKUP(F539,DISTRICTS!B$2:C$626,2,FALSE)</f>
        <v>ARGANZUELA</v>
      </c>
      <c r="H539" s="16" t="str">
        <f>IFERROR(VLOOKUP(G539,'areas for question 4'!A$2:B$10,2,FALSE),"")</f>
        <v/>
      </c>
      <c r="I539" t="s">
        <v>1444</v>
      </c>
      <c r="J539" t="s">
        <v>1450</v>
      </c>
      <c r="K539" t="s">
        <v>1456</v>
      </c>
      <c r="L539" t="s">
        <v>1467</v>
      </c>
      <c r="M539" t="s">
        <v>1477</v>
      </c>
      <c r="N539" s="18">
        <v>1</v>
      </c>
    </row>
    <row r="540" spans="1:14" x14ac:dyDescent="0.25">
      <c r="A540" t="s">
        <v>348</v>
      </c>
      <c r="B540" s="7">
        <v>43558</v>
      </c>
      <c r="C540" s="4">
        <v>0.6972222222222223</v>
      </c>
      <c r="D540" s="15">
        <f t="shared" si="16"/>
        <v>16</v>
      </c>
      <c r="E540" s="15" t="str">
        <f t="shared" si="17"/>
        <v>After 15</v>
      </c>
      <c r="F540" t="s">
        <v>349</v>
      </c>
      <c r="G540" s="16" t="str">
        <f>VLOOKUP(F540,DISTRICTS!B$2:C$626,2,FALSE)</f>
        <v>PUENTE DE VALLECAS</v>
      </c>
      <c r="H540" s="16" t="str">
        <f>IFERROR(VLOOKUP(G540,'areas for question 4'!A$2:B$10,2,FALSE),"")</f>
        <v/>
      </c>
      <c r="I540" t="s">
        <v>1444</v>
      </c>
      <c r="J540" t="s">
        <v>1450</v>
      </c>
      <c r="K540" t="s">
        <v>1456</v>
      </c>
      <c r="L540" t="s">
        <v>1467</v>
      </c>
      <c r="M540" t="s">
        <v>1477</v>
      </c>
      <c r="N540" s="18">
        <v>2</v>
      </c>
    </row>
    <row r="541" spans="1:14" x14ac:dyDescent="0.25">
      <c r="A541" t="s">
        <v>400</v>
      </c>
      <c r="B541" s="7">
        <v>43578</v>
      </c>
      <c r="C541" s="4">
        <v>0.69097222222222221</v>
      </c>
      <c r="D541" s="15">
        <f t="shared" si="16"/>
        <v>16</v>
      </c>
      <c r="E541" s="15" t="str">
        <f t="shared" si="17"/>
        <v>After 15</v>
      </c>
      <c r="F541" t="s">
        <v>401</v>
      </c>
      <c r="G541" s="16" t="str">
        <f>VLOOKUP(F541,DISTRICTS!B$2:C$626,2,FALSE)</f>
        <v>CENTRO</v>
      </c>
      <c r="H541" s="16" t="str">
        <f>IFERROR(VLOOKUP(G541,'areas for question 4'!A$2:B$10,2,FALSE),"")</f>
        <v/>
      </c>
      <c r="I541" t="s">
        <v>1444</v>
      </c>
      <c r="J541" t="s">
        <v>1450</v>
      </c>
      <c r="K541" t="s">
        <v>1456</v>
      </c>
      <c r="L541" t="s">
        <v>1467</v>
      </c>
      <c r="M541" t="s">
        <v>1477</v>
      </c>
      <c r="N541" s="18">
        <v>7</v>
      </c>
    </row>
    <row r="542" spans="1:14" x14ac:dyDescent="0.25">
      <c r="A542" t="s">
        <v>428</v>
      </c>
      <c r="B542" s="7">
        <v>43591</v>
      </c>
      <c r="C542" s="4">
        <v>0.77222222222222225</v>
      </c>
      <c r="D542" s="15">
        <f t="shared" si="16"/>
        <v>18</v>
      </c>
      <c r="E542" s="15" t="str">
        <f t="shared" si="17"/>
        <v>After 15</v>
      </c>
      <c r="F542" t="s">
        <v>158</v>
      </c>
      <c r="G542" s="16" t="str">
        <f>VLOOKUP(F542,DISTRICTS!B$2:C$626,2,FALSE)</f>
        <v>RETIRO</v>
      </c>
      <c r="H542" s="16" t="str">
        <f>IFERROR(VLOOKUP(G542,'areas for question 4'!A$2:B$10,2,FALSE),"")</f>
        <v/>
      </c>
      <c r="I542" t="s">
        <v>1447</v>
      </c>
      <c r="J542" t="s">
        <v>1450</v>
      </c>
      <c r="K542" t="s">
        <v>1456</v>
      </c>
      <c r="L542" t="s">
        <v>1467</v>
      </c>
      <c r="M542" t="s">
        <v>1477</v>
      </c>
      <c r="N542" s="18">
        <v>7</v>
      </c>
    </row>
    <row r="543" spans="1:14" x14ac:dyDescent="0.25">
      <c r="A543" t="s">
        <v>485</v>
      </c>
      <c r="B543" s="7">
        <v>43603</v>
      </c>
      <c r="C543" s="4">
        <v>0.7368055555555556</v>
      </c>
      <c r="D543" s="15">
        <f t="shared" si="16"/>
        <v>17</v>
      </c>
      <c r="E543" s="15" t="str">
        <f t="shared" si="17"/>
        <v>After 15</v>
      </c>
      <c r="F543" t="s">
        <v>486</v>
      </c>
      <c r="G543" s="16" t="str">
        <f>VLOOKUP(F543,DISTRICTS!B$2:C$626,2,FALSE)</f>
        <v>MONCLOA-ARAVACA</v>
      </c>
      <c r="H543" s="16" t="str">
        <f>IFERROR(VLOOKUP(G543,'areas for question 4'!A$2:B$10,2,FALSE),"")</f>
        <v/>
      </c>
      <c r="I543" t="s">
        <v>1443</v>
      </c>
      <c r="J543" t="s">
        <v>1450</v>
      </c>
      <c r="K543" t="s">
        <v>1458</v>
      </c>
      <c r="L543" t="s">
        <v>1467</v>
      </c>
      <c r="M543" t="s">
        <v>1478</v>
      </c>
      <c r="N543" s="18">
        <v>6</v>
      </c>
    </row>
    <row r="544" spans="1:14" x14ac:dyDescent="0.25">
      <c r="A544" t="s">
        <v>496</v>
      </c>
      <c r="B544" s="7">
        <v>43605</v>
      </c>
      <c r="C544" s="4">
        <v>0.37152777777777773</v>
      </c>
      <c r="D544" s="15">
        <f t="shared" si="16"/>
        <v>8</v>
      </c>
      <c r="E544" s="15" t="str">
        <f t="shared" si="17"/>
        <v>Before 15</v>
      </c>
      <c r="F544" t="s">
        <v>329</v>
      </c>
      <c r="G544" s="16" t="str">
        <f>VLOOKUP(F544,DISTRICTS!B$2:C$626,2,FALSE)</f>
        <v>TETUÁN</v>
      </c>
      <c r="H544" s="16" t="str">
        <f>IFERROR(VLOOKUP(G544,'areas for question 4'!A$2:B$10,2,FALSE),"")</f>
        <v>North</v>
      </c>
      <c r="I544" t="s">
        <v>1444</v>
      </c>
      <c r="J544" t="s">
        <v>1450</v>
      </c>
      <c r="K544" t="s">
        <v>1456</v>
      </c>
      <c r="L544" t="s">
        <v>1467</v>
      </c>
      <c r="M544" t="s">
        <v>1478</v>
      </c>
      <c r="N544" s="18">
        <v>6</v>
      </c>
    </row>
    <row r="545" spans="1:14" x14ac:dyDescent="0.25">
      <c r="A545" t="s">
        <v>502</v>
      </c>
      <c r="B545" s="7">
        <v>43606</v>
      </c>
      <c r="C545" s="4">
        <v>0.78472222222222221</v>
      </c>
      <c r="D545" s="15">
        <f t="shared" si="16"/>
        <v>18</v>
      </c>
      <c r="E545" s="15" t="str">
        <f t="shared" si="17"/>
        <v>After 15</v>
      </c>
      <c r="F545" t="s">
        <v>503</v>
      </c>
      <c r="G545" s="16" t="str">
        <f>VLOOKUP(F545,DISTRICTS!B$2:C$626,2,FALSE)</f>
        <v>CIUDAD LINEAL</v>
      </c>
      <c r="H545" s="16" t="str">
        <f>IFERROR(VLOOKUP(G545,'areas for question 4'!A$2:B$10,2,FALSE),"")</f>
        <v>East</v>
      </c>
      <c r="I545" t="s">
        <v>1446</v>
      </c>
      <c r="J545" t="s">
        <v>1450</v>
      </c>
      <c r="K545" t="s">
        <v>1456</v>
      </c>
      <c r="L545" t="s">
        <v>1467</v>
      </c>
      <c r="M545" t="s">
        <v>1477</v>
      </c>
      <c r="N545" s="18">
        <v>7</v>
      </c>
    </row>
    <row r="546" spans="1:14" x14ac:dyDescent="0.25">
      <c r="A546" t="s">
        <v>508</v>
      </c>
      <c r="B546" s="7">
        <v>43607</v>
      </c>
      <c r="C546" s="4">
        <v>0.72222222222222221</v>
      </c>
      <c r="D546" s="15">
        <f t="shared" si="16"/>
        <v>17</v>
      </c>
      <c r="E546" s="15" t="str">
        <f t="shared" si="17"/>
        <v>After 15</v>
      </c>
      <c r="F546" t="s">
        <v>509</v>
      </c>
      <c r="G546" s="16" t="str">
        <f>VLOOKUP(F546,DISTRICTS!B$2:C$626,2,FALSE)</f>
        <v>CENTRO</v>
      </c>
      <c r="H546" s="16" t="str">
        <f>IFERROR(VLOOKUP(G546,'areas for question 4'!A$2:B$10,2,FALSE),"")</f>
        <v/>
      </c>
      <c r="I546" t="s">
        <v>1447</v>
      </c>
      <c r="J546" t="s">
        <v>1450</v>
      </c>
      <c r="K546" t="s">
        <v>1456</v>
      </c>
      <c r="L546" t="s">
        <v>1467</v>
      </c>
      <c r="M546" t="s">
        <v>1477</v>
      </c>
      <c r="N546" s="18">
        <v>7</v>
      </c>
    </row>
    <row r="547" spans="1:14" x14ac:dyDescent="0.25">
      <c r="A547" t="s">
        <v>537</v>
      </c>
      <c r="B547" s="7">
        <v>43613</v>
      </c>
      <c r="C547" s="4">
        <v>0.52083333333333337</v>
      </c>
      <c r="D547" s="15">
        <f t="shared" si="16"/>
        <v>12</v>
      </c>
      <c r="E547" s="15" t="str">
        <f t="shared" si="17"/>
        <v>Before 15</v>
      </c>
      <c r="F547" t="s">
        <v>538</v>
      </c>
      <c r="G547" s="16" t="str">
        <f>VLOOKUP(F547,DISTRICTS!B$2:C$626,2,FALSE)</f>
        <v>CENTRO</v>
      </c>
      <c r="H547" s="16" t="str">
        <f>IFERROR(VLOOKUP(G547,'areas for question 4'!A$2:B$10,2,FALSE),"")</f>
        <v/>
      </c>
      <c r="I547" t="s">
        <v>1443</v>
      </c>
      <c r="J547" t="s">
        <v>1450</v>
      </c>
      <c r="K547" t="s">
        <v>1456</v>
      </c>
      <c r="L547" t="s">
        <v>1467</v>
      </c>
      <c r="M547" t="s">
        <v>1478</v>
      </c>
      <c r="N547" s="18">
        <v>14</v>
      </c>
    </row>
    <row r="548" spans="1:14" x14ac:dyDescent="0.25">
      <c r="A548" t="s">
        <v>545</v>
      </c>
      <c r="B548" s="7">
        <v>43614</v>
      </c>
      <c r="C548" s="4">
        <v>0.40625</v>
      </c>
      <c r="D548" s="15">
        <f t="shared" si="16"/>
        <v>9</v>
      </c>
      <c r="E548" s="15" t="str">
        <f t="shared" si="17"/>
        <v>Before 15</v>
      </c>
      <c r="F548" t="s">
        <v>481</v>
      </c>
      <c r="G548" s="16" t="str">
        <f>VLOOKUP(F548,DISTRICTS!B$2:C$626,2,FALSE)</f>
        <v>ARGANZUELA</v>
      </c>
      <c r="H548" s="16" t="str">
        <f>IFERROR(VLOOKUP(G548,'areas for question 4'!A$2:B$10,2,FALSE),"")</f>
        <v/>
      </c>
      <c r="I548" t="s">
        <v>1441</v>
      </c>
      <c r="J548" t="s">
        <v>1450</v>
      </c>
      <c r="K548" t="s">
        <v>1456</v>
      </c>
      <c r="L548" t="s">
        <v>1467</v>
      </c>
      <c r="M548" t="s">
        <v>1477</v>
      </c>
      <c r="N548" s="18">
        <v>3</v>
      </c>
    </row>
    <row r="549" spans="1:14" x14ac:dyDescent="0.25">
      <c r="A549" t="s">
        <v>546</v>
      </c>
      <c r="B549" s="7">
        <v>43614</v>
      </c>
      <c r="C549" s="4">
        <v>1.5277777777777777E-2</v>
      </c>
      <c r="D549" s="15">
        <f t="shared" si="16"/>
        <v>0</v>
      </c>
      <c r="E549" s="15" t="str">
        <f t="shared" si="17"/>
        <v>Before 15</v>
      </c>
      <c r="F549" t="s">
        <v>547</v>
      </c>
      <c r="G549" s="16" t="str">
        <f>VLOOKUP(F549,DISTRICTS!B$2:C$626,2,FALSE)</f>
        <v>SALAMANCA</v>
      </c>
      <c r="H549" s="16" t="str">
        <f>IFERROR(VLOOKUP(G549,'areas for question 4'!A$2:B$10,2,FALSE),"")</f>
        <v/>
      </c>
      <c r="I549" t="s">
        <v>1444</v>
      </c>
      <c r="J549" t="s">
        <v>1450</v>
      </c>
      <c r="K549" t="s">
        <v>1456</v>
      </c>
      <c r="L549" t="s">
        <v>1467</v>
      </c>
      <c r="M549" t="s">
        <v>1477</v>
      </c>
      <c r="N549" s="18">
        <v>7</v>
      </c>
    </row>
    <row r="550" spans="1:14" x14ac:dyDescent="0.25">
      <c r="A550" t="s">
        <v>583</v>
      </c>
      <c r="B550" s="7">
        <v>43621</v>
      </c>
      <c r="C550" s="4">
        <v>0.3263888888888889</v>
      </c>
      <c r="D550" s="15">
        <f t="shared" si="16"/>
        <v>7</v>
      </c>
      <c r="E550" s="15" t="str">
        <f t="shared" si="17"/>
        <v>Before 15</v>
      </c>
      <c r="F550" t="s">
        <v>584</v>
      </c>
      <c r="G550" s="16" t="str">
        <f>VLOOKUP(F550,DISTRICTS!B$2:C$626,2,FALSE)</f>
        <v>CARABANCHEL</v>
      </c>
      <c r="H550" s="16" t="str">
        <f>IFERROR(VLOOKUP(G550,'areas for question 4'!A$2:B$10,2,FALSE),"")</f>
        <v/>
      </c>
      <c r="I550" t="s">
        <v>1443</v>
      </c>
      <c r="J550" t="s">
        <v>1450</v>
      </c>
      <c r="K550" t="s">
        <v>1458</v>
      </c>
      <c r="L550" t="s">
        <v>1467</v>
      </c>
      <c r="M550" t="s">
        <v>1478</v>
      </c>
      <c r="N550" s="18">
        <v>7</v>
      </c>
    </row>
    <row r="551" spans="1:14" x14ac:dyDescent="0.25">
      <c r="A551" t="s">
        <v>611</v>
      </c>
      <c r="B551" s="7">
        <v>43627</v>
      </c>
      <c r="C551" s="4">
        <v>0.62986111111111109</v>
      </c>
      <c r="D551" s="15">
        <f t="shared" si="16"/>
        <v>15</v>
      </c>
      <c r="E551" s="15" t="str">
        <f t="shared" si="17"/>
        <v>After 15</v>
      </c>
      <c r="F551" t="s">
        <v>612</v>
      </c>
      <c r="G551" s="16" t="str">
        <f>VLOOKUP(F551,DISTRICTS!B$2:C$626,2,FALSE)</f>
        <v>CIUDAD LINEAL</v>
      </c>
      <c r="H551" s="16" t="str">
        <f>IFERROR(VLOOKUP(G551,'areas for question 4'!A$2:B$10,2,FALSE),"")</f>
        <v>East</v>
      </c>
      <c r="I551" t="s">
        <v>1446</v>
      </c>
      <c r="J551" t="s">
        <v>1450</v>
      </c>
      <c r="K551" t="s">
        <v>1456</v>
      </c>
      <c r="L551" t="s">
        <v>1467</v>
      </c>
      <c r="M551" t="s">
        <v>1478</v>
      </c>
      <c r="N551" s="18">
        <v>7</v>
      </c>
    </row>
    <row r="552" spans="1:14" x14ac:dyDescent="0.25">
      <c r="A552" t="s">
        <v>655</v>
      </c>
      <c r="B552" s="7">
        <v>43635</v>
      </c>
      <c r="C552" s="4">
        <v>0.60069444444444442</v>
      </c>
      <c r="D552" s="15">
        <f t="shared" si="16"/>
        <v>14</v>
      </c>
      <c r="E552" s="15" t="str">
        <f t="shared" si="17"/>
        <v>Before 15</v>
      </c>
      <c r="F552" t="s">
        <v>649</v>
      </c>
      <c r="G552" s="16" t="str">
        <f>VLOOKUP(F552,DISTRICTS!B$2:C$626,2,FALSE)</f>
        <v>FUENCARRAL-EL PARDO</v>
      </c>
      <c r="H552" s="16" t="str">
        <f>IFERROR(VLOOKUP(G552,'areas for question 4'!A$2:B$10,2,FALSE),"")</f>
        <v>North</v>
      </c>
      <c r="I552" t="s">
        <v>1441</v>
      </c>
      <c r="J552" t="s">
        <v>1450</v>
      </c>
      <c r="K552" t="s">
        <v>1456</v>
      </c>
      <c r="L552" t="s">
        <v>1467</v>
      </c>
      <c r="M552" t="s">
        <v>1477</v>
      </c>
      <c r="N552" s="18">
        <v>7</v>
      </c>
    </row>
    <row r="553" spans="1:14" x14ac:dyDescent="0.25">
      <c r="A553" t="s">
        <v>664</v>
      </c>
      <c r="B553" s="7">
        <v>43637</v>
      </c>
      <c r="C553" s="4">
        <v>0.54513888888888895</v>
      </c>
      <c r="D553" s="15">
        <f t="shared" si="16"/>
        <v>13</v>
      </c>
      <c r="E553" s="15" t="str">
        <f t="shared" si="17"/>
        <v>Before 15</v>
      </c>
      <c r="F553" t="s">
        <v>665</v>
      </c>
      <c r="G553" s="16" t="str">
        <f>VLOOKUP(F553,DISTRICTS!B$2:C$626,2,FALSE)</f>
        <v>ARGANZUELA</v>
      </c>
      <c r="H553" s="16" t="str">
        <f>IFERROR(VLOOKUP(G553,'areas for question 4'!A$2:B$10,2,FALSE),"")</f>
        <v/>
      </c>
      <c r="I553" t="s">
        <v>1444</v>
      </c>
      <c r="J553" t="s">
        <v>1450</v>
      </c>
      <c r="K553" t="s">
        <v>1456</v>
      </c>
      <c r="L553" t="s">
        <v>1467</v>
      </c>
      <c r="M553" t="s">
        <v>1477</v>
      </c>
      <c r="N553" s="18">
        <v>1</v>
      </c>
    </row>
    <row r="554" spans="1:14" x14ac:dyDescent="0.25">
      <c r="A554" t="s">
        <v>667</v>
      </c>
      <c r="B554" s="7">
        <v>43638</v>
      </c>
      <c r="C554" s="4">
        <v>0.82638888888888884</v>
      </c>
      <c r="D554" s="15">
        <f t="shared" si="16"/>
        <v>19</v>
      </c>
      <c r="E554" s="15" t="str">
        <f t="shared" si="17"/>
        <v>After 15</v>
      </c>
      <c r="F554" t="s">
        <v>67</v>
      </c>
      <c r="G554" s="16" t="str">
        <f>VLOOKUP(F554,DISTRICTS!B$2:C$626,2,FALSE)</f>
        <v>CHAMARTÍN</v>
      </c>
      <c r="H554" s="16" t="str">
        <f>IFERROR(VLOOKUP(G554,'areas for question 4'!A$2:B$10,2,FALSE),"")</f>
        <v>North</v>
      </c>
      <c r="I554" t="s">
        <v>1444</v>
      </c>
      <c r="J554" t="s">
        <v>1450</v>
      </c>
      <c r="K554" t="s">
        <v>1456</v>
      </c>
      <c r="L554" t="s">
        <v>1467</v>
      </c>
      <c r="M554" t="s">
        <v>1478</v>
      </c>
      <c r="N554" s="18">
        <v>7</v>
      </c>
    </row>
    <row r="555" spans="1:14" x14ac:dyDescent="0.25">
      <c r="A555" t="s">
        <v>693</v>
      </c>
      <c r="B555" s="7">
        <v>43644</v>
      </c>
      <c r="C555" s="4">
        <v>0.875</v>
      </c>
      <c r="D555" s="15">
        <f t="shared" si="16"/>
        <v>21</v>
      </c>
      <c r="E555" s="15" t="str">
        <f t="shared" si="17"/>
        <v>After 15</v>
      </c>
      <c r="F555" t="s">
        <v>258</v>
      </c>
      <c r="G555" s="16" t="str">
        <f>VLOOKUP(F555,DISTRICTS!B$2:C$626,2,FALSE)</f>
        <v>TETUÁN</v>
      </c>
      <c r="H555" s="16" t="str">
        <f>IFERROR(VLOOKUP(G555,'areas for question 4'!A$2:B$10,2,FALSE),"")</f>
        <v>North</v>
      </c>
      <c r="I555" t="s">
        <v>1441</v>
      </c>
      <c r="J555" t="s">
        <v>1450</v>
      </c>
      <c r="K555" t="s">
        <v>1456</v>
      </c>
      <c r="L555" t="s">
        <v>1467</v>
      </c>
      <c r="M555" t="s">
        <v>1477</v>
      </c>
      <c r="N555" s="18">
        <v>2</v>
      </c>
    </row>
    <row r="556" spans="1:14" x14ac:dyDescent="0.25">
      <c r="A556" t="s">
        <v>709</v>
      </c>
      <c r="B556" s="7">
        <v>43647</v>
      </c>
      <c r="C556" s="4">
        <v>0.70694444444444438</v>
      </c>
      <c r="D556" s="15">
        <f t="shared" si="16"/>
        <v>16</v>
      </c>
      <c r="E556" s="15" t="str">
        <f t="shared" si="17"/>
        <v>After 15</v>
      </c>
      <c r="F556" t="s">
        <v>710</v>
      </c>
      <c r="G556" s="16" t="str">
        <f>VLOOKUP(F556,DISTRICTS!B$2:C$626,2,FALSE)</f>
        <v>SALAMANCA</v>
      </c>
      <c r="H556" s="16" t="str">
        <f>IFERROR(VLOOKUP(G556,'areas for question 4'!A$2:B$10,2,FALSE),"")</f>
        <v/>
      </c>
      <c r="I556" t="s">
        <v>1447</v>
      </c>
      <c r="J556" t="s">
        <v>1450</v>
      </c>
      <c r="K556" t="s">
        <v>1456</v>
      </c>
      <c r="L556" t="s">
        <v>1467</v>
      </c>
      <c r="M556" t="s">
        <v>1477</v>
      </c>
      <c r="N556" s="18">
        <v>14</v>
      </c>
    </row>
    <row r="557" spans="1:14" x14ac:dyDescent="0.25">
      <c r="A557" t="s">
        <v>711</v>
      </c>
      <c r="B557" s="7">
        <v>43647</v>
      </c>
      <c r="C557" s="4">
        <v>0.63194444444444442</v>
      </c>
      <c r="D557" s="15">
        <f t="shared" si="16"/>
        <v>15</v>
      </c>
      <c r="E557" s="15" t="str">
        <f t="shared" si="17"/>
        <v>After 15</v>
      </c>
      <c r="F557" t="s">
        <v>712</v>
      </c>
      <c r="G557" s="16" t="str">
        <f>VLOOKUP(F557,DISTRICTS!B$2:C$626,2,FALSE)</f>
        <v>FUENCARRAL-EL PARDO</v>
      </c>
      <c r="H557" s="16" t="str">
        <f>IFERROR(VLOOKUP(G557,'areas for question 4'!A$2:B$10,2,FALSE),"")</f>
        <v>North</v>
      </c>
      <c r="I557" t="s">
        <v>1444</v>
      </c>
      <c r="J557" t="s">
        <v>1450</v>
      </c>
      <c r="K557" t="s">
        <v>1456</v>
      </c>
      <c r="L557" t="s">
        <v>1467</v>
      </c>
      <c r="M557" t="s">
        <v>1477</v>
      </c>
      <c r="N557" s="18">
        <v>6</v>
      </c>
    </row>
    <row r="558" spans="1:14" x14ac:dyDescent="0.25">
      <c r="A558" t="s">
        <v>715</v>
      </c>
      <c r="B558" s="7">
        <v>43647</v>
      </c>
      <c r="C558" s="4">
        <v>0.57291666666666663</v>
      </c>
      <c r="D558" s="15">
        <f t="shared" si="16"/>
        <v>13</v>
      </c>
      <c r="E558" s="15" t="str">
        <f t="shared" si="17"/>
        <v>Before 15</v>
      </c>
      <c r="F558" t="s">
        <v>716</v>
      </c>
      <c r="G558" s="16" t="str">
        <f>VLOOKUP(F558,DISTRICTS!B$2:C$626,2,FALSE)</f>
        <v>FUENCARRAL-EL PARDO</v>
      </c>
      <c r="H558" s="16" t="str">
        <f>IFERROR(VLOOKUP(G558,'areas for question 4'!A$2:B$10,2,FALSE),"")</f>
        <v>North</v>
      </c>
      <c r="I558" t="s">
        <v>1441</v>
      </c>
      <c r="J558" t="s">
        <v>1450</v>
      </c>
      <c r="K558" t="s">
        <v>1456</v>
      </c>
      <c r="L558" t="s">
        <v>1467</v>
      </c>
      <c r="M558" t="s">
        <v>1477</v>
      </c>
      <c r="N558" s="18">
        <v>7</v>
      </c>
    </row>
    <row r="559" spans="1:14" x14ac:dyDescent="0.25">
      <c r="A559" t="s">
        <v>733</v>
      </c>
      <c r="B559" s="7">
        <v>43650</v>
      </c>
      <c r="C559" s="4">
        <v>0.81944444444444453</v>
      </c>
      <c r="D559" s="15">
        <f t="shared" si="16"/>
        <v>19</v>
      </c>
      <c r="E559" s="15" t="str">
        <f t="shared" si="17"/>
        <v>After 15</v>
      </c>
      <c r="F559" t="s">
        <v>476</v>
      </c>
      <c r="G559" s="16" t="str">
        <f>VLOOKUP(F559,DISTRICTS!B$2:C$626,2,FALSE)</f>
        <v>CENTRO</v>
      </c>
      <c r="H559" s="16" t="str">
        <f>IFERROR(VLOOKUP(G559,'areas for question 4'!A$2:B$10,2,FALSE),"")</f>
        <v/>
      </c>
      <c r="I559" t="s">
        <v>1444</v>
      </c>
      <c r="J559" t="s">
        <v>1450</v>
      </c>
      <c r="K559" t="s">
        <v>1456</v>
      </c>
      <c r="L559" t="s">
        <v>1467</v>
      </c>
      <c r="M559" t="s">
        <v>1477</v>
      </c>
      <c r="N559" s="18">
        <v>7</v>
      </c>
    </row>
    <row r="560" spans="1:14" x14ac:dyDescent="0.25">
      <c r="A560" t="s">
        <v>751</v>
      </c>
      <c r="B560" s="7">
        <v>43653</v>
      </c>
      <c r="C560" s="4">
        <v>0.82291666666666663</v>
      </c>
      <c r="D560" s="15">
        <f t="shared" si="16"/>
        <v>19</v>
      </c>
      <c r="E560" s="15" t="str">
        <f t="shared" si="17"/>
        <v>After 15</v>
      </c>
      <c r="F560" t="s">
        <v>752</v>
      </c>
      <c r="G560" s="16" t="str">
        <f>VLOOKUP(F560,DISTRICTS!B$2:C$626,2,FALSE)</f>
        <v>CHAMBERÍ</v>
      </c>
      <c r="H560" s="16" t="str">
        <f>IFERROR(VLOOKUP(G560,'areas for question 4'!A$2:B$10,2,FALSE),"")</f>
        <v>North</v>
      </c>
      <c r="I560" t="s">
        <v>1444</v>
      </c>
      <c r="J560" t="s">
        <v>1450</v>
      </c>
      <c r="K560" t="s">
        <v>1456</v>
      </c>
      <c r="L560" t="s">
        <v>1467</v>
      </c>
      <c r="M560" t="s">
        <v>1477</v>
      </c>
      <c r="N560" s="18">
        <v>7</v>
      </c>
    </row>
    <row r="561" spans="1:14" x14ac:dyDescent="0.25">
      <c r="A561" t="s">
        <v>755</v>
      </c>
      <c r="B561" s="7">
        <v>43654</v>
      </c>
      <c r="C561" s="4">
        <v>0.6875</v>
      </c>
      <c r="D561" s="15">
        <f t="shared" si="16"/>
        <v>16</v>
      </c>
      <c r="E561" s="15" t="str">
        <f t="shared" si="17"/>
        <v>After 15</v>
      </c>
      <c r="F561" t="s">
        <v>372</v>
      </c>
      <c r="G561" s="16" t="str">
        <f>VLOOKUP(F561,DISTRICTS!B$2:C$626,2,FALSE)</f>
        <v>RETIRO</v>
      </c>
      <c r="H561" s="16" t="str">
        <f>IFERROR(VLOOKUP(G561,'areas for question 4'!A$2:B$10,2,FALSE),"")</f>
        <v/>
      </c>
      <c r="I561" t="s">
        <v>1444</v>
      </c>
      <c r="J561" t="s">
        <v>1450</v>
      </c>
      <c r="K561" t="s">
        <v>1456</v>
      </c>
      <c r="L561" t="s">
        <v>1467</v>
      </c>
      <c r="M561" t="s">
        <v>1478</v>
      </c>
      <c r="N561" s="18">
        <v>2</v>
      </c>
    </row>
    <row r="562" spans="1:14" x14ac:dyDescent="0.25">
      <c r="A562" t="s">
        <v>756</v>
      </c>
      <c r="B562" s="7">
        <v>43654</v>
      </c>
      <c r="C562" s="4">
        <v>0.58472222222222225</v>
      </c>
      <c r="D562" s="15">
        <f t="shared" si="16"/>
        <v>14</v>
      </c>
      <c r="E562" s="15" t="str">
        <f t="shared" si="17"/>
        <v>Before 15</v>
      </c>
      <c r="F562" t="s">
        <v>757</v>
      </c>
      <c r="G562" s="16" t="str">
        <f>VLOOKUP(F562,DISTRICTS!B$2:C$626,2,FALSE)</f>
        <v>ARGANZUELA</v>
      </c>
      <c r="H562" s="16" t="str">
        <f>IFERROR(VLOOKUP(G562,'areas for question 4'!A$2:B$10,2,FALSE),"")</f>
        <v/>
      </c>
      <c r="I562" t="s">
        <v>1446</v>
      </c>
      <c r="J562" t="s">
        <v>1450</v>
      </c>
      <c r="K562" t="s">
        <v>1456</v>
      </c>
      <c r="L562" t="s">
        <v>1467</v>
      </c>
      <c r="M562" t="s">
        <v>1477</v>
      </c>
      <c r="N562" s="18" t="s">
        <v>34</v>
      </c>
    </row>
    <row r="563" spans="1:14" x14ac:dyDescent="0.25">
      <c r="A563" t="s">
        <v>809</v>
      </c>
      <c r="B563" s="7">
        <v>43667</v>
      </c>
      <c r="C563" s="4">
        <v>0.87013888888888891</v>
      </c>
      <c r="D563" s="15">
        <f t="shared" si="16"/>
        <v>20</v>
      </c>
      <c r="E563" s="15" t="str">
        <f t="shared" si="17"/>
        <v>After 15</v>
      </c>
      <c r="F563" t="s">
        <v>810</v>
      </c>
      <c r="G563" s="16" t="str">
        <f>VLOOKUP(F563,DISTRICTS!B$2:C$626,2,FALSE)</f>
        <v>CENTRO</v>
      </c>
      <c r="H563" s="16" t="str">
        <f>IFERROR(VLOOKUP(G563,'areas for question 4'!A$2:B$10,2,FALSE),"")</f>
        <v/>
      </c>
      <c r="I563" t="s">
        <v>1443</v>
      </c>
      <c r="J563" t="s">
        <v>1453</v>
      </c>
      <c r="K563" t="s">
        <v>1456</v>
      </c>
      <c r="L563" t="s">
        <v>1467</v>
      </c>
      <c r="M563" t="s">
        <v>1477</v>
      </c>
      <c r="N563" s="18">
        <v>14</v>
      </c>
    </row>
    <row r="564" spans="1:14" x14ac:dyDescent="0.25">
      <c r="A564" t="s">
        <v>811</v>
      </c>
      <c r="B564" s="7">
        <v>43667</v>
      </c>
      <c r="C564" s="4">
        <v>0.50694444444444442</v>
      </c>
      <c r="D564" s="15">
        <f t="shared" si="16"/>
        <v>12</v>
      </c>
      <c r="E564" s="15" t="str">
        <f t="shared" si="17"/>
        <v>Before 15</v>
      </c>
      <c r="F564" t="s">
        <v>812</v>
      </c>
      <c r="G564" s="16" t="str">
        <f>VLOOKUP(F564,DISTRICTS!B$2:C$626,2,FALSE)</f>
        <v>VILLA DE VALLECAS</v>
      </c>
      <c r="H564" s="16" t="str">
        <f>IFERROR(VLOOKUP(G564,'areas for question 4'!A$2:B$10,2,FALSE),"")</f>
        <v/>
      </c>
      <c r="I564" t="s">
        <v>1444</v>
      </c>
      <c r="J564" t="s">
        <v>1450</v>
      </c>
      <c r="K564" t="s">
        <v>1456</v>
      </c>
      <c r="L564" t="s">
        <v>1467</v>
      </c>
      <c r="M564" t="s">
        <v>1478</v>
      </c>
      <c r="N564" s="18">
        <v>7</v>
      </c>
    </row>
    <row r="565" spans="1:14" x14ac:dyDescent="0.25">
      <c r="A565" t="s">
        <v>834</v>
      </c>
      <c r="B565" s="7">
        <v>43673</v>
      </c>
      <c r="C565" s="4">
        <v>0.72986111111111107</v>
      </c>
      <c r="D565" s="15">
        <f t="shared" si="16"/>
        <v>17</v>
      </c>
      <c r="E565" s="15" t="str">
        <f t="shared" si="17"/>
        <v>After 15</v>
      </c>
      <c r="F565" t="s">
        <v>597</v>
      </c>
      <c r="G565" s="16" t="str">
        <f>VLOOKUP(F565,DISTRICTS!B$2:C$626,2,FALSE)</f>
        <v>RETIRO</v>
      </c>
      <c r="H565" s="16" t="str">
        <f>IFERROR(VLOOKUP(G565,'areas for question 4'!A$2:B$10,2,FALSE),"")</f>
        <v/>
      </c>
      <c r="I565" t="s">
        <v>1444</v>
      </c>
      <c r="J565" t="s">
        <v>1450</v>
      </c>
      <c r="K565" t="s">
        <v>1456</v>
      </c>
      <c r="L565" t="s">
        <v>1467</v>
      </c>
      <c r="M565" t="s">
        <v>1477</v>
      </c>
      <c r="N565" s="18">
        <v>1</v>
      </c>
    </row>
    <row r="566" spans="1:14" x14ac:dyDescent="0.25">
      <c r="A566" t="s">
        <v>876</v>
      </c>
      <c r="B566" s="7">
        <v>43685</v>
      </c>
      <c r="C566" s="4">
        <v>0.93402777777777779</v>
      </c>
      <c r="D566" s="15">
        <f t="shared" si="16"/>
        <v>22</v>
      </c>
      <c r="E566" s="15" t="str">
        <f t="shared" si="17"/>
        <v>After 15</v>
      </c>
      <c r="F566" t="s">
        <v>877</v>
      </c>
      <c r="G566" s="16" t="str">
        <f>VLOOKUP(F566,DISTRICTS!B$2:C$626,2,FALSE)</f>
        <v>MORATALAZ</v>
      </c>
      <c r="H566" s="16" t="str">
        <f>IFERROR(VLOOKUP(G566,'areas for question 4'!A$2:B$10,2,FALSE),"")</f>
        <v>East</v>
      </c>
      <c r="I566" t="s">
        <v>1446</v>
      </c>
      <c r="J566" t="s">
        <v>1450</v>
      </c>
      <c r="K566" t="s">
        <v>1456</v>
      </c>
      <c r="L566" t="s">
        <v>1467</v>
      </c>
      <c r="M566" t="s">
        <v>1477</v>
      </c>
      <c r="N566" s="18">
        <v>3</v>
      </c>
    </row>
    <row r="567" spans="1:14" x14ac:dyDescent="0.25">
      <c r="A567" t="s">
        <v>905</v>
      </c>
      <c r="B567" s="7">
        <v>43698</v>
      </c>
      <c r="C567" s="4">
        <v>0.55555555555555558</v>
      </c>
      <c r="D567" s="15">
        <f t="shared" si="16"/>
        <v>13</v>
      </c>
      <c r="E567" s="15" t="str">
        <f t="shared" si="17"/>
        <v>Before 15</v>
      </c>
      <c r="F567" t="s">
        <v>906</v>
      </c>
      <c r="G567" s="16" t="str">
        <f>VLOOKUP(F567,DISTRICTS!B$2:C$626,2,FALSE)</f>
        <v>USERA</v>
      </c>
      <c r="H567" s="16" t="str">
        <f>IFERROR(VLOOKUP(G567,'areas for question 4'!A$2:B$10,2,FALSE),"")</f>
        <v/>
      </c>
      <c r="I567" t="s">
        <v>1446</v>
      </c>
      <c r="J567" t="s">
        <v>1450</v>
      </c>
      <c r="K567" t="s">
        <v>1456</v>
      </c>
      <c r="L567" t="s">
        <v>1467</v>
      </c>
      <c r="M567" t="s">
        <v>1477</v>
      </c>
      <c r="N567" s="18" t="s">
        <v>34</v>
      </c>
    </row>
    <row r="568" spans="1:14" x14ac:dyDescent="0.25">
      <c r="A568" t="s">
        <v>943</v>
      </c>
      <c r="B568" s="7">
        <v>43709</v>
      </c>
      <c r="C568" s="4">
        <v>0.90277777777777779</v>
      </c>
      <c r="D568" s="15">
        <f t="shared" si="16"/>
        <v>21</v>
      </c>
      <c r="E568" s="15" t="str">
        <f t="shared" si="17"/>
        <v>After 15</v>
      </c>
      <c r="F568" t="s">
        <v>944</v>
      </c>
      <c r="G568" s="16" t="str">
        <f>VLOOKUP(F568,DISTRICTS!B$2:C$626,2,FALSE)</f>
        <v>PUENTE DE VALLECAS</v>
      </c>
      <c r="H568" s="16" t="str">
        <f>IFERROR(VLOOKUP(G568,'areas for question 4'!A$2:B$10,2,FALSE),"")</f>
        <v/>
      </c>
      <c r="I568" t="s">
        <v>1447</v>
      </c>
      <c r="J568" t="s">
        <v>1450</v>
      </c>
      <c r="K568" t="s">
        <v>1456</v>
      </c>
      <c r="L568" t="s">
        <v>1467</v>
      </c>
      <c r="M568" t="s">
        <v>1477</v>
      </c>
      <c r="N568" s="18">
        <v>1</v>
      </c>
    </row>
    <row r="569" spans="1:14" x14ac:dyDescent="0.25">
      <c r="A569" t="s">
        <v>976</v>
      </c>
      <c r="B569" s="7">
        <v>43715</v>
      </c>
      <c r="C569" s="4">
        <v>0.5</v>
      </c>
      <c r="D569" s="15">
        <f t="shared" si="16"/>
        <v>12</v>
      </c>
      <c r="E569" s="15" t="str">
        <f t="shared" si="17"/>
        <v>Before 15</v>
      </c>
      <c r="F569" t="s">
        <v>946</v>
      </c>
      <c r="G569" s="16" t="str">
        <f>VLOOKUP(F569,DISTRICTS!B$2:C$626,2,FALSE)</f>
        <v>ARGANZUELA</v>
      </c>
      <c r="H569" s="16" t="str">
        <f>IFERROR(VLOOKUP(G569,'areas for question 4'!A$2:B$10,2,FALSE),"")</f>
        <v/>
      </c>
      <c r="I569" t="s">
        <v>1446</v>
      </c>
      <c r="J569" t="s">
        <v>1450</v>
      </c>
      <c r="K569" t="s">
        <v>1456</v>
      </c>
      <c r="L569" t="s">
        <v>1467</v>
      </c>
      <c r="M569" t="s">
        <v>1477</v>
      </c>
      <c r="N569" s="18">
        <v>5</v>
      </c>
    </row>
    <row r="570" spans="1:14" x14ac:dyDescent="0.25">
      <c r="A570" t="s">
        <v>979</v>
      </c>
      <c r="B570" s="7">
        <v>43716</v>
      </c>
      <c r="C570" s="4">
        <v>0.49652777777777773</v>
      </c>
      <c r="D570" s="15">
        <f t="shared" si="16"/>
        <v>11</v>
      </c>
      <c r="E570" s="15" t="str">
        <f t="shared" si="17"/>
        <v>Before 15</v>
      </c>
      <c r="F570" t="s">
        <v>980</v>
      </c>
      <c r="G570" s="16" t="str">
        <f>VLOOKUP(F570,DISTRICTS!B$2:C$626,2,FALSE)</f>
        <v>CARABANCHEL</v>
      </c>
      <c r="H570" s="16" t="str">
        <f>IFERROR(VLOOKUP(G570,'areas for question 4'!A$2:B$10,2,FALSE),"")</f>
        <v/>
      </c>
      <c r="I570" t="s">
        <v>1443</v>
      </c>
      <c r="J570" t="s">
        <v>1450</v>
      </c>
      <c r="K570" t="s">
        <v>1456</v>
      </c>
      <c r="L570" t="s">
        <v>1467</v>
      </c>
      <c r="M570" t="s">
        <v>1477</v>
      </c>
      <c r="N570" s="18">
        <v>6</v>
      </c>
    </row>
    <row r="571" spans="1:14" x14ac:dyDescent="0.25">
      <c r="A571" t="s">
        <v>989</v>
      </c>
      <c r="B571" s="7">
        <v>43718</v>
      </c>
      <c r="C571" s="4">
        <v>0.65277777777777779</v>
      </c>
      <c r="D571" s="15">
        <f t="shared" si="16"/>
        <v>15</v>
      </c>
      <c r="E571" s="15" t="str">
        <f t="shared" si="17"/>
        <v>After 15</v>
      </c>
      <c r="F571" t="s">
        <v>142</v>
      </c>
      <c r="G571" s="16" t="str">
        <f>VLOOKUP(F571,DISTRICTS!B$2:C$626,2,FALSE)</f>
        <v>CHAMARTÍN</v>
      </c>
      <c r="H571" s="16" t="str">
        <f>IFERROR(VLOOKUP(G571,'areas for question 4'!A$2:B$10,2,FALSE),"")</f>
        <v>North</v>
      </c>
      <c r="I571" t="s">
        <v>1441</v>
      </c>
      <c r="J571" t="s">
        <v>1450</v>
      </c>
      <c r="K571" t="s">
        <v>1456</v>
      </c>
      <c r="L571" t="s">
        <v>1467</v>
      </c>
      <c r="M571" t="s">
        <v>1477</v>
      </c>
      <c r="N571" s="18">
        <v>7</v>
      </c>
    </row>
    <row r="572" spans="1:14" x14ac:dyDescent="0.25">
      <c r="A572" t="s">
        <v>1027</v>
      </c>
      <c r="B572" s="7">
        <v>43725</v>
      </c>
      <c r="C572" s="4">
        <v>0.4236111111111111</v>
      </c>
      <c r="D572" s="15">
        <f t="shared" si="16"/>
        <v>10</v>
      </c>
      <c r="E572" s="15" t="str">
        <f t="shared" si="17"/>
        <v>Before 15</v>
      </c>
      <c r="F572" t="s">
        <v>1028</v>
      </c>
      <c r="G572" s="16" t="str">
        <f>VLOOKUP(F572,DISTRICTS!B$2:C$626,2,FALSE)</f>
        <v>ARGANZUELA</v>
      </c>
      <c r="H572" s="16" t="str">
        <f>IFERROR(VLOOKUP(G572,'areas for question 4'!A$2:B$10,2,FALSE),"")</f>
        <v/>
      </c>
      <c r="I572" t="s">
        <v>1441</v>
      </c>
      <c r="J572" t="s">
        <v>1450</v>
      </c>
      <c r="K572" t="s">
        <v>1456</v>
      </c>
      <c r="L572" t="s">
        <v>1467</v>
      </c>
      <c r="M572" t="s">
        <v>1477</v>
      </c>
      <c r="N572" s="18" t="s">
        <v>34</v>
      </c>
    </row>
    <row r="573" spans="1:14" x14ac:dyDescent="0.25">
      <c r="A573" t="s">
        <v>1029</v>
      </c>
      <c r="B573" s="7">
        <v>43726</v>
      </c>
      <c r="C573" s="4">
        <v>0.81944444444444453</v>
      </c>
      <c r="D573" s="15">
        <f t="shared" si="16"/>
        <v>19</v>
      </c>
      <c r="E573" s="15" t="str">
        <f t="shared" si="17"/>
        <v>After 15</v>
      </c>
      <c r="F573" t="s">
        <v>1030</v>
      </c>
      <c r="G573" s="16" t="str">
        <f>VLOOKUP(F573,DISTRICTS!B$2:C$626,2,FALSE)</f>
        <v>HORTALEZA</v>
      </c>
      <c r="H573" s="16" t="str">
        <f>IFERROR(VLOOKUP(G573,'areas for question 4'!A$2:B$10,2,FALSE),"")</f>
        <v/>
      </c>
      <c r="I573" t="s">
        <v>1446</v>
      </c>
      <c r="J573" t="s">
        <v>1450</v>
      </c>
      <c r="K573" t="s">
        <v>1456</v>
      </c>
      <c r="L573" t="s">
        <v>1467</v>
      </c>
      <c r="M573" t="s">
        <v>1477</v>
      </c>
      <c r="N573" s="18" t="s">
        <v>34</v>
      </c>
    </row>
    <row r="574" spans="1:14" x14ac:dyDescent="0.25">
      <c r="A574" t="s">
        <v>1031</v>
      </c>
      <c r="B574" s="7">
        <v>43726</v>
      </c>
      <c r="C574" s="4">
        <v>0.74652777777777779</v>
      </c>
      <c r="D574" s="15">
        <f t="shared" si="16"/>
        <v>17</v>
      </c>
      <c r="E574" s="15" t="str">
        <f t="shared" si="17"/>
        <v>After 15</v>
      </c>
      <c r="F574" t="s">
        <v>808</v>
      </c>
      <c r="G574" s="16" t="str">
        <f>VLOOKUP(F574,DISTRICTS!B$2:C$626,2,FALSE)</f>
        <v>RETIRO</v>
      </c>
      <c r="H574" s="16" t="str">
        <f>IFERROR(VLOOKUP(G574,'areas for question 4'!A$2:B$10,2,FALSE),"")</f>
        <v/>
      </c>
      <c r="I574" t="s">
        <v>1447</v>
      </c>
      <c r="J574" t="s">
        <v>1450</v>
      </c>
      <c r="K574" t="s">
        <v>1456</v>
      </c>
      <c r="L574" t="s">
        <v>1467</v>
      </c>
      <c r="M574" t="s">
        <v>1478</v>
      </c>
      <c r="N574" s="18">
        <v>2</v>
      </c>
    </row>
    <row r="575" spans="1:14" x14ac:dyDescent="0.25">
      <c r="A575" t="s">
        <v>1069</v>
      </c>
      <c r="B575" s="7">
        <v>43734</v>
      </c>
      <c r="C575" s="4">
        <v>0.91319444444444453</v>
      </c>
      <c r="D575" s="15">
        <f t="shared" si="16"/>
        <v>21</v>
      </c>
      <c r="E575" s="15" t="str">
        <f t="shared" si="17"/>
        <v>After 15</v>
      </c>
      <c r="F575" t="s">
        <v>340</v>
      </c>
      <c r="G575" s="16" t="str">
        <f>VLOOKUP(F575,DISTRICTS!B$2:C$626,2,FALSE)</f>
        <v>ARGANZUELA</v>
      </c>
      <c r="H575" s="16" t="str">
        <f>IFERROR(VLOOKUP(G575,'areas for question 4'!A$2:B$10,2,FALSE),"")</f>
        <v/>
      </c>
      <c r="I575" t="s">
        <v>1441</v>
      </c>
      <c r="J575" t="s">
        <v>1450</v>
      </c>
      <c r="K575" t="s">
        <v>1456</v>
      </c>
      <c r="L575" t="s">
        <v>1467</v>
      </c>
      <c r="M575" t="s">
        <v>1477</v>
      </c>
      <c r="N575" s="18">
        <v>7</v>
      </c>
    </row>
    <row r="576" spans="1:14" x14ac:dyDescent="0.25">
      <c r="A576" t="s">
        <v>1126</v>
      </c>
      <c r="B576" s="7">
        <v>43740</v>
      </c>
      <c r="C576" s="4">
        <v>0.51388888888888895</v>
      </c>
      <c r="D576" s="15">
        <f t="shared" si="16"/>
        <v>12</v>
      </c>
      <c r="E576" s="15" t="str">
        <f t="shared" si="17"/>
        <v>Before 15</v>
      </c>
      <c r="F576" t="s">
        <v>1127</v>
      </c>
      <c r="G576" s="16" t="str">
        <f>VLOOKUP(F576,DISTRICTS!B$2:C$626,2,FALSE)</f>
        <v>CENTRO</v>
      </c>
      <c r="H576" s="16" t="str">
        <f>IFERROR(VLOOKUP(G576,'areas for question 4'!A$2:B$10,2,FALSE),"")</f>
        <v/>
      </c>
      <c r="I576" t="s">
        <v>1444</v>
      </c>
      <c r="J576" t="s">
        <v>1450</v>
      </c>
      <c r="K576" t="s">
        <v>1456</v>
      </c>
      <c r="L576" t="s">
        <v>1467</v>
      </c>
      <c r="M576" t="s">
        <v>1478</v>
      </c>
      <c r="N576" s="18">
        <v>2</v>
      </c>
    </row>
    <row r="577" spans="1:14" x14ac:dyDescent="0.25">
      <c r="A577" t="s">
        <v>1146</v>
      </c>
      <c r="B577" s="7">
        <v>43743</v>
      </c>
      <c r="C577" s="4">
        <v>0.86458333333333337</v>
      </c>
      <c r="D577" s="15">
        <f t="shared" si="16"/>
        <v>20</v>
      </c>
      <c r="E577" s="15" t="str">
        <f t="shared" si="17"/>
        <v>After 15</v>
      </c>
      <c r="F577" t="s">
        <v>1147</v>
      </c>
      <c r="G577" s="16" t="str">
        <f>VLOOKUP(F577,DISTRICTS!B$2:C$626,2,FALSE)</f>
        <v>USERA</v>
      </c>
      <c r="H577" s="16" t="str">
        <f>IFERROR(VLOOKUP(G577,'areas for question 4'!A$2:B$10,2,FALSE),"")</f>
        <v/>
      </c>
      <c r="I577" t="s">
        <v>1444</v>
      </c>
      <c r="J577" t="s">
        <v>1450</v>
      </c>
      <c r="K577" t="s">
        <v>1456</v>
      </c>
      <c r="L577" t="s">
        <v>1467</v>
      </c>
      <c r="M577" t="s">
        <v>1478</v>
      </c>
      <c r="N577" s="18">
        <v>2</v>
      </c>
    </row>
    <row r="578" spans="1:14" x14ac:dyDescent="0.25">
      <c r="A578" t="s">
        <v>1148</v>
      </c>
      <c r="B578" s="7">
        <v>43743</v>
      </c>
      <c r="C578" s="4">
        <v>0.77500000000000002</v>
      </c>
      <c r="D578" s="15">
        <f t="shared" si="16"/>
        <v>18</v>
      </c>
      <c r="E578" s="15" t="str">
        <f t="shared" si="17"/>
        <v>After 15</v>
      </c>
      <c r="F578" t="s">
        <v>964</v>
      </c>
      <c r="G578" s="16" t="str">
        <f>VLOOKUP(F578,DISTRICTS!B$2:C$626,2,FALSE)</f>
        <v>CHAMBERÍ</v>
      </c>
      <c r="H578" s="16" t="str">
        <f>IFERROR(VLOOKUP(G578,'areas for question 4'!A$2:B$10,2,FALSE),"")</f>
        <v>North</v>
      </c>
      <c r="I578" t="s">
        <v>1444</v>
      </c>
      <c r="J578" t="s">
        <v>1450</v>
      </c>
      <c r="K578" t="s">
        <v>1456</v>
      </c>
      <c r="L578" t="s">
        <v>1467</v>
      </c>
      <c r="M578" t="s">
        <v>1477</v>
      </c>
      <c r="N578" s="18">
        <v>7</v>
      </c>
    </row>
    <row r="579" spans="1:14" x14ac:dyDescent="0.25">
      <c r="A579" t="s">
        <v>1159</v>
      </c>
      <c r="B579" s="7">
        <v>43745</v>
      </c>
      <c r="C579" s="4">
        <v>0.72569444444444453</v>
      </c>
      <c r="D579" s="15">
        <f t="shared" ref="D579:D642" si="18">HOUR(C579)</f>
        <v>17</v>
      </c>
      <c r="E579" s="15" t="str">
        <f t="shared" ref="E579:E642" si="19">IF(D579&lt;15,"Before 15","After 15")</f>
        <v>After 15</v>
      </c>
      <c r="F579" t="s">
        <v>1160</v>
      </c>
      <c r="G579" s="16" t="str">
        <f>VLOOKUP(F579,DISTRICTS!B$2:C$626,2,FALSE)</f>
        <v>SALAMANCA</v>
      </c>
      <c r="H579" s="16" t="str">
        <f>IFERROR(VLOOKUP(G579,'areas for question 4'!A$2:B$10,2,FALSE),"")</f>
        <v/>
      </c>
      <c r="I579" t="s">
        <v>1444</v>
      </c>
      <c r="J579" t="s">
        <v>1450</v>
      </c>
      <c r="K579" t="s">
        <v>1456</v>
      </c>
      <c r="L579" t="s">
        <v>1467</v>
      </c>
      <c r="M579" t="s">
        <v>1477</v>
      </c>
      <c r="N579" s="18">
        <v>7</v>
      </c>
    </row>
    <row r="580" spans="1:14" x14ac:dyDescent="0.25">
      <c r="A580" t="s">
        <v>1189</v>
      </c>
      <c r="B580" s="7">
        <v>43753</v>
      </c>
      <c r="C580" s="4">
        <v>0.88888888888888884</v>
      </c>
      <c r="D580" s="15">
        <f t="shared" si="18"/>
        <v>21</v>
      </c>
      <c r="E580" s="15" t="str">
        <f t="shared" si="19"/>
        <v>After 15</v>
      </c>
      <c r="F580" t="s">
        <v>1190</v>
      </c>
      <c r="G580" s="16" t="str">
        <f>VLOOKUP(F580,DISTRICTS!B$2:C$626,2,FALSE)</f>
        <v>CHAMARTÍN</v>
      </c>
      <c r="H580" s="16" t="str">
        <f>IFERROR(VLOOKUP(G580,'areas for question 4'!A$2:B$10,2,FALSE),"")</f>
        <v>North</v>
      </c>
      <c r="I580" t="s">
        <v>1447</v>
      </c>
      <c r="J580" t="s">
        <v>1450</v>
      </c>
      <c r="K580" t="s">
        <v>1456</v>
      </c>
      <c r="L580" t="s">
        <v>1467</v>
      </c>
      <c r="M580" t="s">
        <v>1477</v>
      </c>
      <c r="N580" s="18">
        <v>7</v>
      </c>
    </row>
    <row r="581" spans="1:14" x14ac:dyDescent="0.25">
      <c r="A581" t="s">
        <v>1198</v>
      </c>
      <c r="B581" s="7">
        <v>43754</v>
      </c>
      <c r="C581" s="4">
        <v>0.92361111111111116</v>
      </c>
      <c r="D581" s="15">
        <f t="shared" si="18"/>
        <v>22</v>
      </c>
      <c r="E581" s="15" t="str">
        <f t="shared" si="19"/>
        <v>After 15</v>
      </c>
      <c r="F581" t="s">
        <v>1199</v>
      </c>
      <c r="G581" s="16" t="str">
        <f>VLOOKUP(F581,DISTRICTS!B$2:C$626,2,FALSE)</f>
        <v>CENTRO</v>
      </c>
      <c r="H581" s="16" t="str">
        <f>IFERROR(VLOOKUP(G581,'areas for question 4'!A$2:B$10,2,FALSE),"")</f>
        <v/>
      </c>
      <c r="I581" t="s">
        <v>1446</v>
      </c>
      <c r="J581" t="s">
        <v>1450</v>
      </c>
      <c r="K581" t="s">
        <v>1456</v>
      </c>
      <c r="L581" t="s">
        <v>1467</v>
      </c>
      <c r="M581" t="s">
        <v>1477</v>
      </c>
      <c r="N581" s="18">
        <v>3</v>
      </c>
    </row>
    <row r="582" spans="1:14" x14ac:dyDescent="0.25">
      <c r="A582" t="s">
        <v>1207</v>
      </c>
      <c r="B582" s="7">
        <v>43755</v>
      </c>
      <c r="C582" s="4">
        <v>0.63541666666666663</v>
      </c>
      <c r="D582" s="15">
        <f t="shared" si="18"/>
        <v>15</v>
      </c>
      <c r="E582" s="15" t="str">
        <f t="shared" si="19"/>
        <v>After 15</v>
      </c>
      <c r="F582" t="s">
        <v>278</v>
      </c>
      <c r="G582" s="16" t="str">
        <f>VLOOKUP(F582,DISTRICTS!B$2:C$626,2,FALSE)</f>
        <v>CENTRO</v>
      </c>
      <c r="H582" s="16" t="str">
        <f>IFERROR(VLOOKUP(G582,'areas for question 4'!A$2:B$10,2,FALSE),"")</f>
        <v/>
      </c>
      <c r="I582" t="s">
        <v>1447</v>
      </c>
      <c r="J582" t="s">
        <v>1454</v>
      </c>
      <c r="K582" t="s">
        <v>1456</v>
      </c>
      <c r="L582" t="s">
        <v>1467</v>
      </c>
      <c r="M582" t="s">
        <v>1477</v>
      </c>
      <c r="N582" s="18">
        <v>7</v>
      </c>
    </row>
    <row r="583" spans="1:14" x14ac:dyDescent="0.25">
      <c r="A583" t="s">
        <v>1247</v>
      </c>
      <c r="B583" s="7">
        <v>43767</v>
      </c>
      <c r="C583" s="4">
        <v>0.84027777777777779</v>
      </c>
      <c r="D583" s="15">
        <f t="shared" si="18"/>
        <v>20</v>
      </c>
      <c r="E583" s="15" t="str">
        <f t="shared" si="19"/>
        <v>After 15</v>
      </c>
      <c r="F583" t="s">
        <v>1248</v>
      </c>
      <c r="G583" s="16" t="str">
        <f>VLOOKUP(F583,DISTRICTS!B$2:C$626,2,FALSE)</f>
        <v>CIUDAD LINEAL</v>
      </c>
      <c r="H583" s="16" t="str">
        <f>IFERROR(VLOOKUP(G583,'areas for question 4'!A$2:B$10,2,FALSE),"")</f>
        <v>East</v>
      </c>
      <c r="I583" t="s">
        <v>1444</v>
      </c>
      <c r="J583" t="s">
        <v>1450</v>
      </c>
      <c r="K583" t="s">
        <v>1456</v>
      </c>
      <c r="L583" t="s">
        <v>1467</v>
      </c>
      <c r="M583" t="s">
        <v>1477</v>
      </c>
      <c r="N583" s="18">
        <v>7</v>
      </c>
    </row>
    <row r="584" spans="1:14" x14ac:dyDescent="0.25">
      <c r="A584" t="s">
        <v>1265</v>
      </c>
      <c r="B584" s="7">
        <v>43775</v>
      </c>
      <c r="C584" s="4">
        <v>0.99722222222222223</v>
      </c>
      <c r="D584" s="15">
        <f t="shared" si="18"/>
        <v>23</v>
      </c>
      <c r="E584" s="15" t="str">
        <f t="shared" si="19"/>
        <v>After 15</v>
      </c>
      <c r="F584" t="s">
        <v>1266</v>
      </c>
      <c r="G584" s="16" t="str">
        <f>VLOOKUP(F584,DISTRICTS!B$2:C$626,2,FALSE)</f>
        <v>SALAMANCA</v>
      </c>
      <c r="H584" s="16" t="str">
        <f>IFERROR(VLOOKUP(G584,'areas for question 4'!A$2:B$10,2,FALSE),"")</f>
        <v/>
      </c>
      <c r="I584" t="s">
        <v>1446</v>
      </c>
      <c r="J584" t="s">
        <v>1454</v>
      </c>
      <c r="K584" t="s">
        <v>1456</v>
      </c>
      <c r="L584" t="s">
        <v>1467</v>
      </c>
      <c r="M584" t="s">
        <v>1478</v>
      </c>
      <c r="N584" s="18" t="s">
        <v>34</v>
      </c>
    </row>
    <row r="585" spans="1:14" x14ac:dyDescent="0.25">
      <c r="A585" t="s">
        <v>1271</v>
      </c>
      <c r="B585" s="7">
        <v>43777</v>
      </c>
      <c r="C585" s="4">
        <v>0.98611111111111116</v>
      </c>
      <c r="D585" s="15">
        <f t="shared" si="18"/>
        <v>23</v>
      </c>
      <c r="E585" s="15" t="str">
        <f t="shared" si="19"/>
        <v>After 15</v>
      </c>
      <c r="F585" t="s">
        <v>178</v>
      </c>
      <c r="G585" s="16" t="str">
        <f>VLOOKUP(F585,DISTRICTS!B$2:C$626,2,FALSE)</f>
        <v>CENTRO</v>
      </c>
      <c r="H585" s="16" t="str">
        <f>IFERROR(VLOOKUP(G585,'areas for question 4'!A$2:B$10,2,FALSE),"")</f>
        <v/>
      </c>
      <c r="I585" t="s">
        <v>1447</v>
      </c>
      <c r="J585" t="s">
        <v>1450</v>
      </c>
      <c r="K585" t="s">
        <v>1456</v>
      </c>
      <c r="L585" t="s">
        <v>1467</v>
      </c>
      <c r="M585" t="s">
        <v>1477</v>
      </c>
      <c r="N585" s="18">
        <v>7</v>
      </c>
    </row>
    <row r="586" spans="1:14" x14ac:dyDescent="0.25">
      <c r="A586" t="s">
        <v>1272</v>
      </c>
      <c r="B586" s="7">
        <v>43777</v>
      </c>
      <c r="C586" s="4">
        <v>0.63888888888888895</v>
      </c>
      <c r="D586" s="15">
        <f t="shared" si="18"/>
        <v>15</v>
      </c>
      <c r="E586" s="15" t="str">
        <f t="shared" si="19"/>
        <v>After 15</v>
      </c>
      <c r="F586" t="s">
        <v>1273</v>
      </c>
      <c r="G586" s="16" t="str">
        <f>VLOOKUP(F586,DISTRICTS!B$2:C$626,2,FALSE)</f>
        <v>ARGANZUELA</v>
      </c>
      <c r="H586" s="16" t="str">
        <f>IFERROR(VLOOKUP(G586,'areas for question 4'!A$2:B$10,2,FALSE),"")</f>
        <v/>
      </c>
      <c r="I586" t="s">
        <v>1446</v>
      </c>
      <c r="J586" t="s">
        <v>1450</v>
      </c>
      <c r="K586" t="s">
        <v>1456</v>
      </c>
      <c r="L586" t="s">
        <v>1467</v>
      </c>
      <c r="M586" t="s">
        <v>1477</v>
      </c>
      <c r="N586" s="18">
        <v>2</v>
      </c>
    </row>
    <row r="587" spans="1:14" x14ac:dyDescent="0.25">
      <c r="A587" t="s">
        <v>1278</v>
      </c>
      <c r="B587" s="7">
        <v>43778</v>
      </c>
      <c r="C587" s="4">
        <v>0.57986111111111105</v>
      </c>
      <c r="D587" s="15">
        <f t="shared" si="18"/>
        <v>13</v>
      </c>
      <c r="E587" s="15" t="str">
        <f t="shared" si="19"/>
        <v>Before 15</v>
      </c>
      <c r="F587" t="s">
        <v>130</v>
      </c>
      <c r="G587" s="16" t="str">
        <f>VLOOKUP(F587,DISTRICTS!B$2:C$626,2,FALSE)</f>
        <v>FUENCARRAL-EL PARDO</v>
      </c>
      <c r="H587" s="16" t="str">
        <f>IFERROR(VLOOKUP(G587,'areas for question 4'!A$2:B$10,2,FALSE),"")</f>
        <v>North</v>
      </c>
      <c r="I587" t="s">
        <v>1443</v>
      </c>
      <c r="J587" t="s">
        <v>1450</v>
      </c>
      <c r="K587" t="s">
        <v>1456</v>
      </c>
      <c r="L587" t="s">
        <v>1467</v>
      </c>
      <c r="M587" t="s">
        <v>1477</v>
      </c>
      <c r="N587" s="18">
        <v>6</v>
      </c>
    </row>
    <row r="588" spans="1:14" x14ac:dyDescent="0.25">
      <c r="A588" t="s">
        <v>1281</v>
      </c>
      <c r="B588" s="7">
        <v>43780</v>
      </c>
      <c r="C588" s="4">
        <v>0.8666666666666667</v>
      </c>
      <c r="D588" s="15">
        <f t="shared" si="18"/>
        <v>20</v>
      </c>
      <c r="E588" s="15" t="str">
        <f t="shared" si="19"/>
        <v>After 15</v>
      </c>
      <c r="F588" t="s">
        <v>158</v>
      </c>
      <c r="G588" s="16" t="str">
        <f>VLOOKUP(F588,DISTRICTS!B$2:C$626,2,FALSE)</f>
        <v>RETIRO</v>
      </c>
      <c r="H588" s="16" t="str">
        <f>IFERROR(VLOOKUP(G588,'areas for question 4'!A$2:B$10,2,FALSE),"")</f>
        <v/>
      </c>
      <c r="I588" t="s">
        <v>1441</v>
      </c>
      <c r="J588" t="s">
        <v>1450</v>
      </c>
      <c r="K588" t="s">
        <v>1456</v>
      </c>
      <c r="L588" t="s">
        <v>1467</v>
      </c>
      <c r="M588" t="s">
        <v>1477</v>
      </c>
      <c r="N588" s="18">
        <v>7</v>
      </c>
    </row>
    <row r="589" spans="1:14" x14ac:dyDescent="0.25">
      <c r="A589" t="s">
        <v>1282</v>
      </c>
      <c r="B589" s="7">
        <v>43780</v>
      </c>
      <c r="C589" s="4">
        <v>0.75694444444444453</v>
      </c>
      <c r="D589" s="15">
        <f t="shared" si="18"/>
        <v>18</v>
      </c>
      <c r="E589" s="15" t="str">
        <f t="shared" si="19"/>
        <v>After 15</v>
      </c>
      <c r="F589" t="s">
        <v>1283</v>
      </c>
      <c r="G589" s="16" t="str">
        <f>VLOOKUP(F589,DISTRICTS!B$2:C$626,2,FALSE)</f>
        <v>SALAMANCA</v>
      </c>
      <c r="H589" s="16" t="str">
        <f>IFERROR(VLOOKUP(G589,'areas for question 4'!A$2:B$10,2,FALSE),"")</f>
        <v/>
      </c>
      <c r="I589" t="s">
        <v>1449</v>
      </c>
      <c r="J589" t="s">
        <v>1450</v>
      </c>
      <c r="K589" t="s">
        <v>1456</v>
      </c>
      <c r="L589" t="s">
        <v>1467</v>
      </c>
      <c r="M589" t="s">
        <v>1478</v>
      </c>
      <c r="N589" s="18" t="s">
        <v>34</v>
      </c>
    </row>
    <row r="590" spans="1:14" x14ac:dyDescent="0.25">
      <c r="A590" t="s">
        <v>1290</v>
      </c>
      <c r="B590" s="7">
        <v>43781</v>
      </c>
      <c r="C590" s="4">
        <v>0.31944444444444448</v>
      </c>
      <c r="D590" s="15">
        <f t="shared" si="18"/>
        <v>7</v>
      </c>
      <c r="E590" s="15" t="str">
        <f t="shared" si="19"/>
        <v>Before 15</v>
      </c>
      <c r="F590" t="s">
        <v>1291</v>
      </c>
      <c r="G590" s="16" t="str">
        <f>VLOOKUP(F590,DISTRICTS!B$2:C$626,2,FALSE)</f>
        <v>ARGANZUELA</v>
      </c>
      <c r="H590" s="16" t="str">
        <f>IFERROR(VLOOKUP(G590,'areas for question 4'!A$2:B$10,2,FALSE),"")</f>
        <v/>
      </c>
      <c r="I590" t="s">
        <v>1447</v>
      </c>
      <c r="J590" t="s">
        <v>1450</v>
      </c>
      <c r="K590" t="s">
        <v>1456</v>
      </c>
      <c r="L590" t="s">
        <v>1467</v>
      </c>
      <c r="M590" t="s">
        <v>1478</v>
      </c>
      <c r="N590" s="18">
        <v>3</v>
      </c>
    </row>
    <row r="591" spans="1:14" x14ac:dyDescent="0.25">
      <c r="A591" t="s">
        <v>1292</v>
      </c>
      <c r="B591" s="7">
        <v>43782</v>
      </c>
      <c r="C591" s="4">
        <v>0.84722222222222221</v>
      </c>
      <c r="D591" s="15">
        <f t="shared" si="18"/>
        <v>20</v>
      </c>
      <c r="E591" s="15" t="str">
        <f t="shared" si="19"/>
        <v>After 15</v>
      </c>
      <c r="F591" t="s">
        <v>1293</v>
      </c>
      <c r="G591" s="16" t="str">
        <f>VLOOKUP(F591,DISTRICTS!B$2:C$626,2,FALSE)</f>
        <v>ARGANZUELA</v>
      </c>
      <c r="H591" s="16" t="str">
        <f>IFERROR(VLOOKUP(G591,'areas for question 4'!A$2:B$10,2,FALSE),"")</f>
        <v/>
      </c>
      <c r="I591" t="s">
        <v>1441</v>
      </c>
      <c r="J591" t="s">
        <v>1450</v>
      </c>
      <c r="K591" t="s">
        <v>1456</v>
      </c>
      <c r="L591" t="s">
        <v>1467</v>
      </c>
      <c r="M591" t="s">
        <v>1478</v>
      </c>
      <c r="N591" s="18">
        <v>1</v>
      </c>
    </row>
    <row r="592" spans="1:14" x14ac:dyDescent="0.25">
      <c r="A592" t="s">
        <v>1323</v>
      </c>
      <c r="B592" s="7">
        <v>43790</v>
      </c>
      <c r="C592" s="4">
        <v>0.68055555555555547</v>
      </c>
      <c r="D592" s="15">
        <f t="shared" si="18"/>
        <v>16</v>
      </c>
      <c r="E592" s="15" t="str">
        <f t="shared" si="19"/>
        <v>After 15</v>
      </c>
      <c r="F592" t="s">
        <v>1324</v>
      </c>
      <c r="G592" s="16" t="str">
        <f>VLOOKUP(F592,DISTRICTS!B$2:C$626,2,FALSE)</f>
        <v>ARGANZUELA</v>
      </c>
      <c r="H592" s="16" t="str">
        <f>IFERROR(VLOOKUP(G592,'areas for question 4'!A$2:B$10,2,FALSE),"")</f>
        <v/>
      </c>
      <c r="I592" t="s">
        <v>1444</v>
      </c>
      <c r="J592" t="s">
        <v>1452</v>
      </c>
      <c r="K592" t="s">
        <v>1456</v>
      </c>
      <c r="L592" t="s">
        <v>1467</v>
      </c>
      <c r="M592" t="s">
        <v>1477</v>
      </c>
      <c r="N592" s="18">
        <v>1</v>
      </c>
    </row>
    <row r="593" spans="1:14" x14ac:dyDescent="0.25">
      <c r="A593" t="s">
        <v>1330</v>
      </c>
      <c r="B593" s="7">
        <v>43792</v>
      </c>
      <c r="C593" s="4">
        <v>0.94791666666666663</v>
      </c>
      <c r="D593" s="15">
        <f t="shared" si="18"/>
        <v>22</v>
      </c>
      <c r="E593" s="15" t="str">
        <f t="shared" si="19"/>
        <v>After 15</v>
      </c>
      <c r="F593" t="s">
        <v>1331</v>
      </c>
      <c r="G593" s="16" t="str">
        <f>VLOOKUP(F593,DISTRICTS!B$2:C$626,2,FALSE)</f>
        <v>VICÁLVARO</v>
      </c>
      <c r="H593" s="16" t="str">
        <f>IFERROR(VLOOKUP(G593,'areas for question 4'!A$2:B$10,2,FALSE),"")</f>
        <v>East</v>
      </c>
      <c r="I593" t="s">
        <v>1444</v>
      </c>
      <c r="J593" t="s">
        <v>1450</v>
      </c>
      <c r="K593" t="s">
        <v>1456</v>
      </c>
      <c r="L593" t="s">
        <v>1467</v>
      </c>
      <c r="M593" t="s">
        <v>1477</v>
      </c>
      <c r="N593" s="18">
        <v>2</v>
      </c>
    </row>
    <row r="594" spans="1:14" x14ac:dyDescent="0.25">
      <c r="A594" t="s">
        <v>1366</v>
      </c>
      <c r="B594" s="7">
        <v>43804</v>
      </c>
      <c r="C594" s="4">
        <v>0.85069444444444453</v>
      </c>
      <c r="D594" s="15">
        <f t="shared" si="18"/>
        <v>20</v>
      </c>
      <c r="E594" s="15" t="str">
        <f t="shared" si="19"/>
        <v>After 15</v>
      </c>
      <c r="F594" t="s">
        <v>1367</v>
      </c>
      <c r="G594" s="16" t="str">
        <f>VLOOKUP(F594,DISTRICTS!B$2:C$626,2,FALSE)</f>
        <v>BARAJAS</v>
      </c>
      <c r="H594" s="16" t="str">
        <f>IFERROR(VLOOKUP(G594,'areas for question 4'!A$2:B$10,2,FALSE),"")</f>
        <v>East</v>
      </c>
      <c r="I594" t="s">
        <v>1445</v>
      </c>
      <c r="J594" t="s">
        <v>1450</v>
      </c>
      <c r="K594" t="s">
        <v>1456</v>
      </c>
      <c r="L594" t="s">
        <v>1467</v>
      </c>
      <c r="M594" t="s">
        <v>1477</v>
      </c>
      <c r="N594" s="18">
        <v>2</v>
      </c>
    </row>
    <row r="595" spans="1:14" x14ac:dyDescent="0.25">
      <c r="A595" t="s">
        <v>1373</v>
      </c>
      <c r="B595" s="7">
        <v>43810</v>
      </c>
      <c r="C595" s="4">
        <v>0.82291666666666663</v>
      </c>
      <c r="D595" s="15">
        <f t="shared" si="18"/>
        <v>19</v>
      </c>
      <c r="E595" s="15" t="str">
        <f t="shared" si="19"/>
        <v>After 15</v>
      </c>
      <c r="F595" t="s">
        <v>1374</v>
      </c>
      <c r="G595" s="16" t="str">
        <f>VLOOKUP(F595,DISTRICTS!B$2:C$626,2,FALSE)</f>
        <v>SAN BLAS-CANILLEJAS</v>
      </c>
      <c r="H595" s="16" t="str">
        <f>IFERROR(VLOOKUP(G595,'areas for question 4'!A$2:B$10,2,FALSE),"")</f>
        <v>East</v>
      </c>
      <c r="I595" t="s">
        <v>1441</v>
      </c>
      <c r="J595" t="s">
        <v>1450</v>
      </c>
      <c r="K595" t="s">
        <v>1456</v>
      </c>
      <c r="L595" t="s">
        <v>1467</v>
      </c>
      <c r="M595" t="s">
        <v>1477</v>
      </c>
      <c r="N595" s="18">
        <v>7</v>
      </c>
    </row>
    <row r="596" spans="1:14" x14ac:dyDescent="0.25">
      <c r="A596" t="s">
        <v>1377</v>
      </c>
      <c r="B596" s="7">
        <v>43810</v>
      </c>
      <c r="C596" s="4">
        <v>0.61805555555555558</v>
      </c>
      <c r="D596" s="15">
        <f t="shared" si="18"/>
        <v>14</v>
      </c>
      <c r="E596" s="15" t="str">
        <f t="shared" si="19"/>
        <v>Before 15</v>
      </c>
      <c r="F596" t="s">
        <v>1378</v>
      </c>
      <c r="G596" s="16" t="str">
        <f>VLOOKUP(F596,DISTRICTS!B$2:C$626,2,FALSE)</f>
        <v>ARGANZUELA</v>
      </c>
      <c r="H596" s="16" t="str">
        <f>IFERROR(VLOOKUP(G596,'areas for question 4'!A$2:B$10,2,FALSE),"")</f>
        <v/>
      </c>
      <c r="I596" t="s">
        <v>1444</v>
      </c>
      <c r="J596" t="s">
        <v>1450</v>
      </c>
      <c r="K596" t="s">
        <v>1456</v>
      </c>
      <c r="L596" t="s">
        <v>1467</v>
      </c>
      <c r="M596" t="s">
        <v>1477</v>
      </c>
      <c r="N596" s="18">
        <v>1</v>
      </c>
    </row>
    <row r="597" spans="1:14" x14ac:dyDescent="0.25">
      <c r="A597" t="s">
        <v>1386</v>
      </c>
      <c r="B597" s="7">
        <v>43813</v>
      </c>
      <c r="C597" s="4">
        <v>0.53472222222222221</v>
      </c>
      <c r="D597" s="15">
        <f t="shared" si="18"/>
        <v>12</v>
      </c>
      <c r="E597" s="15" t="str">
        <f t="shared" si="19"/>
        <v>Before 15</v>
      </c>
      <c r="F597" t="s">
        <v>1387</v>
      </c>
      <c r="G597" s="16" t="str">
        <f>VLOOKUP(F597,DISTRICTS!B$2:C$626,2,FALSE)</f>
        <v>CHAMARTÍN</v>
      </c>
      <c r="H597" s="16" t="str">
        <f>IFERROR(VLOOKUP(G597,'areas for question 4'!A$2:B$10,2,FALSE),"")</f>
        <v>North</v>
      </c>
      <c r="I597" t="s">
        <v>1446</v>
      </c>
      <c r="J597" t="s">
        <v>1454</v>
      </c>
      <c r="K597" t="s">
        <v>1456</v>
      </c>
      <c r="L597" t="s">
        <v>1467</v>
      </c>
      <c r="M597" t="s">
        <v>1478</v>
      </c>
      <c r="N597" s="18">
        <v>3</v>
      </c>
    </row>
    <row r="598" spans="1:14" x14ac:dyDescent="0.25">
      <c r="A598" t="s">
        <v>1399</v>
      </c>
      <c r="B598" s="7">
        <v>43817</v>
      </c>
      <c r="C598" s="4">
        <v>0.59375</v>
      </c>
      <c r="D598" s="15">
        <f t="shared" si="18"/>
        <v>14</v>
      </c>
      <c r="E598" s="15" t="str">
        <f t="shared" si="19"/>
        <v>Before 15</v>
      </c>
      <c r="F598" t="s">
        <v>1400</v>
      </c>
      <c r="G598" s="16" t="str">
        <f>VLOOKUP(F598,DISTRICTS!B$2:C$626,2,FALSE)</f>
        <v>CHAMBERÍ</v>
      </c>
      <c r="H598" s="16" t="str">
        <f>IFERROR(VLOOKUP(G598,'areas for question 4'!A$2:B$10,2,FALSE),"")</f>
        <v>North</v>
      </c>
      <c r="I598" t="s">
        <v>1444</v>
      </c>
      <c r="J598" t="s">
        <v>1450</v>
      </c>
      <c r="K598" t="s">
        <v>1456</v>
      </c>
      <c r="L598" t="s">
        <v>1467</v>
      </c>
      <c r="M598" t="s">
        <v>1477</v>
      </c>
      <c r="N598" s="18">
        <v>7</v>
      </c>
    </row>
    <row r="599" spans="1:14" x14ac:dyDescent="0.25">
      <c r="A599" t="s">
        <v>1405</v>
      </c>
      <c r="B599" s="7">
        <v>43818</v>
      </c>
      <c r="C599" s="4">
        <v>0.40625</v>
      </c>
      <c r="D599" s="15">
        <f t="shared" si="18"/>
        <v>9</v>
      </c>
      <c r="E599" s="15" t="str">
        <f t="shared" si="19"/>
        <v>Before 15</v>
      </c>
      <c r="F599" t="s">
        <v>1406</v>
      </c>
      <c r="G599" s="16" t="str">
        <f>VLOOKUP(F599,DISTRICTS!B$2:C$626,2,FALSE)</f>
        <v>RETIRO</v>
      </c>
      <c r="H599" s="16" t="str">
        <f>IFERROR(VLOOKUP(G599,'areas for question 4'!A$2:B$10,2,FALSE),"")</f>
        <v/>
      </c>
      <c r="I599" t="s">
        <v>1444</v>
      </c>
      <c r="J599" t="s">
        <v>1450</v>
      </c>
      <c r="K599" t="s">
        <v>1456</v>
      </c>
      <c r="L599" t="s">
        <v>1467</v>
      </c>
      <c r="M599" t="s">
        <v>1477</v>
      </c>
      <c r="N599" s="18">
        <v>6</v>
      </c>
    </row>
    <row r="600" spans="1:14" x14ac:dyDescent="0.25">
      <c r="A600" s="5" t="s">
        <v>23</v>
      </c>
      <c r="B600" s="7">
        <v>43473</v>
      </c>
      <c r="C600" s="4">
        <v>0.87152777777777779</v>
      </c>
      <c r="D600" s="15">
        <f t="shared" si="18"/>
        <v>20</v>
      </c>
      <c r="E600" s="15" t="str">
        <f t="shared" si="19"/>
        <v>After 15</v>
      </c>
      <c r="F600" t="s">
        <v>24</v>
      </c>
      <c r="G600" s="16" t="str">
        <f>VLOOKUP(F600,DISTRICTS!B$2:C$626,2,FALSE)</f>
        <v>ARGANZUELA</v>
      </c>
      <c r="H600" s="16" t="str">
        <f>IFERROR(VLOOKUP(G600,'areas for question 4'!A$2:B$10,2,FALSE),"")</f>
        <v/>
      </c>
      <c r="I600" t="s">
        <v>1443</v>
      </c>
      <c r="J600" t="s">
        <v>1450</v>
      </c>
      <c r="K600" t="s">
        <v>1456</v>
      </c>
      <c r="L600" t="s">
        <v>1468</v>
      </c>
      <c r="M600" s="5" t="s">
        <v>1477</v>
      </c>
      <c r="N600" s="18">
        <v>14</v>
      </c>
    </row>
    <row r="601" spans="1:14" x14ac:dyDescent="0.25">
      <c r="A601" s="5" t="s">
        <v>48</v>
      </c>
      <c r="B601" s="7">
        <v>43477</v>
      </c>
      <c r="C601" s="4">
        <v>0.54166666666666663</v>
      </c>
      <c r="D601" s="15">
        <f t="shared" si="18"/>
        <v>13</v>
      </c>
      <c r="E601" s="15" t="str">
        <f t="shared" si="19"/>
        <v>Before 15</v>
      </c>
      <c r="F601" t="s">
        <v>49</v>
      </c>
      <c r="G601" s="16" t="str">
        <f>VLOOKUP(F601,DISTRICTS!B$2:C$626,2,FALSE)</f>
        <v>LATINA</v>
      </c>
      <c r="H601" s="16" t="str">
        <f>IFERROR(VLOOKUP(G601,'areas for question 4'!A$2:B$10,2,FALSE),"")</f>
        <v/>
      </c>
      <c r="I601" t="s">
        <v>1441</v>
      </c>
      <c r="J601" t="s">
        <v>1450</v>
      </c>
      <c r="K601" t="s">
        <v>1456</v>
      </c>
      <c r="L601" t="s">
        <v>1468</v>
      </c>
      <c r="M601" s="5" t="s">
        <v>1477</v>
      </c>
      <c r="N601" s="18">
        <v>14</v>
      </c>
    </row>
    <row r="602" spans="1:14" x14ac:dyDescent="0.25">
      <c r="A602" s="5" t="s">
        <v>66</v>
      </c>
      <c r="B602" s="7">
        <v>43482</v>
      </c>
      <c r="C602" s="4">
        <v>0.67708333333333337</v>
      </c>
      <c r="D602" s="15">
        <f t="shared" si="18"/>
        <v>16</v>
      </c>
      <c r="E602" s="15" t="str">
        <f t="shared" si="19"/>
        <v>After 15</v>
      </c>
      <c r="F602" t="s">
        <v>67</v>
      </c>
      <c r="G602" s="16" t="str">
        <f>VLOOKUP(F602,DISTRICTS!B$2:C$626,2,FALSE)</f>
        <v>CHAMARTÍN</v>
      </c>
      <c r="H602" s="16" t="str">
        <f>IFERROR(VLOOKUP(G602,'areas for question 4'!A$2:B$10,2,FALSE),"")</f>
        <v>North</v>
      </c>
      <c r="I602" t="s">
        <v>1441</v>
      </c>
      <c r="J602" t="s">
        <v>1450</v>
      </c>
      <c r="K602" t="s">
        <v>1456</v>
      </c>
      <c r="L602" t="s">
        <v>1468</v>
      </c>
      <c r="M602" s="5" t="s">
        <v>1478</v>
      </c>
      <c r="N602" s="18">
        <v>14</v>
      </c>
    </row>
    <row r="603" spans="1:14" x14ac:dyDescent="0.25">
      <c r="A603" s="5" t="s">
        <v>71</v>
      </c>
      <c r="B603" s="7">
        <v>43483</v>
      </c>
      <c r="C603" s="4">
        <v>0.75347222222222221</v>
      </c>
      <c r="D603" s="15">
        <f t="shared" si="18"/>
        <v>18</v>
      </c>
      <c r="E603" s="15" t="str">
        <f t="shared" si="19"/>
        <v>After 15</v>
      </c>
      <c r="F603" t="s">
        <v>72</v>
      </c>
      <c r="G603" s="16" t="str">
        <f>VLOOKUP(F603,DISTRICTS!B$2:C$626,2,FALSE)</f>
        <v>SAN BLAS-CANILLEJAS</v>
      </c>
      <c r="H603" s="16" t="str">
        <f>IFERROR(VLOOKUP(G603,'areas for question 4'!A$2:B$10,2,FALSE),"")</f>
        <v>East</v>
      </c>
      <c r="I603" t="s">
        <v>1446</v>
      </c>
      <c r="K603" t="s">
        <v>1456</v>
      </c>
      <c r="L603" t="s">
        <v>1468</v>
      </c>
      <c r="M603" s="5" t="s">
        <v>1477</v>
      </c>
      <c r="N603" s="18" t="s">
        <v>34</v>
      </c>
    </row>
    <row r="604" spans="1:14" x14ac:dyDescent="0.25">
      <c r="A604" s="5" t="s">
        <v>102</v>
      </c>
      <c r="B604" s="7">
        <v>43494</v>
      </c>
      <c r="C604" s="4">
        <v>0.68472222222222223</v>
      </c>
      <c r="D604" s="15">
        <f t="shared" si="18"/>
        <v>16</v>
      </c>
      <c r="E604" s="15" t="str">
        <f t="shared" si="19"/>
        <v>After 15</v>
      </c>
      <c r="F604" t="s">
        <v>103</v>
      </c>
      <c r="G604" s="16" t="str">
        <f>VLOOKUP(F604,DISTRICTS!B$2:C$626,2,FALSE)</f>
        <v>CENTRO</v>
      </c>
      <c r="H604" s="16" t="str">
        <f>IFERROR(VLOOKUP(G604,'areas for question 4'!A$2:B$10,2,FALSE),"")</f>
        <v/>
      </c>
      <c r="I604" t="s">
        <v>1444</v>
      </c>
      <c r="J604" t="s">
        <v>1452</v>
      </c>
      <c r="K604" t="s">
        <v>1456</v>
      </c>
      <c r="L604" t="s">
        <v>1468</v>
      </c>
      <c r="M604" s="5" t="s">
        <v>1477</v>
      </c>
      <c r="N604" s="18">
        <v>2</v>
      </c>
    </row>
    <row r="605" spans="1:14" x14ac:dyDescent="0.25">
      <c r="A605" t="s">
        <v>112</v>
      </c>
      <c r="B605" s="7">
        <v>43497</v>
      </c>
      <c r="C605" s="4">
        <v>1.0416666666666666E-2</v>
      </c>
      <c r="D605" s="15">
        <f t="shared" si="18"/>
        <v>0</v>
      </c>
      <c r="E605" s="15" t="str">
        <f t="shared" si="19"/>
        <v>Before 15</v>
      </c>
      <c r="F605" t="s">
        <v>113</v>
      </c>
      <c r="G605" s="16" t="str">
        <f>VLOOKUP(F605,DISTRICTS!B$2:C$626,2,FALSE)</f>
        <v>SALAMANCA</v>
      </c>
      <c r="H605" s="16" t="str">
        <f>IFERROR(VLOOKUP(G605,'areas for question 4'!A$2:B$10,2,FALSE),"")</f>
        <v/>
      </c>
      <c r="I605" t="s">
        <v>1446</v>
      </c>
      <c r="J605" t="s">
        <v>1452</v>
      </c>
      <c r="K605" t="s">
        <v>1456</v>
      </c>
      <c r="L605" t="s">
        <v>1468</v>
      </c>
      <c r="M605" t="s">
        <v>1477</v>
      </c>
      <c r="N605" s="18">
        <v>7</v>
      </c>
    </row>
    <row r="606" spans="1:14" x14ac:dyDescent="0.25">
      <c r="A606" t="s">
        <v>120</v>
      </c>
      <c r="B606" s="7">
        <v>43499</v>
      </c>
      <c r="C606" s="4">
        <v>0.70833333333333337</v>
      </c>
      <c r="D606" s="15">
        <f t="shared" si="18"/>
        <v>17</v>
      </c>
      <c r="E606" s="15" t="str">
        <f t="shared" si="19"/>
        <v>After 15</v>
      </c>
      <c r="F606" t="s">
        <v>121</v>
      </c>
      <c r="G606" s="16" t="str">
        <f>VLOOKUP(F606,DISTRICTS!B$2:C$626,2,FALSE)</f>
        <v>MONCLOA-ARAVACA</v>
      </c>
      <c r="H606" s="16" t="str">
        <f>IFERROR(VLOOKUP(G606,'areas for question 4'!A$2:B$10,2,FALSE),"")</f>
        <v/>
      </c>
      <c r="I606" t="s">
        <v>1444</v>
      </c>
      <c r="J606" t="s">
        <v>1450</v>
      </c>
      <c r="K606" t="s">
        <v>1456</v>
      </c>
      <c r="L606" t="s">
        <v>1468</v>
      </c>
      <c r="M606" t="s">
        <v>1478</v>
      </c>
      <c r="N606" s="18">
        <v>6</v>
      </c>
    </row>
    <row r="607" spans="1:14" x14ac:dyDescent="0.25">
      <c r="A607" t="s">
        <v>129</v>
      </c>
      <c r="B607" s="7">
        <v>43502</v>
      </c>
      <c r="C607" s="4">
        <v>0.33680555555555558</v>
      </c>
      <c r="D607" s="15">
        <f t="shared" si="18"/>
        <v>8</v>
      </c>
      <c r="E607" s="15" t="str">
        <f t="shared" si="19"/>
        <v>Before 15</v>
      </c>
      <c r="F607" t="s">
        <v>130</v>
      </c>
      <c r="G607" s="16" t="str">
        <f>VLOOKUP(F607,DISTRICTS!B$2:C$626,2,FALSE)</f>
        <v>FUENCARRAL-EL PARDO</v>
      </c>
      <c r="H607" s="16" t="str">
        <f>IFERROR(VLOOKUP(G607,'areas for question 4'!A$2:B$10,2,FALSE),"")</f>
        <v>North</v>
      </c>
      <c r="I607" t="s">
        <v>1443</v>
      </c>
      <c r="J607" t="s">
        <v>1450</v>
      </c>
      <c r="K607" t="s">
        <v>1456</v>
      </c>
      <c r="L607" t="s">
        <v>1468</v>
      </c>
      <c r="M607" t="s">
        <v>1477</v>
      </c>
      <c r="N607" s="18">
        <v>2</v>
      </c>
    </row>
    <row r="608" spans="1:14" x14ac:dyDescent="0.25">
      <c r="A608" t="s">
        <v>151</v>
      </c>
      <c r="B608" s="7">
        <v>43509</v>
      </c>
      <c r="C608" s="4">
        <v>0.72916666666666663</v>
      </c>
      <c r="D608" s="15">
        <f t="shared" si="18"/>
        <v>17</v>
      </c>
      <c r="E608" s="15" t="str">
        <f t="shared" si="19"/>
        <v>After 15</v>
      </c>
      <c r="F608" t="s">
        <v>152</v>
      </c>
      <c r="G608" s="16" t="str">
        <f>VLOOKUP(F608,DISTRICTS!B$2:C$626,2,FALSE)</f>
        <v>HORTALEZA</v>
      </c>
      <c r="H608" s="16" t="str">
        <f>IFERROR(VLOOKUP(G608,'areas for question 4'!A$2:B$10,2,FALSE),"")</f>
        <v/>
      </c>
      <c r="I608" t="s">
        <v>1443</v>
      </c>
      <c r="J608" t="s">
        <v>1450</v>
      </c>
      <c r="K608" t="s">
        <v>1456</v>
      </c>
      <c r="L608" t="s">
        <v>1468</v>
      </c>
      <c r="M608" t="s">
        <v>1477</v>
      </c>
      <c r="N608" s="18">
        <v>2</v>
      </c>
    </row>
    <row r="609" spans="1:14" x14ac:dyDescent="0.25">
      <c r="A609" t="s">
        <v>163</v>
      </c>
      <c r="B609" s="7">
        <v>43511</v>
      </c>
      <c r="C609" s="4">
        <v>0.59027777777777779</v>
      </c>
      <c r="D609" s="15">
        <f t="shared" si="18"/>
        <v>14</v>
      </c>
      <c r="E609" s="15" t="str">
        <f t="shared" si="19"/>
        <v>Before 15</v>
      </c>
      <c r="F609" t="s">
        <v>164</v>
      </c>
      <c r="G609" s="16" t="str">
        <f>VLOOKUP(F609,DISTRICTS!B$2:C$626,2,FALSE)</f>
        <v>RETIRO</v>
      </c>
      <c r="H609" s="16" t="str">
        <f>IFERROR(VLOOKUP(G609,'areas for question 4'!A$2:B$10,2,FALSE),"")</f>
        <v/>
      </c>
      <c r="I609" t="s">
        <v>1444</v>
      </c>
      <c r="J609" t="s">
        <v>1450</v>
      </c>
      <c r="K609" t="s">
        <v>1456</v>
      </c>
      <c r="L609" t="s">
        <v>1468</v>
      </c>
      <c r="M609" t="s">
        <v>1478</v>
      </c>
      <c r="N609" s="18">
        <v>6</v>
      </c>
    </row>
    <row r="610" spans="1:14" x14ac:dyDescent="0.25">
      <c r="A610" t="s">
        <v>165</v>
      </c>
      <c r="B610" s="7">
        <v>43512</v>
      </c>
      <c r="C610" s="4">
        <v>0.82986111111111116</v>
      </c>
      <c r="D610" s="15">
        <f t="shared" si="18"/>
        <v>19</v>
      </c>
      <c r="E610" s="15" t="str">
        <f t="shared" si="19"/>
        <v>After 15</v>
      </c>
      <c r="F610" t="s">
        <v>166</v>
      </c>
      <c r="G610" s="16" t="str">
        <f>VLOOKUP(F610,DISTRICTS!B$2:C$626,2,FALSE)</f>
        <v>CARABANCHEL</v>
      </c>
      <c r="H610" s="16" t="str">
        <f>IFERROR(VLOOKUP(G610,'areas for question 4'!A$2:B$10,2,FALSE),"")</f>
        <v/>
      </c>
      <c r="I610" t="s">
        <v>1444</v>
      </c>
      <c r="J610" t="s">
        <v>1450</v>
      </c>
      <c r="K610" t="s">
        <v>1456</v>
      </c>
      <c r="L610" t="s">
        <v>1468</v>
      </c>
      <c r="M610" t="s">
        <v>1478</v>
      </c>
      <c r="N610" s="18">
        <v>6</v>
      </c>
    </row>
    <row r="611" spans="1:14" x14ac:dyDescent="0.25">
      <c r="A611" t="s">
        <v>193</v>
      </c>
      <c r="B611" s="7">
        <v>43524</v>
      </c>
      <c r="C611" s="4">
        <v>0.36458333333333331</v>
      </c>
      <c r="D611" s="15">
        <f t="shared" si="18"/>
        <v>8</v>
      </c>
      <c r="E611" s="15" t="str">
        <f t="shared" si="19"/>
        <v>Before 15</v>
      </c>
      <c r="F611" t="s">
        <v>194</v>
      </c>
      <c r="G611" s="16" t="str">
        <f>VLOOKUP(F611,DISTRICTS!B$2:C$626,2,FALSE)</f>
        <v>BARAJAS</v>
      </c>
      <c r="H611" s="16" t="str">
        <f>IFERROR(VLOOKUP(G611,'areas for question 4'!A$2:B$10,2,FALSE),"")</f>
        <v>East</v>
      </c>
      <c r="I611" t="s">
        <v>1446</v>
      </c>
      <c r="J611" t="s">
        <v>1450</v>
      </c>
      <c r="K611" t="s">
        <v>1456</v>
      </c>
      <c r="L611" t="s">
        <v>1468</v>
      </c>
      <c r="M611" t="s">
        <v>1477</v>
      </c>
      <c r="N611" s="18">
        <v>7</v>
      </c>
    </row>
    <row r="612" spans="1:14" x14ac:dyDescent="0.25">
      <c r="A612" t="s">
        <v>222</v>
      </c>
      <c r="B612" s="7">
        <v>43530</v>
      </c>
      <c r="C612" s="4">
        <v>0.70833333333333337</v>
      </c>
      <c r="D612" s="15">
        <f t="shared" si="18"/>
        <v>17</v>
      </c>
      <c r="E612" s="15" t="str">
        <f t="shared" si="19"/>
        <v>After 15</v>
      </c>
      <c r="F612" t="s">
        <v>223</v>
      </c>
      <c r="G612" s="16" t="str">
        <f>VLOOKUP(F612,DISTRICTS!B$2:C$626,2,FALSE)</f>
        <v>SAN BLAS-CANILLEJAS</v>
      </c>
      <c r="H612" s="16" t="str">
        <f>IFERROR(VLOOKUP(G612,'areas for question 4'!A$2:B$10,2,FALSE),"")</f>
        <v>East</v>
      </c>
      <c r="I612" t="s">
        <v>1446</v>
      </c>
      <c r="J612" t="s">
        <v>1450</v>
      </c>
      <c r="K612" t="s">
        <v>1456</v>
      </c>
      <c r="L612" t="s">
        <v>1468</v>
      </c>
      <c r="M612" t="s">
        <v>1478</v>
      </c>
      <c r="N612" s="18">
        <v>6</v>
      </c>
    </row>
    <row r="613" spans="1:14" x14ac:dyDescent="0.25">
      <c r="A613" t="s">
        <v>255</v>
      </c>
      <c r="B613" s="7">
        <v>43538</v>
      </c>
      <c r="C613" s="4">
        <v>0.49652777777777773</v>
      </c>
      <c r="D613" s="15">
        <f t="shared" si="18"/>
        <v>11</v>
      </c>
      <c r="E613" s="15" t="str">
        <f t="shared" si="19"/>
        <v>Before 15</v>
      </c>
      <c r="F613" t="s">
        <v>256</v>
      </c>
      <c r="G613" s="16" t="str">
        <f>VLOOKUP(F613,DISTRICTS!B$2:C$626,2,FALSE)</f>
        <v>MONCLOA-ARAVACA</v>
      </c>
      <c r="H613" s="16" t="str">
        <f>IFERROR(VLOOKUP(G613,'areas for question 4'!A$2:B$10,2,FALSE),"")</f>
        <v/>
      </c>
      <c r="I613" t="s">
        <v>1446</v>
      </c>
      <c r="K613" t="s">
        <v>1456</v>
      </c>
      <c r="L613" t="s">
        <v>1468</v>
      </c>
      <c r="M613" t="s">
        <v>1477</v>
      </c>
      <c r="N613" s="18" t="s">
        <v>34</v>
      </c>
    </row>
    <row r="614" spans="1:14" x14ac:dyDescent="0.25">
      <c r="A614" t="s">
        <v>287</v>
      </c>
      <c r="B614" s="7">
        <v>43544</v>
      </c>
      <c r="C614" s="4">
        <v>0.64722222222222225</v>
      </c>
      <c r="D614" s="15">
        <f t="shared" si="18"/>
        <v>15</v>
      </c>
      <c r="E614" s="15" t="str">
        <f t="shared" si="19"/>
        <v>After 15</v>
      </c>
      <c r="F614" t="s">
        <v>288</v>
      </c>
      <c r="G614" s="16" t="str">
        <f>VLOOKUP(F614,DISTRICTS!B$2:C$626,2,FALSE)</f>
        <v>VILLA DE VALLECAS</v>
      </c>
      <c r="H614" s="16" t="str">
        <f>IFERROR(VLOOKUP(G614,'areas for question 4'!A$2:B$10,2,FALSE),"")</f>
        <v/>
      </c>
      <c r="I614" t="s">
        <v>1449</v>
      </c>
      <c r="J614" t="s">
        <v>1450</v>
      </c>
      <c r="K614" t="s">
        <v>1456</v>
      </c>
      <c r="L614" t="s">
        <v>1468</v>
      </c>
      <c r="M614" t="s">
        <v>1477</v>
      </c>
      <c r="N614" s="18">
        <v>7</v>
      </c>
    </row>
    <row r="615" spans="1:14" x14ac:dyDescent="0.25">
      <c r="A615" t="s">
        <v>298</v>
      </c>
      <c r="B615" s="7">
        <v>43547</v>
      </c>
      <c r="C615" s="4">
        <v>0.5</v>
      </c>
      <c r="D615" s="15">
        <f t="shared" si="18"/>
        <v>12</v>
      </c>
      <c r="E615" s="15" t="str">
        <f t="shared" si="19"/>
        <v>Before 15</v>
      </c>
      <c r="F615" t="s">
        <v>299</v>
      </c>
      <c r="G615" s="16" t="str">
        <f>VLOOKUP(F615,DISTRICTS!B$2:C$626,2,FALSE)</f>
        <v>CARABANCHEL</v>
      </c>
      <c r="H615" s="16" t="str">
        <f>IFERROR(VLOOKUP(G615,'areas for question 4'!A$2:B$10,2,FALSE),"")</f>
        <v/>
      </c>
      <c r="I615" t="s">
        <v>1444</v>
      </c>
      <c r="J615" t="s">
        <v>1450</v>
      </c>
      <c r="K615" t="s">
        <v>1456</v>
      </c>
      <c r="L615" t="s">
        <v>1468</v>
      </c>
      <c r="M615" t="s">
        <v>1477</v>
      </c>
      <c r="N615" s="18">
        <v>6</v>
      </c>
    </row>
    <row r="616" spans="1:14" x14ac:dyDescent="0.25">
      <c r="A616" t="s">
        <v>310</v>
      </c>
      <c r="B616" s="7">
        <v>43550</v>
      </c>
      <c r="C616" s="4">
        <v>0.79861111111111116</v>
      </c>
      <c r="D616" s="15">
        <f t="shared" si="18"/>
        <v>19</v>
      </c>
      <c r="E616" s="15" t="str">
        <f t="shared" si="19"/>
        <v>After 15</v>
      </c>
      <c r="F616" t="s">
        <v>311</v>
      </c>
      <c r="G616" s="16" t="str">
        <f>VLOOKUP(F616,DISTRICTS!B$2:C$626,2,FALSE)</f>
        <v>CHAMARTÍN</v>
      </c>
      <c r="H616" s="16" t="str">
        <f>IFERROR(VLOOKUP(G616,'areas for question 4'!A$2:B$10,2,FALSE),"")</f>
        <v>North</v>
      </c>
      <c r="I616" t="s">
        <v>1449</v>
      </c>
      <c r="J616" t="s">
        <v>1450</v>
      </c>
      <c r="K616" t="s">
        <v>1456</v>
      </c>
      <c r="L616" t="s">
        <v>1468</v>
      </c>
      <c r="M616" t="s">
        <v>1477</v>
      </c>
      <c r="N616" s="18">
        <v>7</v>
      </c>
    </row>
    <row r="617" spans="1:14" x14ac:dyDescent="0.25">
      <c r="A617" t="s">
        <v>312</v>
      </c>
      <c r="B617" s="7">
        <v>43550</v>
      </c>
      <c r="C617" s="4">
        <v>0.78819444444444453</v>
      </c>
      <c r="D617" s="15">
        <f t="shared" si="18"/>
        <v>18</v>
      </c>
      <c r="E617" s="15" t="str">
        <f t="shared" si="19"/>
        <v>After 15</v>
      </c>
      <c r="F617" t="s">
        <v>313</v>
      </c>
      <c r="G617" s="16" t="str">
        <f>VLOOKUP(F617,DISTRICTS!B$2:C$626,2,FALSE)</f>
        <v>PUENTE DE VALLECAS</v>
      </c>
      <c r="H617" s="16" t="str">
        <f>IFERROR(VLOOKUP(G617,'areas for question 4'!A$2:B$10,2,FALSE),"")</f>
        <v/>
      </c>
      <c r="I617" t="s">
        <v>1447</v>
      </c>
      <c r="J617" t="s">
        <v>1450</v>
      </c>
      <c r="K617" t="s">
        <v>1456</v>
      </c>
      <c r="L617" t="s">
        <v>1468</v>
      </c>
      <c r="M617" t="s">
        <v>1477</v>
      </c>
      <c r="N617" s="18">
        <v>7</v>
      </c>
    </row>
    <row r="618" spans="1:14" x14ac:dyDescent="0.25">
      <c r="A618" t="s">
        <v>334</v>
      </c>
      <c r="B618" s="7">
        <v>43554</v>
      </c>
      <c r="C618" s="4">
        <v>0.42708333333333331</v>
      </c>
      <c r="D618" s="15">
        <f t="shared" si="18"/>
        <v>10</v>
      </c>
      <c r="E618" s="15" t="str">
        <f t="shared" si="19"/>
        <v>Before 15</v>
      </c>
      <c r="F618" t="s">
        <v>335</v>
      </c>
      <c r="G618" s="16" t="str">
        <f>VLOOKUP(F618,DISTRICTS!B$2:C$626,2,FALSE)</f>
        <v>BARAJAS</v>
      </c>
      <c r="H618" s="16" t="str">
        <f>IFERROR(VLOOKUP(G618,'areas for question 4'!A$2:B$10,2,FALSE),"")</f>
        <v>East</v>
      </c>
      <c r="I618" t="s">
        <v>1441</v>
      </c>
      <c r="J618" t="s">
        <v>1450</v>
      </c>
      <c r="K618" t="s">
        <v>1456</v>
      </c>
      <c r="L618" t="s">
        <v>1468</v>
      </c>
      <c r="M618" t="s">
        <v>1477</v>
      </c>
      <c r="N618" s="18">
        <v>2</v>
      </c>
    </row>
    <row r="619" spans="1:14" x14ac:dyDescent="0.25">
      <c r="A619" t="s">
        <v>346</v>
      </c>
      <c r="B619" s="7">
        <v>43557</v>
      </c>
      <c r="C619" s="4">
        <v>0.57638888888888895</v>
      </c>
      <c r="D619" s="15">
        <f t="shared" si="18"/>
        <v>13</v>
      </c>
      <c r="E619" s="15" t="str">
        <f t="shared" si="19"/>
        <v>Before 15</v>
      </c>
      <c r="F619" t="s">
        <v>347</v>
      </c>
      <c r="G619" s="16" t="str">
        <f>VLOOKUP(F619,DISTRICTS!B$2:C$626,2,FALSE)</f>
        <v>FUENCARRAL-EL PARDO</v>
      </c>
      <c r="H619" s="16" t="str">
        <f>IFERROR(VLOOKUP(G619,'areas for question 4'!A$2:B$10,2,FALSE),"")</f>
        <v>North</v>
      </c>
      <c r="I619" t="s">
        <v>1446</v>
      </c>
      <c r="J619" t="s">
        <v>1454</v>
      </c>
      <c r="K619" t="s">
        <v>1456</v>
      </c>
      <c r="L619" t="s">
        <v>1468</v>
      </c>
      <c r="M619" t="s">
        <v>1477</v>
      </c>
      <c r="N619" s="18">
        <v>6</v>
      </c>
    </row>
    <row r="620" spans="1:14" x14ac:dyDescent="0.25">
      <c r="A620" t="s">
        <v>370</v>
      </c>
      <c r="B620" s="7">
        <v>43565</v>
      </c>
      <c r="C620" s="4">
        <v>0.72222222222222221</v>
      </c>
      <c r="D620" s="15">
        <f t="shared" si="18"/>
        <v>17</v>
      </c>
      <c r="E620" s="15" t="str">
        <f t="shared" si="19"/>
        <v>After 15</v>
      </c>
      <c r="F620" t="s">
        <v>99</v>
      </c>
      <c r="G620" s="16" t="str">
        <f>VLOOKUP(F620,DISTRICTS!B$2:C$626,2,FALSE)</f>
        <v>CENTRO</v>
      </c>
      <c r="H620" s="16" t="str">
        <f>IFERROR(VLOOKUP(G620,'areas for question 4'!A$2:B$10,2,FALSE),"")</f>
        <v/>
      </c>
      <c r="I620" t="s">
        <v>1444</v>
      </c>
      <c r="J620" t="s">
        <v>1450</v>
      </c>
      <c r="K620" t="s">
        <v>1456</v>
      </c>
      <c r="L620" t="s">
        <v>1468</v>
      </c>
      <c r="M620" t="s">
        <v>1478</v>
      </c>
      <c r="N620" s="18">
        <v>2</v>
      </c>
    </row>
    <row r="621" spans="1:14" x14ac:dyDescent="0.25">
      <c r="A621" t="s">
        <v>373</v>
      </c>
      <c r="B621" s="7">
        <v>43565</v>
      </c>
      <c r="C621" s="4">
        <v>0.33333333333333331</v>
      </c>
      <c r="D621" s="15">
        <f t="shared" si="18"/>
        <v>8</v>
      </c>
      <c r="E621" s="15" t="str">
        <f t="shared" si="19"/>
        <v>Before 15</v>
      </c>
      <c r="F621" t="s">
        <v>374</v>
      </c>
      <c r="G621" s="16" t="str">
        <f>VLOOKUP(F621,DISTRICTS!B$2:C$626,2,FALSE)</f>
        <v>SAN BLAS-CANILLEJAS</v>
      </c>
      <c r="H621" s="16" t="str">
        <f>IFERROR(VLOOKUP(G621,'areas for question 4'!A$2:B$10,2,FALSE),"")</f>
        <v>East</v>
      </c>
      <c r="I621" t="s">
        <v>1446</v>
      </c>
      <c r="J621" t="s">
        <v>1450</v>
      </c>
      <c r="K621" t="s">
        <v>1456</v>
      </c>
      <c r="L621" t="s">
        <v>1468</v>
      </c>
      <c r="M621" t="s">
        <v>1477</v>
      </c>
      <c r="N621" s="18">
        <v>6</v>
      </c>
    </row>
    <row r="622" spans="1:14" x14ac:dyDescent="0.25">
      <c r="A622" t="s">
        <v>416</v>
      </c>
      <c r="B622" s="7">
        <v>43584</v>
      </c>
      <c r="C622" s="4">
        <v>0.2986111111111111</v>
      </c>
      <c r="D622" s="15">
        <f t="shared" si="18"/>
        <v>7</v>
      </c>
      <c r="E622" s="15" t="str">
        <f t="shared" si="19"/>
        <v>Before 15</v>
      </c>
      <c r="F622" t="s">
        <v>417</v>
      </c>
      <c r="G622" s="16" t="str">
        <f>VLOOKUP(F622,DISTRICTS!B$2:C$626,2,FALSE)</f>
        <v>CIUDAD LINEAL</v>
      </c>
      <c r="H622" s="16" t="str">
        <f>IFERROR(VLOOKUP(G622,'areas for question 4'!A$2:B$10,2,FALSE),"")</f>
        <v>East</v>
      </c>
      <c r="I622" t="s">
        <v>1443</v>
      </c>
      <c r="J622" t="s">
        <v>1450</v>
      </c>
      <c r="K622" t="s">
        <v>1456</v>
      </c>
      <c r="L622" t="s">
        <v>1468</v>
      </c>
      <c r="M622" t="s">
        <v>1477</v>
      </c>
      <c r="N622" s="18">
        <v>14</v>
      </c>
    </row>
    <row r="623" spans="1:14" x14ac:dyDescent="0.25">
      <c r="A623" t="s">
        <v>426</v>
      </c>
      <c r="B623" s="7">
        <v>43590</v>
      </c>
      <c r="C623" s="4">
        <v>0.61736111111111114</v>
      </c>
      <c r="D623" s="15">
        <f t="shared" si="18"/>
        <v>14</v>
      </c>
      <c r="E623" s="15" t="str">
        <f t="shared" si="19"/>
        <v>Before 15</v>
      </c>
      <c r="F623" t="s">
        <v>427</v>
      </c>
      <c r="G623" s="16" t="str">
        <f>VLOOKUP(F623,DISTRICTS!B$2:C$626,2,FALSE)</f>
        <v>LATINA</v>
      </c>
      <c r="H623" s="16" t="str">
        <f>IFERROR(VLOOKUP(G623,'areas for question 4'!A$2:B$10,2,FALSE),"")</f>
        <v/>
      </c>
      <c r="I623" t="s">
        <v>1443</v>
      </c>
      <c r="J623" t="s">
        <v>1450</v>
      </c>
      <c r="K623" t="s">
        <v>1456</v>
      </c>
      <c r="L623" t="s">
        <v>1468</v>
      </c>
      <c r="M623" t="s">
        <v>1477</v>
      </c>
      <c r="N623" s="18">
        <v>7</v>
      </c>
    </row>
    <row r="624" spans="1:14" x14ac:dyDescent="0.25">
      <c r="A624" t="s">
        <v>441</v>
      </c>
      <c r="B624" s="7">
        <v>43595</v>
      </c>
      <c r="C624" s="4">
        <v>0.66388888888888886</v>
      </c>
      <c r="D624" s="15">
        <f t="shared" si="18"/>
        <v>15</v>
      </c>
      <c r="E624" s="15" t="str">
        <f t="shared" si="19"/>
        <v>After 15</v>
      </c>
      <c r="F624" t="s">
        <v>442</v>
      </c>
      <c r="G624" s="16" t="str">
        <f>VLOOKUP(F624,DISTRICTS!B$2:C$626,2,FALSE)</f>
        <v>CARABANCHEL</v>
      </c>
      <c r="H624" s="16" t="str">
        <f>IFERROR(VLOOKUP(G624,'areas for question 4'!A$2:B$10,2,FALSE),"")</f>
        <v/>
      </c>
      <c r="I624" t="s">
        <v>1446</v>
      </c>
      <c r="J624" t="s">
        <v>1450</v>
      </c>
      <c r="K624" t="s">
        <v>1456</v>
      </c>
      <c r="L624" t="s">
        <v>1468</v>
      </c>
      <c r="M624" t="s">
        <v>1477</v>
      </c>
      <c r="N624" s="18">
        <v>7</v>
      </c>
    </row>
    <row r="625" spans="1:14" x14ac:dyDescent="0.25">
      <c r="A625" t="s">
        <v>453</v>
      </c>
      <c r="B625" s="7">
        <v>43596</v>
      </c>
      <c r="C625" s="4">
        <v>0.4604166666666667</v>
      </c>
      <c r="D625" s="15">
        <f t="shared" si="18"/>
        <v>11</v>
      </c>
      <c r="E625" s="15" t="str">
        <f t="shared" si="19"/>
        <v>Before 15</v>
      </c>
      <c r="F625" t="s">
        <v>454</v>
      </c>
      <c r="G625" s="16" t="str">
        <f>VLOOKUP(F625,DISTRICTS!B$2:C$626,2,FALSE)</f>
        <v>VILLA DE VALLECAS</v>
      </c>
      <c r="H625" s="16" t="str">
        <f>IFERROR(VLOOKUP(G625,'areas for question 4'!A$2:B$10,2,FALSE),"")</f>
        <v/>
      </c>
      <c r="I625" t="s">
        <v>1447</v>
      </c>
      <c r="J625" t="s">
        <v>1455</v>
      </c>
      <c r="K625" t="s">
        <v>1456</v>
      </c>
      <c r="L625" t="s">
        <v>1468</v>
      </c>
      <c r="M625" t="s">
        <v>1477</v>
      </c>
      <c r="N625" s="18">
        <v>14</v>
      </c>
    </row>
    <row r="626" spans="1:14" x14ac:dyDescent="0.25">
      <c r="A626" t="s">
        <v>473</v>
      </c>
      <c r="B626" s="7">
        <v>43601</v>
      </c>
      <c r="C626" s="4">
        <v>0.93055555555555547</v>
      </c>
      <c r="D626" s="15">
        <f t="shared" si="18"/>
        <v>22</v>
      </c>
      <c r="E626" s="15" t="str">
        <f t="shared" si="19"/>
        <v>After 15</v>
      </c>
      <c r="F626" t="s">
        <v>474</v>
      </c>
      <c r="G626" s="16" t="str">
        <f>VLOOKUP(F626,DISTRICTS!B$2:C$626,2,FALSE)</f>
        <v>ARGANZUELA</v>
      </c>
      <c r="H626" s="16" t="str">
        <f>IFERROR(VLOOKUP(G626,'areas for question 4'!A$2:B$10,2,FALSE),"")</f>
        <v/>
      </c>
      <c r="I626" t="s">
        <v>1444</v>
      </c>
      <c r="J626" t="s">
        <v>1450</v>
      </c>
      <c r="K626" t="s">
        <v>1456</v>
      </c>
      <c r="L626" t="s">
        <v>1468</v>
      </c>
      <c r="M626" t="s">
        <v>1477</v>
      </c>
      <c r="N626" s="18">
        <v>7</v>
      </c>
    </row>
    <row r="627" spans="1:14" x14ac:dyDescent="0.25">
      <c r="A627" t="s">
        <v>506</v>
      </c>
      <c r="B627" s="7">
        <v>43607</v>
      </c>
      <c r="C627" s="4">
        <v>0.86111111111111116</v>
      </c>
      <c r="D627" s="15">
        <f t="shared" si="18"/>
        <v>20</v>
      </c>
      <c r="E627" s="15" t="str">
        <f t="shared" si="19"/>
        <v>After 15</v>
      </c>
      <c r="F627" t="s">
        <v>507</v>
      </c>
      <c r="G627" s="16" t="str">
        <f>VLOOKUP(F627,DISTRICTS!B$2:C$626,2,FALSE)</f>
        <v>ARGANZUELA</v>
      </c>
      <c r="H627" s="16" t="str">
        <f>IFERROR(VLOOKUP(G627,'areas for question 4'!A$2:B$10,2,FALSE),"")</f>
        <v/>
      </c>
      <c r="I627" t="s">
        <v>1444</v>
      </c>
      <c r="J627" t="s">
        <v>1450</v>
      </c>
      <c r="K627" t="s">
        <v>1456</v>
      </c>
      <c r="L627" t="s">
        <v>1468</v>
      </c>
      <c r="M627" t="s">
        <v>1477</v>
      </c>
      <c r="N627" s="18">
        <v>1</v>
      </c>
    </row>
    <row r="628" spans="1:14" x14ac:dyDescent="0.25">
      <c r="A628" t="s">
        <v>515</v>
      </c>
      <c r="B628" s="7">
        <v>43608</v>
      </c>
      <c r="C628" s="4">
        <v>0.80555555555555547</v>
      </c>
      <c r="D628" s="15">
        <f t="shared" si="18"/>
        <v>19</v>
      </c>
      <c r="E628" s="15" t="str">
        <f t="shared" si="19"/>
        <v>After 15</v>
      </c>
      <c r="F628" t="s">
        <v>516</v>
      </c>
      <c r="G628" s="16" t="str">
        <f>VLOOKUP(F628,DISTRICTS!B$2:C$626,2,FALSE)</f>
        <v>FUENCARRAL-EL PARDO</v>
      </c>
      <c r="H628" s="16" t="str">
        <f>IFERROR(VLOOKUP(G628,'areas for question 4'!A$2:B$10,2,FALSE),"")</f>
        <v>North</v>
      </c>
      <c r="I628" t="s">
        <v>1446</v>
      </c>
      <c r="J628" t="s">
        <v>1450</v>
      </c>
      <c r="K628" t="s">
        <v>1456</v>
      </c>
      <c r="L628" t="s">
        <v>1468</v>
      </c>
      <c r="M628" t="s">
        <v>1478</v>
      </c>
      <c r="N628" s="18">
        <v>2</v>
      </c>
    </row>
    <row r="629" spans="1:14" x14ac:dyDescent="0.25">
      <c r="A629" t="s">
        <v>519</v>
      </c>
      <c r="B629" s="7">
        <v>43609</v>
      </c>
      <c r="C629" s="4">
        <v>0.59027777777777779</v>
      </c>
      <c r="D629" s="15">
        <f t="shared" si="18"/>
        <v>14</v>
      </c>
      <c r="E629" s="15" t="str">
        <f t="shared" si="19"/>
        <v>Before 15</v>
      </c>
      <c r="F629" t="s">
        <v>520</v>
      </c>
      <c r="G629" s="16" t="str">
        <f>VLOOKUP(F629,DISTRICTS!B$2:C$626,2,FALSE)</f>
        <v>TETUÁN</v>
      </c>
      <c r="H629" s="16" t="str">
        <f>IFERROR(VLOOKUP(G629,'areas for question 4'!A$2:B$10,2,FALSE),"")</f>
        <v>North</v>
      </c>
      <c r="I629" t="s">
        <v>1446</v>
      </c>
      <c r="J629" t="s">
        <v>1450</v>
      </c>
      <c r="K629" t="s">
        <v>1456</v>
      </c>
      <c r="L629" t="s">
        <v>1468</v>
      </c>
      <c r="M629" t="s">
        <v>1477</v>
      </c>
      <c r="N629" s="18">
        <v>14</v>
      </c>
    </row>
    <row r="630" spans="1:14" x14ac:dyDescent="0.25">
      <c r="A630" t="s">
        <v>526</v>
      </c>
      <c r="B630" s="7">
        <v>43611</v>
      </c>
      <c r="C630" s="4">
        <v>0.37152777777777773</v>
      </c>
      <c r="D630" s="15">
        <f t="shared" si="18"/>
        <v>8</v>
      </c>
      <c r="E630" s="15" t="str">
        <f t="shared" si="19"/>
        <v>Before 15</v>
      </c>
      <c r="F630" t="s">
        <v>527</v>
      </c>
      <c r="G630" s="16" t="str">
        <f>VLOOKUP(F630,DISTRICTS!B$2:C$626,2,FALSE)</f>
        <v>CENTRO</v>
      </c>
      <c r="H630" s="16" t="str">
        <f>IFERROR(VLOOKUP(G630,'areas for question 4'!A$2:B$10,2,FALSE),"")</f>
        <v/>
      </c>
      <c r="I630" t="s">
        <v>1446</v>
      </c>
      <c r="J630" t="s">
        <v>1450</v>
      </c>
      <c r="K630" t="s">
        <v>1456</v>
      </c>
      <c r="L630" t="s">
        <v>1468</v>
      </c>
      <c r="M630" t="s">
        <v>1477</v>
      </c>
      <c r="N630" s="18">
        <v>2</v>
      </c>
    </row>
    <row r="631" spans="1:14" x14ac:dyDescent="0.25">
      <c r="A631" t="s">
        <v>536</v>
      </c>
      <c r="B631" s="7">
        <v>43613</v>
      </c>
      <c r="C631" s="4">
        <v>0.71527777777777779</v>
      </c>
      <c r="D631" s="15">
        <f t="shared" si="18"/>
        <v>17</v>
      </c>
      <c r="E631" s="15" t="str">
        <f t="shared" si="19"/>
        <v>After 15</v>
      </c>
      <c r="F631" t="s">
        <v>154</v>
      </c>
      <c r="G631" s="16" t="str">
        <f>VLOOKUP(F631,DISTRICTS!B$2:C$626,2,FALSE)</f>
        <v>SALAMANCA</v>
      </c>
      <c r="H631" s="16" t="str">
        <f>IFERROR(VLOOKUP(G631,'areas for question 4'!A$2:B$10,2,FALSE),"")</f>
        <v/>
      </c>
      <c r="I631" t="s">
        <v>1441</v>
      </c>
      <c r="J631" t="s">
        <v>1450</v>
      </c>
      <c r="K631" t="s">
        <v>1456</v>
      </c>
      <c r="L631" t="s">
        <v>1468</v>
      </c>
      <c r="M631" t="s">
        <v>1477</v>
      </c>
      <c r="N631" s="18">
        <v>7</v>
      </c>
    </row>
    <row r="632" spans="1:14" x14ac:dyDescent="0.25">
      <c r="A632" t="s">
        <v>564</v>
      </c>
      <c r="B632" s="7">
        <v>43618</v>
      </c>
      <c r="C632" s="4">
        <v>0.96180555555555547</v>
      </c>
      <c r="D632" s="15">
        <f t="shared" si="18"/>
        <v>23</v>
      </c>
      <c r="E632" s="15" t="str">
        <f t="shared" si="19"/>
        <v>After 15</v>
      </c>
      <c r="F632" t="s">
        <v>565</v>
      </c>
      <c r="G632" s="16" t="str">
        <f>VLOOKUP(F632,DISTRICTS!B$2:C$626,2,FALSE)</f>
        <v>PUENTE DE VALLECAS</v>
      </c>
      <c r="H632" s="16" t="str">
        <f>IFERROR(VLOOKUP(G632,'areas for question 4'!A$2:B$10,2,FALSE),"")</f>
        <v/>
      </c>
      <c r="I632" t="s">
        <v>1449</v>
      </c>
      <c r="J632" t="s">
        <v>1450</v>
      </c>
      <c r="K632" t="s">
        <v>1458</v>
      </c>
      <c r="L632" t="s">
        <v>1468</v>
      </c>
      <c r="M632" t="s">
        <v>1478</v>
      </c>
      <c r="N632" s="18" t="s">
        <v>34</v>
      </c>
    </row>
    <row r="633" spans="1:14" x14ac:dyDescent="0.25">
      <c r="A633" t="s">
        <v>642</v>
      </c>
      <c r="B633" s="7">
        <v>43631</v>
      </c>
      <c r="C633" s="4">
        <v>0.4909722222222222</v>
      </c>
      <c r="D633" s="15">
        <f t="shared" si="18"/>
        <v>11</v>
      </c>
      <c r="E633" s="15" t="str">
        <f t="shared" si="19"/>
        <v>Before 15</v>
      </c>
      <c r="F633" t="s">
        <v>643</v>
      </c>
      <c r="G633" s="16" t="str">
        <f>VLOOKUP(F633,DISTRICTS!B$2:C$626,2,FALSE)</f>
        <v>LATINA</v>
      </c>
      <c r="H633" s="16" t="str">
        <f>IFERROR(VLOOKUP(G633,'areas for question 4'!A$2:B$10,2,FALSE),"")</f>
        <v/>
      </c>
      <c r="I633" t="s">
        <v>1444</v>
      </c>
      <c r="J633" t="s">
        <v>1450</v>
      </c>
      <c r="K633" t="s">
        <v>1456</v>
      </c>
      <c r="L633" t="s">
        <v>1468</v>
      </c>
      <c r="M633" t="s">
        <v>1478</v>
      </c>
      <c r="N633" s="18">
        <v>1</v>
      </c>
    </row>
    <row r="634" spans="1:14" x14ac:dyDescent="0.25">
      <c r="A634" t="s">
        <v>651</v>
      </c>
      <c r="B634" s="7">
        <v>43633</v>
      </c>
      <c r="C634" s="4">
        <v>0.36805555555555558</v>
      </c>
      <c r="D634" s="15">
        <f t="shared" si="18"/>
        <v>8</v>
      </c>
      <c r="E634" s="15" t="str">
        <f t="shared" si="19"/>
        <v>Before 15</v>
      </c>
      <c r="F634" t="s">
        <v>652</v>
      </c>
      <c r="G634" s="16" t="str">
        <f>VLOOKUP(F634,DISTRICTS!B$2:C$626,2,FALSE)</f>
        <v>CHAMBERÍ</v>
      </c>
      <c r="H634" s="16" t="str">
        <f>IFERROR(VLOOKUP(G634,'areas for question 4'!A$2:B$10,2,FALSE),"")</f>
        <v>North</v>
      </c>
      <c r="I634" t="s">
        <v>1444</v>
      </c>
      <c r="J634" t="s">
        <v>1450</v>
      </c>
      <c r="K634" t="s">
        <v>1456</v>
      </c>
      <c r="L634" t="s">
        <v>1468</v>
      </c>
      <c r="M634" t="s">
        <v>1477</v>
      </c>
      <c r="N634" s="18">
        <v>6</v>
      </c>
    </row>
    <row r="635" spans="1:14" x14ac:dyDescent="0.25">
      <c r="A635" t="s">
        <v>666</v>
      </c>
      <c r="B635" s="7">
        <v>43637</v>
      </c>
      <c r="C635" s="4">
        <v>2.7777777777777776E-2</v>
      </c>
      <c r="D635" s="15">
        <f t="shared" si="18"/>
        <v>0</v>
      </c>
      <c r="E635" s="15" t="str">
        <f t="shared" si="19"/>
        <v>Before 15</v>
      </c>
      <c r="F635" t="s">
        <v>211</v>
      </c>
      <c r="G635" s="16" t="str">
        <f>VLOOKUP(F635,DISTRICTS!B$2:C$626,2,FALSE)</f>
        <v>CENTRO</v>
      </c>
      <c r="H635" s="16" t="str">
        <f>IFERROR(VLOOKUP(G635,'areas for question 4'!A$2:B$10,2,FALSE),"")</f>
        <v/>
      </c>
      <c r="I635" t="s">
        <v>1446</v>
      </c>
      <c r="J635" t="s">
        <v>1450</v>
      </c>
      <c r="K635" t="s">
        <v>1456</v>
      </c>
      <c r="L635" t="s">
        <v>1468</v>
      </c>
      <c r="M635" t="s">
        <v>1477</v>
      </c>
      <c r="N635" s="18">
        <v>14</v>
      </c>
    </row>
    <row r="636" spans="1:14" x14ac:dyDescent="0.25">
      <c r="A636" t="s">
        <v>700</v>
      </c>
      <c r="B636" s="7">
        <v>43644</v>
      </c>
      <c r="C636" s="4">
        <v>0.45833333333333331</v>
      </c>
      <c r="D636" s="15">
        <f t="shared" si="18"/>
        <v>11</v>
      </c>
      <c r="E636" s="15" t="str">
        <f t="shared" si="19"/>
        <v>Before 15</v>
      </c>
      <c r="F636" t="s">
        <v>278</v>
      </c>
      <c r="G636" s="16" t="str">
        <f>VLOOKUP(F636,DISTRICTS!B$2:C$626,2,FALSE)</f>
        <v>CENTRO</v>
      </c>
      <c r="H636" s="16" t="str">
        <f>IFERROR(VLOOKUP(G636,'areas for question 4'!A$2:B$10,2,FALSE),"")</f>
        <v/>
      </c>
      <c r="I636" t="s">
        <v>1444</v>
      </c>
      <c r="J636" t="s">
        <v>1450</v>
      </c>
      <c r="K636" t="s">
        <v>1456</v>
      </c>
      <c r="L636" t="s">
        <v>1468</v>
      </c>
      <c r="M636" t="s">
        <v>1478</v>
      </c>
      <c r="N636" s="18">
        <v>1</v>
      </c>
    </row>
    <row r="637" spans="1:14" x14ac:dyDescent="0.25">
      <c r="A637" t="s">
        <v>727</v>
      </c>
      <c r="B637" s="7">
        <v>43649</v>
      </c>
      <c r="C637" s="4">
        <v>0.46875</v>
      </c>
      <c r="D637" s="15">
        <f t="shared" si="18"/>
        <v>11</v>
      </c>
      <c r="E637" s="15" t="str">
        <f t="shared" si="19"/>
        <v>Before 15</v>
      </c>
      <c r="F637" t="s">
        <v>728</v>
      </c>
      <c r="G637" s="16" t="str">
        <f>VLOOKUP(F637,DISTRICTS!B$2:C$626,2,FALSE)</f>
        <v>CENTRO</v>
      </c>
      <c r="H637" s="16" t="str">
        <f>IFERROR(VLOOKUP(G637,'areas for question 4'!A$2:B$10,2,FALSE),"")</f>
        <v/>
      </c>
      <c r="I637" t="s">
        <v>1446</v>
      </c>
      <c r="J637" t="s">
        <v>1450</v>
      </c>
      <c r="K637" t="s">
        <v>1456</v>
      </c>
      <c r="L637" t="s">
        <v>1468</v>
      </c>
      <c r="M637" t="s">
        <v>1477</v>
      </c>
      <c r="N637" s="18">
        <v>7</v>
      </c>
    </row>
    <row r="638" spans="1:14" x14ac:dyDescent="0.25">
      <c r="A638" t="s">
        <v>765</v>
      </c>
      <c r="B638" s="7">
        <v>43656</v>
      </c>
      <c r="C638" s="4">
        <v>0.7631944444444444</v>
      </c>
      <c r="D638" s="15">
        <f t="shared" si="18"/>
        <v>18</v>
      </c>
      <c r="E638" s="15" t="str">
        <f t="shared" si="19"/>
        <v>After 15</v>
      </c>
      <c r="F638" t="s">
        <v>766</v>
      </c>
      <c r="G638" s="16" t="str">
        <f>VLOOKUP(F638,DISTRICTS!B$2:C$626,2,FALSE)</f>
        <v>VILLA DE VALLECAS</v>
      </c>
      <c r="H638" s="16" t="str">
        <f>IFERROR(VLOOKUP(G638,'areas for question 4'!A$2:B$10,2,FALSE),"")</f>
        <v/>
      </c>
      <c r="I638" t="s">
        <v>1446</v>
      </c>
      <c r="J638" t="s">
        <v>1450</v>
      </c>
      <c r="K638" t="s">
        <v>1456</v>
      </c>
      <c r="L638" t="s">
        <v>1468</v>
      </c>
      <c r="M638" t="s">
        <v>1478</v>
      </c>
      <c r="N638" s="18">
        <v>4</v>
      </c>
    </row>
    <row r="639" spans="1:14" x14ac:dyDescent="0.25">
      <c r="A639" t="s">
        <v>773</v>
      </c>
      <c r="B639" s="7">
        <v>43659</v>
      </c>
      <c r="C639" s="4">
        <v>0.91666666666666663</v>
      </c>
      <c r="D639" s="15">
        <f t="shared" si="18"/>
        <v>22</v>
      </c>
      <c r="E639" s="15" t="str">
        <f t="shared" si="19"/>
        <v>After 15</v>
      </c>
      <c r="F639" t="s">
        <v>774</v>
      </c>
      <c r="G639" s="16" t="str">
        <f>VLOOKUP(F639,DISTRICTS!B$2:C$626,2,FALSE)</f>
        <v>CARABANCHEL</v>
      </c>
      <c r="H639" s="16" t="str">
        <f>IFERROR(VLOOKUP(G639,'areas for question 4'!A$2:B$10,2,FALSE),"")</f>
        <v/>
      </c>
      <c r="I639" t="s">
        <v>1443</v>
      </c>
      <c r="J639" t="s">
        <v>1450</v>
      </c>
      <c r="K639" t="s">
        <v>1456</v>
      </c>
      <c r="L639" t="s">
        <v>1468</v>
      </c>
      <c r="M639" t="s">
        <v>1477</v>
      </c>
      <c r="N639" s="18">
        <v>14</v>
      </c>
    </row>
    <row r="640" spans="1:14" x14ac:dyDescent="0.25">
      <c r="A640" t="s">
        <v>833</v>
      </c>
      <c r="B640" s="7">
        <v>43672</v>
      </c>
      <c r="C640" s="4">
        <v>0.49305555555555558</v>
      </c>
      <c r="D640" s="15">
        <f t="shared" si="18"/>
        <v>11</v>
      </c>
      <c r="E640" s="15" t="str">
        <f t="shared" si="19"/>
        <v>Before 15</v>
      </c>
      <c r="F640" t="s">
        <v>197</v>
      </c>
      <c r="G640" s="16" t="str">
        <f>VLOOKUP(F640,DISTRICTS!B$2:C$626,2,FALSE)</f>
        <v>CHAMARTÍN</v>
      </c>
      <c r="H640" s="16" t="str">
        <f>IFERROR(VLOOKUP(G640,'areas for question 4'!A$2:B$10,2,FALSE),"")</f>
        <v>North</v>
      </c>
      <c r="I640" t="s">
        <v>1447</v>
      </c>
      <c r="J640" t="s">
        <v>1450</v>
      </c>
      <c r="K640" t="s">
        <v>1456</v>
      </c>
      <c r="L640" t="s">
        <v>1468</v>
      </c>
      <c r="M640" t="s">
        <v>1477</v>
      </c>
      <c r="N640" s="18">
        <v>6</v>
      </c>
    </row>
    <row r="641" spans="1:14" x14ac:dyDescent="0.25">
      <c r="A641" t="s">
        <v>849</v>
      </c>
      <c r="B641" s="7">
        <v>43677</v>
      </c>
      <c r="C641" s="4">
        <v>0.42708333333333331</v>
      </c>
      <c r="D641" s="15">
        <f t="shared" si="18"/>
        <v>10</v>
      </c>
      <c r="E641" s="15" t="str">
        <f t="shared" si="19"/>
        <v>Before 15</v>
      </c>
      <c r="F641" t="s">
        <v>850</v>
      </c>
      <c r="G641" s="16" t="str">
        <f>VLOOKUP(F641,DISTRICTS!B$2:C$626,2,FALSE)</f>
        <v>ARGANZUELA</v>
      </c>
      <c r="H641" s="16" t="str">
        <f>IFERROR(VLOOKUP(G641,'areas for question 4'!A$2:B$10,2,FALSE),"")</f>
        <v/>
      </c>
      <c r="I641" t="s">
        <v>1444</v>
      </c>
      <c r="J641" t="s">
        <v>1450</v>
      </c>
      <c r="K641" t="s">
        <v>1456</v>
      </c>
      <c r="L641" t="s">
        <v>1468</v>
      </c>
      <c r="M641" t="s">
        <v>1478</v>
      </c>
      <c r="N641" s="18">
        <v>7</v>
      </c>
    </row>
    <row r="642" spans="1:14" x14ac:dyDescent="0.25">
      <c r="A642" t="s">
        <v>872</v>
      </c>
      <c r="B642" s="7">
        <v>43684</v>
      </c>
      <c r="C642" s="4">
        <v>0.3347222222222222</v>
      </c>
      <c r="D642" s="15">
        <f t="shared" si="18"/>
        <v>8</v>
      </c>
      <c r="E642" s="15" t="str">
        <f t="shared" si="19"/>
        <v>Before 15</v>
      </c>
      <c r="F642" t="s">
        <v>873</v>
      </c>
      <c r="G642" s="16" t="str">
        <f>VLOOKUP(F642,DISTRICTS!B$2:C$626,2,FALSE)</f>
        <v>BARAJAS</v>
      </c>
      <c r="H642" s="16" t="str">
        <f>IFERROR(VLOOKUP(G642,'areas for question 4'!A$2:B$10,2,FALSE),"")</f>
        <v>East</v>
      </c>
      <c r="I642" t="s">
        <v>1446</v>
      </c>
      <c r="J642" t="s">
        <v>1450</v>
      </c>
      <c r="K642" t="s">
        <v>1456</v>
      </c>
      <c r="L642" t="s">
        <v>1468</v>
      </c>
      <c r="M642" t="s">
        <v>1477</v>
      </c>
      <c r="N642" s="18">
        <v>7</v>
      </c>
    </row>
    <row r="643" spans="1:14" x14ac:dyDescent="0.25">
      <c r="A643" t="s">
        <v>880</v>
      </c>
      <c r="B643" s="7">
        <v>43685</v>
      </c>
      <c r="C643" s="4">
        <v>0.79861111111111116</v>
      </c>
      <c r="D643" s="15">
        <f t="shared" ref="D643:D706" si="20">HOUR(C643)</f>
        <v>19</v>
      </c>
      <c r="E643" s="15" t="str">
        <f t="shared" ref="E643:E706" si="21">IF(D643&lt;15,"Before 15","After 15")</f>
        <v>After 15</v>
      </c>
      <c r="F643" t="s">
        <v>881</v>
      </c>
      <c r="G643" s="16" t="str">
        <f>VLOOKUP(F643,DISTRICTS!B$2:C$626,2,FALSE)</f>
        <v>VICÁLVARO</v>
      </c>
      <c r="H643" s="16" t="str">
        <f>IFERROR(VLOOKUP(G643,'areas for question 4'!A$2:B$10,2,FALSE),"")</f>
        <v>East</v>
      </c>
      <c r="I643" t="s">
        <v>1446</v>
      </c>
      <c r="J643" t="s">
        <v>1450</v>
      </c>
      <c r="K643" t="s">
        <v>1456</v>
      </c>
      <c r="L643" t="s">
        <v>1468</v>
      </c>
      <c r="M643" t="s">
        <v>1477</v>
      </c>
      <c r="N643" s="18">
        <v>7</v>
      </c>
    </row>
    <row r="644" spans="1:14" x14ac:dyDescent="0.25">
      <c r="A644" t="s">
        <v>890</v>
      </c>
      <c r="B644" s="7">
        <v>43692</v>
      </c>
      <c r="C644" s="4">
        <v>0.71180555555555547</v>
      </c>
      <c r="D644" s="15">
        <f t="shared" si="20"/>
        <v>17</v>
      </c>
      <c r="E644" s="15" t="str">
        <f t="shared" si="21"/>
        <v>After 15</v>
      </c>
      <c r="F644" t="s">
        <v>891</v>
      </c>
      <c r="G644" s="16" t="str">
        <f>VLOOKUP(F644,DISTRICTS!B$2:C$626,2,FALSE)</f>
        <v>SAN BLAS-CANILLEJAS</v>
      </c>
      <c r="H644" s="16" t="str">
        <f>IFERROR(VLOOKUP(G644,'areas for question 4'!A$2:B$10,2,FALSE),"")</f>
        <v>East</v>
      </c>
      <c r="I644" t="s">
        <v>1446</v>
      </c>
      <c r="J644" t="s">
        <v>1450</v>
      </c>
      <c r="K644" t="s">
        <v>1456</v>
      </c>
      <c r="L644" t="s">
        <v>1468</v>
      </c>
      <c r="M644" t="s">
        <v>1477</v>
      </c>
      <c r="N644" s="18">
        <v>2</v>
      </c>
    </row>
    <row r="645" spans="1:14" x14ac:dyDescent="0.25">
      <c r="A645" t="s">
        <v>899</v>
      </c>
      <c r="B645" s="7">
        <v>43697</v>
      </c>
      <c r="C645" s="4">
        <v>0.90277777777777779</v>
      </c>
      <c r="D645" s="15">
        <f t="shared" si="20"/>
        <v>21</v>
      </c>
      <c r="E645" s="15" t="str">
        <f t="shared" si="21"/>
        <v>After 15</v>
      </c>
      <c r="F645" t="s">
        <v>900</v>
      </c>
      <c r="G645" s="16" t="str">
        <f>VLOOKUP(F645,DISTRICTS!B$2:C$626,2,FALSE)</f>
        <v>MONCLOA-ARAVACA</v>
      </c>
      <c r="H645" s="16" t="str">
        <f>IFERROR(VLOOKUP(G645,'areas for question 4'!A$2:B$10,2,FALSE),"")</f>
        <v/>
      </c>
      <c r="I645" t="s">
        <v>1446</v>
      </c>
      <c r="J645" t="s">
        <v>1450</v>
      </c>
      <c r="K645" t="s">
        <v>1456</v>
      </c>
      <c r="L645" t="s">
        <v>1468</v>
      </c>
      <c r="M645" t="s">
        <v>1477</v>
      </c>
      <c r="N645" s="18">
        <v>5</v>
      </c>
    </row>
    <row r="646" spans="1:14" x14ac:dyDescent="0.25">
      <c r="A646" t="s">
        <v>913</v>
      </c>
      <c r="B646" s="7">
        <v>43701</v>
      </c>
      <c r="C646" s="4">
        <v>0.84027777777777779</v>
      </c>
      <c r="D646" s="15">
        <f t="shared" si="20"/>
        <v>20</v>
      </c>
      <c r="E646" s="15" t="str">
        <f t="shared" si="21"/>
        <v>After 15</v>
      </c>
      <c r="F646" t="s">
        <v>914</v>
      </c>
      <c r="G646" s="16" t="str">
        <f>VLOOKUP(F646,DISTRICTS!B$2:C$626,2,FALSE)</f>
        <v>MONCLOA-ARAVACA</v>
      </c>
      <c r="H646" s="16" t="str">
        <f>IFERROR(VLOOKUP(G646,'areas for question 4'!A$2:B$10,2,FALSE),"")</f>
        <v/>
      </c>
      <c r="I646" t="s">
        <v>1443</v>
      </c>
      <c r="J646" t="s">
        <v>1450</v>
      </c>
      <c r="K646" t="s">
        <v>1456</v>
      </c>
      <c r="L646" t="s">
        <v>1468</v>
      </c>
      <c r="M646" t="s">
        <v>1478</v>
      </c>
      <c r="N646" s="18">
        <v>6</v>
      </c>
    </row>
    <row r="647" spans="1:14" x14ac:dyDescent="0.25">
      <c r="A647" t="s">
        <v>921</v>
      </c>
      <c r="B647" s="7">
        <v>43704</v>
      </c>
      <c r="C647" s="4">
        <v>0.83680555555555547</v>
      </c>
      <c r="D647" s="15">
        <f t="shared" si="20"/>
        <v>20</v>
      </c>
      <c r="E647" s="15" t="str">
        <f t="shared" si="21"/>
        <v>After 15</v>
      </c>
      <c r="F647" t="s">
        <v>922</v>
      </c>
      <c r="G647" s="16" t="str">
        <f>VLOOKUP(F647,DISTRICTS!B$2:C$626,2,FALSE)</f>
        <v>ARGANZUELA</v>
      </c>
      <c r="H647" s="16" t="str">
        <f>IFERROR(VLOOKUP(G647,'areas for question 4'!A$2:B$10,2,FALSE),"")</f>
        <v/>
      </c>
      <c r="I647" t="s">
        <v>1444</v>
      </c>
      <c r="J647" t="s">
        <v>1450</v>
      </c>
      <c r="K647" t="s">
        <v>1456</v>
      </c>
      <c r="L647" t="s">
        <v>1468</v>
      </c>
      <c r="M647" t="s">
        <v>1478</v>
      </c>
      <c r="N647" s="18">
        <v>1</v>
      </c>
    </row>
    <row r="648" spans="1:14" x14ac:dyDescent="0.25">
      <c r="A648" t="s">
        <v>939</v>
      </c>
      <c r="B648" s="7">
        <v>43708</v>
      </c>
      <c r="C648" s="4">
        <v>0.79861111111111116</v>
      </c>
      <c r="D648" s="15">
        <f t="shared" si="20"/>
        <v>19</v>
      </c>
      <c r="E648" s="15" t="str">
        <f t="shared" si="21"/>
        <v>After 15</v>
      </c>
      <c r="F648" t="s">
        <v>940</v>
      </c>
      <c r="G648" s="16" t="str">
        <f>VLOOKUP(F648,DISTRICTS!B$2:C$626,2,FALSE)</f>
        <v>BARAJAS</v>
      </c>
      <c r="H648" s="16" t="str">
        <f>IFERROR(VLOOKUP(G648,'areas for question 4'!A$2:B$10,2,FALSE),"")</f>
        <v>East</v>
      </c>
      <c r="I648" t="s">
        <v>1445</v>
      </c>
      <c r="J648" t="s">
        <v>1450</v>
      </c>
      <c r="K648" t="s">
        <v>1456</v>
      </c>
      <c r="L648" t="s">
        <v>1468</v>
      </c>
      <c r="M648" t="s">
        <v>1477</v>
      </c>
      <c r="N648" s="18">
        <v>7</v>
      </c>
    </row>
    <row r="649" spans="1:14" x14ac:dyDescent="0.25">
      <c r="A649" t="s">
        <v>947</v>
      </c>
      <c r="B649" s="7">
        <v>43709</v>
      </c>
      <c r="C649" s="4">
        <v>0.35069444444444442</v>
      </c>
      <c r="D649" s="15">
        <f t="shared" si="20"/>
        <v>8</v>
      </c>
      <c r="E649" s="15" t="str">
        <f t="shared" si="21"/>
        <v>Before 15</v>
      </c>
      <c r="F649" t="s">
        <v>948</v>
      </c>
      <c r="G649" s="16" t="str">
        <f>VLOOKUP(F649,DISTRICTS!B$2:C$626,2,FALSE)</f>
        <v>LATINA</v>
      </c>
      <c r="H649" s="16" t="str">
        <f>IFERROR(VLOOKUP(G649,'areas for question 4'!A$2:B$10,2,FALSE),"")</f>
        <v/>
      </c>
      <c r="I649" t="s">
        <v>1441</v>
      </c>
      <c r="J649" t="s">
        <v>1450</v>
      </c>
      <c r="K649" t="s">
        <v>1456</v>
      </c>
      <c r="L649" t="s">
        <v>1468</v>
      </c>
      <c r="M649" t="s">
        <v>1477</v>
      </c>
      <c r="N649" s="18">
        <v>3</v>
      </c>
    </row>
    <row r="650" spans="1:14" x14ac:dyDescent="0.25">
      <c r="A650" t="s">
        <v>951</v>
      </c>
      <c r="B650" s="7">
        <v>43710</v>
      </c>
      <c r="C650" s="4">
        <v>0.56597222222222221</v>
      </c>
      <c r="D650" s="15">
        <f t="shared" si="20"/>
        <v>13</v>
      </c>
      <c r="E650" s="15" t="str">
        <f t="shared" si="21"/>
        <v>Before 15</v>
      </c>
      <c r="F650" t="s">
        <v>340</v>
      </c>
      <c r="G650" s="16" t="str">
        <f>VLOOKUP(F650,DISTRICTS!B$2:C$626,2,FALSE)</f>
        <v>ARGANZUELA</v>
      </c>
      <c r="H650" s="16" t="str">
        <f>IFERROR(VLOOKUP(G650,'areas for question 4'!A$2:B$10,2,FALSE),"")</f>
        <v/>
      </c>
      <c r="I650" t="s">
        <v>1446</v>
      </c>
      <c r="J650" t="s">
        <v>1450</v>
      </c>
      <c r="K650" t="s">
        <v>1456</v>
      </c>
      <c r="L650" t="s">
        <v>1468</v>
      </c>
      <c r="M650" t="s">
        <v>1478</v>
      </c>
      <c r="N650" s="18">
        <v>5</v>
      </c>
    </row>
    <row r="651" spans="1:14" x14ac:dyDescent="0.25">
      <c r="A651" t="s">
        <v>974</v>
      </c>
      <c r="B651" s="7">
        <v>43715</v>
      </c>
      <c r="C651" s="4">
        <v>0.54166666666666663</v>
      </c>
      <c r="D651" s="15">
        <f t="shared" si="20"/>
        <v>13</v>
      </c>
      <c r="E651" s="15" t="str">
        <f t="shared" si="21"/>
        <v>Before 15</v>
      </c>
      <c r="F651" t="s">
        <v>975</v>
      </c>
      <c r="G651" s="16" t="str">
        <f>VLOOKUP(F651,DISTRICTS!B$2:C$626,2,FALSE)</f>
        <v>RETIRO</v>
      </c>
      <c r="H651" s="16" t="str">
        <f>IFERROR(VLOOKUP(G651,'areas for question 4'!A$2:B$10,2,FALSE),"")</f>
        <v/>
      </c>
      <c r="I651" t="s">
        <v>1441</v>
      </c>
      <c r="J651" t="s">
        <v>1450</v>
      </c>
      <c r="K651" t="s">
        <v>1456</v>
      </c>
      <c r="L651" t="s">
        <v>1468</v>
      </c>
      <c r="M651" t="s">
        <v>1477</v>
      </c>
      <c r="N651" s="18">
        <v>14</v>
      </c>
    </row>
    <row r="652" spans="1:14" x14ac:dyDescent="0.25">
      <c r="A652" t="s">
        <v>988</v>
      </c>
      <c r="B652" s="7">
        <v>43718</v>
      </c>
      <c r="C652" s="4">
        <v>0.92708333333333337</v>
      </c>
      <c r="D652" s="15">
        <f t="shared" si="20"/>
        <v>22</v>
      </c>
      <c r="E652" s="15" t="str">
        <f t="shared" si="21"/>
        <v>After 15</v>
      </c>
      <c r="F652" t="s">
        <v>197</v>
      </c>
      <c r="G652" s="16" t="str">
        <f>VLOOKUP(F652,DISTRICTS!B$2:C$626,2,FALSE)</f>
        <v>CHAMARTÍN</v>
      </c>
      <c r="H652" s="16" t="str">
        <f>IFERROR(VLOOKUP(G652,'areas for question 4'!A$2:B$10,2,FALSE),"")</f>
        <v>North</v>
      </c>
      <c r="I652" t="s">
        <v>1447</v>
      </c>
      <c r="J652" t="s">
        <v>1450</v>
      </c>
      <c r="K652" t="s">
        <v>1456</v>
      </c>
      <c r="L652" t="s">
        <v>1468</v>
      </c>
      <c r="M652" t="s">
        <v>1478</v>
      </c>
      <c r="N652" s="18">
        <v>2</v>
      </c>
    </row>
    <row r="653" spans="1:14" x14ac:dyDescent="0.25">
      <c r="A653" t="s">
        <v>994</v>
      </c>
      <c r="B653" s="7">
        <v>43718</v>
      </c>
      <c r="C653" s="4">
        <v>0.30555555555555552</v>
      </c>
      <c r="D653" s="15">
        <f t="shared" si="20"/>
        <v>7</v>
      </c>
      <c r="E653" s="15" t="str">
        <f t="shared" si="21"/>
        <v>Before 15</v>
      </c>
      <c r="F653" t="s">
        <v>995</v>
      </c>
      <c r="G653" s="16" t="str">
        <f>VLOOKUP(F653,DISTRICTS!B$2:C$626,2,FALSE)</f>
        <v>HORTALEZA</v>
      </c>
      <c r="H653" s="16" t="str">
        <f>IFERROR(VLOOKUP(G653,'areas for question 4'!A$2:B$10,2,FALSE),"")</f>
        <v/>
      </c>
      <c r="I653" t="s">
        <v>1447</v>
      </c>
      <c r="J653" t="s">
        <v>1450</v>
      </c>
      <c r="K653" t="s">
        <v>1456</v>
      </c>
      <c r="L653" t="s">
        <v>1468</v>
      </c>
      <c r="M653" t="s">
        <v>1478</v>
      </c>
      <c r="N653" s="18">
        <v>2</v>
      </c>
    </row>
    <row r="654" spans="1:14" x14ac:dyDescent="0.25">
      <c r="A654" t="s">
        <v>1009</v>
      </c>
      <c r="B654" s="7">
        <v>43721</v>
      </c>
      <c r="C654" s="4">
        <v>0.63541666666666663</v>
      </c>
      <c r="D654" s="15">
        <f t="shared" si="20"/>
        <v>15</v>
      </c>
      <c r="E654" s="15" t="str">
        <f t="shared" si="21"/>
        <v>After 15</v>
      </c>
      <c r="F654" t="s">
        <v>1010</v>
      </c>
      <c r="G654" s="16" t="str">
        <f>VLOOKUP(F654,DISTRICTS!B$2:C$626,2,FALSE)</f>
        <v>CENTRO</v>
      </c>
      <c r="H654" s="16" t="str">
        <f>IFERROR(VLOOKUP(G654,'areas for question 4'!A$2:B$10,2,FALSE),"")</f>
        <v/>
      </c>
      <c r="I654" t="s">
        <v>1444</v>
      </c>
      <c r="J654" t="s">
        <v>1452</v>
      </c>
      <c r="K654" t="s">
        <v>1456</v>
      </c>
      <c r="L654" t="s">
        <v>1468</v>
      </c>
      <c r="M654" t="s">
        <v>1478</v>
      </c>
      <c r="N654" s="18">
        <v>1</v>
      </c>
    </row>
    <row r="655" spans="1:14" x14ac:dyDescent="0.25">
      <c r="A655" t="s">
        <v>1035</v>
      </c>
      <c r="B655" s="7">
        <v>43726</v>
      </c>
      <c r="C655" s="4">
        <v>0.41666666666666669</v>
      </c>
      <c r="D655" s="15">
        <f t="shared" si="20"/>
        <v>10</v>
      </c>
      <c r="E655" s="15" t="str">
        <f t="shared" si="21"/>
        <v>Before 15</v>
      </c>
      <c r="F655" t="s">
        <v>1036</v>
      </c>
      <c r="G655" s="16" t="str">
        <f>VLOOKUP(F655,DISTRICTS!B$2:C$626,2,FALSE)</f>
        <v>PUENTE DE VALLECAS</v>
      </c>
      <c r="H655" s="16" t="str">
        <f>IFERROR(VLOOKUP(G655,'areas for question 4'!A$2:B$10,2,FALSE),"")</f>
        <v/>
      </c>
      <c r="I655" t="s">
        <v>1446</v>
      </c>
      <c r="J655" t="s">
        <v>1450</v>
      </c>
      <c r="K655" t="s">
        <v>1456</v>
      </c>
      <c r="L655" t="s">
        <v>1468</v>
      </c>
      <c r="M655" t="s">
        <v>1477</v>
      </c>
      <c r="N655" s="18">
        <v>7</v>
      </c>
    </row>
    <row r="656" spans="1:14" x14ac:dyDescent="0.25">
      <c r="A656" t="s">
        <v>1046</v>
      </c>
      <c r="B656" s="7">
        <v>43729</v>
      </c>
      <c r="C656" s="4">
        <v>0.56944444444444442</v>
      </c>
      <c r="D656" s="15">
        <f t="shared" si="20"/>
        <v>13</v>
      </c>
      <c r="E656" s="15" t="str">
        <f t="shared" si="21"/>
        <v>Before 15</v>
      </c>
      <c r="F656" t="s">
        <v>1047</v>
      </c>
      <c r="G656" s="16" t="str">
        <f>VLOOKUP(F656,DISTRICTS!B$2:C$626,2,FALSE)</f>
        <v>TETUÁN</v>
      </c>
      <c r="H656" s="16" t="str">
        <f>IFERROR(VLOOKUP(G656,'areas for question 4'!A$2:B$10,2,FALSE),"")</f>
        <v>North</v>
      </c>
      <c r="I656" t="s">
        <v>1441</v>
      </c>
      <c r="J656" t="s">
        <v>1450</v>
      </c>
      <c r="K656" t="s">
        <v>1456</v>
      </c>
      <c r="L656" t="s">
        <v>1468</v>
      </c>
      <c r="M656" t="s">
        <v>1477</v>
      </c>
      <c r="N656" s="18">
        <v>2</v>
      </c>
    </row>
    <row r="657" spans="1:14" x14ac:dyDescent="0.25">
      <c r="A657" t="s">
        <v>1083</v>
      </c>
      <c r="B657" s="7">
        <v>43736</v>
      </c>
      <c r="C657" s="4">
        <v>0.56597222222222221</v>
      </c>
      <c r="D657" s="15">
        <f t="shared" si="20"/>
        <v>13</v>
      </c>
      <c r="E657" s="15" t="str">
        <f t="shared" si="21"/>
        <v>Before 15</v>
      </c>
      <c r="F657" t="s">
        <v>914</v>
      </c>
      <c r="G657" s="16" t="str">
        <f>VLOOKUP(F657,DISTRICTS!B$2:C$626,2,FALSE)</f>
        <v>MONCLOA-ARAVACA</v>
      </c>
      <c r="H657" s="16" t="str">
        <f>IFERROR(VLOOKUP(G657,'areas for question 4'!A$2:B$10,2,FALSE),"")</f>
        <v/>
      </c>
      <c r="I657" t="s">
        <v>1444</v>
      </c>
      <c r="J657" t="s">
        <v>1450</v>
      </c>
      <c r="K657" t="s">
        <v>1456</v>
      </c>
      <c r="L657" t="s">
        <v>1468</v>
      </c>
      <c r="M657" t="s">
        <v>1477</v>
      </c>
      <c r="N657" s="18">
        <v>7</v>
      </c>
    </row>
    <row r="658" spans="1:14" x14ac:dyDescent="0.25">
      <c r="A658" t="s">
        <v>1089</v>
      </c>
      <c r="B658" s="7">
        <v>43737</v>
      </c>
      <c r="C658" s="4">
        <v>0.85486111111111107</v>
      </c>
      <c r="D658" s="15">
        <f t="shared" si="20"/>
        <v>20</v>
      </c>
      <c r="E658" s="15" t="str">
        <f t="shared" si="21"/>
        <v>After 15</v>
      </c>
      <c r="F658" t="s">
        <v>204</v>
      </c>
      <c r="G658" s="16" t="str">
        <f>VLOOKUP(F658,DISTRICTS!B$2:C$626,2,FALSE)</f>
        <v>ARGANZUELA</v>
      </c>
      <c r="H658" s="16" t="str">
        <f>IFERROR(VLOOKUP(G658,'areas for question 4'!A$2:B$10,2,FALSE),"")</f>
        <v/>
      </c>
      <c r="I658" t="s">
        <v>1444</v>
      </c>
      <c r="J658" t="s">
        <v>1450</v>
      </c>
      <c r="K658" t="s">
        <v>1456</v>
      </c>
      <c r="L658" t="s">
        <v>1468</v>
      </c>
      <c r="M658" t="s">
        <v>1477</v>
      </c>
      <c r="N658" s="18">
        <v>7</v>
      </c>
    </row>
    <row r="659" spans="1:14" x14ac:dyDescent="0.25">
      <c r="A659" t="s">
        <v>1118</v>
      </c>
      <c r="B659" s="7">
        <v>43740</v>
      </c>
      <c r="C659" s="4">
        <v>0.83680555555555547</v>
      </c>
      <c r="D659" s="15">
        <f t="shared" si="20"/>
        <v>20</v>
      </c>
      <c r="E659" s="15" t="str">
        <f t="shared" si="21"/>
        <v>After 15</v>
      </c>
      <c r="F659" t="s">
        <v>1119</v>
      </c>
      <c r="G659" s="16" t="str">
        <f>VLOOKUP(F659,DISTRICTS!B$2:C$626,2,FALSE)</f>
        <v>CARABANCHEL</v>
      </c>
      <c r="H659" s="16" t="str">
        <f>IFERROR(VLOOKUP(G659,'areas for question 4'!A$2:B$10,2,FALSE),"")</f>
        <v/>
      </c>
      <c r="I659" t="s">
        <v>1444</v>
      </c>
      <c r="J659" t="s">
        <v>1450</v>
      </c>
      <c r="K659" t="s">
        <v>1456</v>
      </c>
      <c r="L659" t="s">
        <v>1468</v>
      </c>
      <c r="M659" t="s">
        <v>1478</v>
      </c>
      <c r="N659" s="18">
        <v>6</v>
      </c>
    </row>
    <row r="660" spans="1:14" x14ac:dyDescent="0.25">
      <c r="A660" t="s">
        <v>1132</v>
      </c>
      <c r="B660" s="7">
        <v>43741</v>
      </c>
      <c r="C660" s="4">
        <v>0.59027777777777779</v>
      </c>
      <c r="D660" s="15">
        <f t="shared" si="20"/>
        <v>14</v>
      </c>
      <c r="E660" s="15" t="str">
        <f t="shared" si="21"/>
        <v>Before 15</v>
      </c>
      <c r="F660" t="s">
        <v>156</v>
      </c>
      <c r="G660" s="16" t="str">
        <f>VLOOKUP(F660,DISTRICTS!B$2:C$626,2,FALSE)</f>
        <v>CHAMBERÍ</v>
      </c>
      <c r="H660" s="16" t="str">
        <f>IFERROR(VLOOKUP(G660,'areas for question 4'!A$2:B$10,2,FALSE),"")</f>
        <v>North</v>
      </c>
      <c r="I660" t="s">
        <v>1446</v>
      </c>
      <c r="J660" t="s">
        <v>1450</v>
      </c>
      <c r="K660" t="s">
        <v>1456</v>
      </c>
      <c r="L660" t="s">
        <v>1468</v>
      </c>
      <c r="M660" t="s">
        <v>1477</v>
      </c>
      <c r="N660" s="18">
        <v>14</v>
      </c>
    </row>
    <row r="661" spans="1:14" x14ac:dyDescent="0.25">
      <c r="A661" t="s">
        <v>1138</v>
      </c>
      <c r="B661" s="7">
        <v>43742</v>
      </c>
      <c r="C661" s="4">
        <v>0.71736111111111101</v>
      </c>
      <c r="D661" s="15">
        <f t="shared" si="20"/>
        <v>17</v>
      </c>
      <c r="E661" s="15" t="str">
        <f t="shared" si="21"/>
        <v>After 15</v>
      </c>
      <c r="F661" t="s">
        <v>1139</v>
      </c>
      <c r="G661" s="16" t="str">
        <f>VLOOKUP(F661,DISTRICTS!B$2:C$626,2,FALSE)</f>
        <v>LATINA</v>
      </c>
      <c r="H661" s="16" t="str">
        <f>IFERROR(VLOOKUP(G661,'areas for question 4'!A$2:B$10,2,FALSE),"")</f>
        <v/>
      </c>
      <c r="I661" t="s">
        <v>1443</v>
      </c>
      <c r="J661" t="s">
        <v>1455</v>
      </c>
      <c r="K661" t="s">
        <v>1456</v>
      </c>
      <c r="L661" t="s">
        <v>1468</v>
      </c>
      <c r="M661" t="s">
        <v>1477</v>
      </c>
      <c r="N661" s="18">
        <v>14</v>
      </c>
    </row>
    <row r="662" spans="1:14" x14ac:dyDescent="0.25">
      <c r="A662" t="s">
        <v>1150</v>
      </c>
      <c r="B662" s="7">
        <v>43743</v>
      </c>
      <c r="C662" s="4">
        <v>0.45833333333333331</v>
      </c>
      <c r="D662" s="15">
        <f t="shared" si="20"/>
        <v>11</v>
      </c>
      <c r="E662" s="15" t="str">
        <f t="shared" si="21"/>
        <v>Before 15</v>
      </c>
      <c r="F662" t="s">
        <v>1151</v>
      </c>
      <c r="G662" s="16" t="str">
        <f>VLOOKUP(F662,DISTRICTS!B$2:C$626,2,FALSE)</f>
        <v>HORTALEZA</v>
      </c>
      <c r="H662" s="16" t="str">
        <f>IFERROR(VLOOKUP(G662,'areas for question 4'!A$2:B$10,2,FALSE),"")</f>
        <v/>
      </c>
      <c r="I662" t="s">
        <v>1444</v>
      </c>
      <c r="J662" t="s">
        <v>1450</v>
      </c>
      <c r="K662" t="s">
        <v>1456</v>
      </c>
      <c r="L662" t="s">
        <v>1468</v>
      </c>
      <c r="M662" t="s">
        <v>1477</v>
      </c>
      <c r="N662" s="18">
        <v>2</v>
      </c>
    </row>
    <row r="663" spans="1:14" x14ac:dyDescent="0.25">
      <c r="A663" t="s">
        <v>1154</v>
      </c>
      <c r="B663" s="7">
        <v>43743</v>
      </c>
      <c r="C663" s="4">
        <v>7.2916666666666671E-2</v>
      </c>
      <c r="D663" s="15">
        <f t="shared" si="20"/>
        <v>1</v>
      </c>
      <c r="E663" s="15" t="str">
        <f t="shared" si="21"/>
        <v>Before 15</v>
      </c>
      <c r="F663" t="s">
        <v>1155</v>
      </c>
      <c r="G663" s="16" t="str">
        <f>VLOOKUP(F663,DISTRICTS!B$2:C$626,2,FALSE)</f>
        <v>ARGANZUELA</v>
      </c>
      <c r="H663" s="16" t="str">
        <f>IFERROR(VLOOKUP(G663,'areas for question 4'!A$2:B$10,2,FALSE),"")</f>
        <v/>
      </c>
      <c r="I663" t="s">
        <v>1443</v>
      </c>
      <c r="J663" t="s">
        <v>1450</v>
      </c>
      <c r="K663" t="s">
        <v>1458</v>
      </c>
      <c r="L663" t="s">
        <v>1468</v>
      </c>
      <c r="M663" t="s">
        <v>1478</v>
      </c>
      <c r="N663" s="18">
        <v>7</v>
      </c>
    </row>
    <row r="664" spans="1:14" x14ac:dyDescent="0.25">
      <c r="A664" t="s">
        <v>1163</v>
      </c>
      <c r="B664" s="7">
        <v>43745</v>
      </c>
      <c r="C664" s="4">
        <v>0.42708333333333331</v>
      </c>
      <c r="D664" s="15">
        <f t="shared" si="20"/>
        <v>10</v>
      </c>
      <c r="E664" s="15" t="str">
        <f t="shared" si="21"/>
        <v>Before 15</v>
      </c>
      <c r="F664" t="s">
        <v>1164</v>
      </c>
      <c r="G664" s="16" t="str">
        <f>VLOOKUP(F664,DISTRICTS!B$2:C$626,2,FALSE)</f>
        <v>HORTALEZA</v>
      </c>
      <c r="H664" s="16" t="str">
        <f>IFERROR(VLOOKUP(G664,'areas for question 4'!A$2:B$10,2,FALSE),"")</f>
        <v/>
      </c>
      <c r="I664" t="s">
        <v>1446</v>
      </c>
      <c r="J664" t="s">
        <v>1450</v>
      </c>
      <c r="K664" t="s">
        <v>1456</v>
      </c>
      <c r="L664" t="s">
        <v>1468</v>
      </c>
      <c r="M664" t="s">
        <v>1478</v>
      </c>
      <c r="N664" s="18">
        <v>7</v>
      </c>
    </row>
    <row r="665" spans="1:14" x14ac:dyDescent="0.25">
      <c r="A665" t="s">
        <v>1175</v>
      </c>
      <c r="B665" s="7">
        <v>43748</v>
      </c>
      <c r="C665" s="4">
        <v>0.75</v>
      </c>
      <c r="D665" s="15">
        <f t="shared" si="20"/>
        <v>18</v>
      </c>
      <c r="E665" s="15" t="str">
        <f t="shared" si="21"/>
        <v>After 15</v>
      </c>
      <c r="F665" t="s">
        <v>99</v>
      </c>
      <c r="G665" s="16" t="str">
        <f>VLOOKUP(F665,DISTRICTS!B$2:C$626,2,FALSE)</f>
        <v>CENTRO</v>
      </c>
      <c r="H665" s="16" t="str">
        <f>IFERROR(VLOOKUP(G665,'areas for question 4'!A$2:B$10,2,FALSE),"")</f>
        <v/>
      </c>
      <c r="I665" t="s">
        <v>1447</v>
      </c>
      <c r="J665" t="s">
        <v>1450</v>
      </c>
      <c r="K665" t="s">
        <v>1456</v>
      </c>
      <c r="L665" t="s">
        <v>1468</v>
      </c>
      <c r="M665" t="s">
        <v>1477</v>
      </c>
      <c r="N665" s="18">
        <v>6</v>
      </c>
    </row>
    <row r="666" spans="1:14" x14ac:dyDescent="0.25">
      <c r="A666" t="s">
        <v>1185</v>
      </c>
      <c r="B666" s="7">
        <v>43752</v>
      </c>
      <c r="C666" s="4">
        <v>0.4201388888888889</v>
      </c>
      <c r="D666" s="15">
        <f t="shared" si="20"/>
        <v>10</v>
      </c>
      <c r="E666" s="15" t="str">
        <f t="shared" si="21"/>
        <v>Before 15</v>
      </c>
      <c r="F666" t="s">
        <v>1186</v>
      </c>
      <c r="G666" s="16" t="str">
        <f>VLOOKUP(F666,DISTRICTS!B$2:C$626,2,FALSE)</f>
        <v>RETIRO</v>
      </c>
      <c r="H666" s="16" t="str">
        <f>IFERROR(VLOOKUP(G666,'areas for question 4'!A$2:B$10,2,FALSE),"")</f>
        <v/>
      </c>
      <c r="I666" t="s">
        <v>1444</v>
      </c>
      <c r="J666" t="s">
        <v>1450</v>
      </c>
      <c r="K666" t="s">
        <v>1456</v>
      </c>
      <c r="L666" t="s">
        <v>1468</v>
      </c>
      <c r="M666" t="s">
        <v>1477</v>
      </c>
      <c r="N666" s="18">
        <v>2</v>
      </c>
    </row>
    <row r="667" spans="1:14" x14ac:dyDescent="0.25">
      <c r="A667" t="s">
        <v>1204</v>
      </c>
      <c r="B667" s="7">
        <v>43755</v>
      </c>
      <c r="C667" s="4">
        <v>0.66666666666666663</v>
      </c>
      <c r="D667" s="15">
        <f t="shared" si="20"/>
        <v>16</v>
      </c>
      <c r="E667" s="15" t="str">
        <f t="shared" si="21"/>
        <v>After 15</v>
      </c>
      <c r="F667" t="s">
        <v>103</v>
      </c>
      <c r="G667" s="16" t="str">
        <f>VLOOKUP(F667,DISTRICTS!B$2:C$626,2,FALSE)</f>
        <v>CENTRO</v>
      </c>
      <c r="H667" s="16" t="str">
        <f>IFERROR(VLOOKUP(G667,'areas for question 4'!A$2:B$10,2,FALSE),"")</f>
        <v/>
      </c>
      <c r="I667" t="s">
        <v>1441</v>
      </c>
      <c r="J667" t="s">
        <v>1450</v>
      </c>
      <c r="K667" t="s">
        <v>1456</v>
      </c>
      <c r="L667" t="s">
        <v>1468</v>
      </c>
      <c r="M667" t="s">
        <v>1477</v>
      </c>
      <c r="N667" s="18">
        <v>7</v>
      </c>
    </row>
    <row r="668" spans="1:14" x14ac:dyDescent="0.25">
      <c r="A668" t="s">
        <v>1208</v>
      </c>
      <c r="B668" s="7">
        <v>43755</v>
      </c>
      <c r="C668" s="4">
        <v>0.2951388888888889</v>
      </c>
      <c r="D668" s="15">
        <f t="shared" si="20"/>
        <v>7</v>
      </c>
      <c r="E668" s="15" t="str">
        <f t="shared" si="21"/>
        <v>Before 15</v>
      </c>
      <c r="F668" t="s">
        <v>1209</v>
      </c>
      <c r="G668" s="16" t="str">
        <f>VLOOKUP(F668,DISTRICTS!B$2:C$626,2,FALSE)</f>
        <v>MORATALAZ</v>
      </c>
      <c r="H668" s="16" t="str">
        <f>IFERROR(VLOOKUP(G668,'areas for question 4'!A$2:B$10,2,FALSE),"")</f>
        <v>East</v>
      </c>
      <c r="I668" t="s">
        <v>1446</v>
      </c>
      <c r="J668" t="s">
        <v>1452</v>
      </c>
      <c r="K668" t="s">
        <v>1456</v>
      </c>
      <c r="L668" t="s">
        <v>1468</v>
      </c>
      <c r="M668" t="s">
        <v>1478</v>
      </c>
      <c r="N668" s="18">
        <v>7</v>
      </c>
    </row>
    <row r="669" spans="1:14" x14ac:dyDescent="0.25">
      <c r="A669" t="s">
        <v>1210</v>
      </c>
      <c r="B669" s="7">
        <v>43756</v>
      </c>
      <c r="C669" s="4">
        <v>0.64236111111111105</v>
      </c>
      <c r="D669" s="15">
        <f t="shared" si="20"/>
        <v>15</v>
      </c>
      <c r="E669" s="15" t="str">
        <f t="shared" si="21"/>
        <v>After 15</v>
      </c>
      <c r="F669" t="s">
        <v>67</v>
      </c>
      <c r="G669" s="16" t="str">
        <f>VLOOKUP(F669,DISTRICTS!B$2:C$626,2,FALSE)</f>
        <v>CHAMARTÍN</v>
      </c>
      <c r="H669" s="16" t="str">
        <f>IFERROR(VLOOKUP(G669,'areas for question 4'!A$2:B$10,2,FALSE),"")</f>
        <v>North</v>
      </c>
      <c r="I669" t="s">
        <v>1441</v>
      </c>
      <c r="J669" t="s">
        <v>1450</v>
      </c>
      <c r="K669" t="s">
        <v>1456</v>
      </c>
      <c r="L669" t="s">
        <v>1468</v>
      </c>
      <c r="M669" t="s">
        <v>1477</v>
      </c>
      <c r="N669" s="18">
        <v>14</v>
      </c>
    </row>
    <row r="670" spans="1:14" x14ac:dyDescent="0.25">
      <c r="A670" t="s">
        <v>1212</v>
      </c>
      <c r="B670" s="7">
        <v>43756</v>
      </c>
      <c r="C670" s="4">
        <v>0.34375</v>
      </c>
      <c r="D670" s="15">
        <f t="shared" si="20"/>
        <v>8</v>
      </c>
      <c r="E670" s="15" t="str">
        <f t="shared" si="21"/>
        <v>Before 15</v>
      </c>
      <c r="F670" t="s">
        <v>258</v>
      </c>
      <c r="G670" s="16" t="str">
        <f>VLOOKUP(F670,DISTRICTS!B$2:C$626,2,FALSE)</f>
        <v>TETUÁN</v>
      </c>
      <c r="H670" s="16" t="str">
        <f>IFERROR(VLOOKUP(G670,'areas for question 4'!A$2:B$10,2,FALSE),"")</f>
        <v>North</v>
      </c>
      <c r="I670" t="s">
        <v>1444</v>
      </c>
      <c r="J670" t="s">
        <v>1452</v>
      </c>
      <c r="K670" t="s">
        <v>1456</v>
      </c>
      <c r="L670" t="s">
        <v>1468</v>
      </c>
      <c r="M670" t="s">
        <v>1477</v>
      </c>
      <c r="N670" s="18">
        <v>6</v>
      </c>
    </row>
    <row r="671" spans="1:14" x14ac:dyDescent="0.25">
      <c r="A671" t="s">
        <v>1218</v>
      </c>
      <c r="B671" s="7">
        <v>43758</v>
      </c>
      <c r="C671" s="4">
        <v>0.45833333333333331</v>
      </c>
      <c r="D671" s="15">
        <f t="shared" si="20"/>
        <v>11</v>
      </c>
      <c r="E671" s="15" t="str">
        <f t="shared" si="21"/>
        <v>Before 15</v>
      </c>
      <c r="F671" t="s">
        <v>1219</v>
      </c>
      <c r="G671" s="16" t="str">
        <f>VLOOKUP(F671,DISTRICTS!B$2:C$626,2,FALSE)</f>
        <v>LATINA</v>
      </c>
      <c r="H671" s="16" t="str">
        <f>IFERROR(VLOOKUP(G671,'areas for question 4'!A$2:B$10,2,FALSE),"")</f>
        <v/>
      </c>
      <c r="I671" t="s">
        <v>1447</v>
      </c>
      <c r="J671" t="s">
        <v>1450</v>
      </c>
      <c r="K671" t="s">
        <v>1456</v>
      </c>
      <c r="L671" t="s">
        <v>1468</v>
      </c>
      <c r="M671" t="s">
        <v>1478</v>
      </c>
      <c r="N671" s="18">
        <v>7</v>
      </c>
    </row>
    <row r="672" spans="1:14" x14ac:dyDescent="0.25">
      <c r="A672" t="s">
        <v>1220</v>
      </c>
      <c r="B672" s="7">
        <v>43759</v>
      </c>
      <c r="C672" s="4">
        <v>0.64236111111111105</v>
      </c>
      <c r="D672" s="15">
        <f t="shared" si="20"/>
        <v>15</v>
      </c>
      <c r="E672" s="15" t="str">
        <f t="shared" si="21"/>
        <v>After 15</v>
      </c>
      <c r="F672" t="s">
        <v>1221</v>
      </c>
      <c r="G672" s="16" t="str">
        <f>VLOOKUP(F672,DISTRICTS!B$2:C$626,2,FALSE)</f>
        <v>RETIRO</v>
      </c>
      <c r="H672" s="16" t="str">
        <f>IFERROR(VLOOKUP(G672,'areas for question 4'!A$2:B$10,2,FALSE),"")</f>
        <v/>
      </c>
      <c r="I672" t="s">
        <v>1443</v>
      </c>
      <c r="J672" t="s">
        <v>1450</v>
      </c>
      <c r="K672" t="s">
        <v>1458</v>
      </c>
      <c r="L672" t="s">
        <v>1468</v>
      </c>
      <c r="M672" t="s">
        <v>1477</v>
      </c>
      <c r="N672" s="18">
        <v>7</v>
      </c>
    </row>
    <row r="673" spans="1:14" x14ac:dyDescent="0.25">
      <c r="A673" t="s">
        <v>1332</v>
      </c>
      <c r="B673" s="7">
        <v>43793</v>
      </c>
      <c r="C673" s="4">
        <v>0.39930555555555558</v>
      </c>
      <c r="D673" s="15">
        <f t="shared" si="20"/>
        <v>9</v>
      </c>
      <c r="E673" s="15" t="str">
        <f t="shared" si="21"/>
        <v>Before 15</v>
      </c>
      <c r="F673" t="s">
        <v>1333</v>
      </c>
      <c r="G673" s="16" t="str">
        <f>VLOOKUP(F673,DISTRICTS!B$2:C$626,2,FALSE)</f>
        <v>FUENCARRAL-EL PARDO</v>
      </c>
      <c r="H673" s="16" t="str">
        <f>IFERROR(VLOOKUP(G673,'areas for question 4'!A$2:B$10,2,FALSE),"")</f>
        <v>North</v>
      </c>
      <c r="I673" t="s">
        <v>1444</v>
      </c>
      <c r="J673" t="s">
        <v>1450</v>
      </c>
      <c r="K673" t="s">
        <v>1456</v>
      </c>
      <c r="L673" t="s">
        <v>1468</v>
      </c>
      <c r="M673" t="s">
        <v>1477</v>
      </c>
      <c r="N673" s="18">
        <v>6</v>
      </c>
    </row>
    <row r="674" spans="1:14" x14ac:dyDescent="0.25">
      <c r="A674" t="s">
        <v>1379</v>
      </c>
      <c r="B674" s="7">
        <v>43812</v>
      </c>
      <c r="C674" s="4">
        <v>0.83333333333333337</v>
      </c>
      <c r="D674" s="15">
        <f t="shared" si="20"/>
        <v>20</v>
      </c>
      <c r="E674" s="15" t="str">
        <f t="shared" si="21"/>
        <v>After 15</v>
      </c>
      <c r="F674" t="s">
        <v>1380</v>
      </c>
      <c r="G674" s="16" t="str">
        <f>VLOOKUP(F674,DISTRICTS!B$2:C$626,2,FALSE)</f>
        <v>CHAMBERÍ</v>
      </c>
      <c r="H674" s="16" t="str">
        <f>IFERROR(VLOOKUP(G674,'areas for question 4'!A$2:B$10,2,FALSE),"")</f>
        <v>North</v>
      </c>
      <c r="I674" t="s">
        <v>1444</v>
      </c>
      <c r="J674" t="s">
        <v>1450</v>
      </c>
      <c r="K674" t="s">
        <v>1456</v>
      </c>
      <c r="L674" t="s">
        <v>1468</v>
      </c>
      <c r="M674" t="s">
        <v>1477</v>
      </c>
      <c r="N674" s="18">
        <v>2</v>
      </c>
    </row>
    <row r="675" spans="1:14" x14ac:dyDescent="0.25">
      <c r="A675" t="s">
        <v>1390</v>
      </c>
      <c r="B675" s="7">
        <v>43815</v>
      </c>
      <c r="C675" s="4">
        <v>0.47569444444444442</v>
      </c>
      <c r="D675" s="15">
        <f t="shared" si="20"/>
        <v>11</v>
      </c>
      <c r="E675" s="15" t="str">
        <f t="shared" si="21"/>
        <v>Before 15</v>
      </c>
      <c r="F675" t="s">
        <v>1391</v>
      </c>
      <c r="G675" s="16" t="str">
        <f>VLOOKUP(F675,DISTRICTS!B$2:C$626,2,FALSE)</f>
        <v>MONCLOA-ARAVACA</v>
      </c>
      <c r="H675" s="16" t="str">
        <f>IFERROR(VLOOKUP(G675,'areas for question 4'!A$2:B$10,2,FALSE),"")</f>
        <v/>
      </c>
      <c r="I675" t="s">
        <v>1443</v>
      </c>
      <c r="J675" t="s">
        <v>1450</v>
      </c>
      <c r="K675" t="s">
        <v>1456</v>
      </c>
      <c r="L675" t="s">
        <v>1468</v>
      </c>
      <c r="M675" t="s">
        <v>1477</v>
      </c>
      <c r="N675" s="18">
        <v>14</v>
      </c>
    </row>
    <row r="676" spans="1:14" x14ac:dyDescent="0.25">
      <c r="A676" t="s">
        <v>1407</v>
      </c>
      <c r="B676" s="7">
        <v>43818</v>
      </c>
      <c r="C676" s="4">
        <v>0.32291666666666669</v>
      </c>
      <c r="D676" s="15">
        <f t="shared" si="20"/>
        <v>7</v>
      </c>
      <c r="E676" s="15" t="str">
        <f t="shared" si="21"/>
        <v>Before 15</v>
      </c>
      <c r="F676" t="s">
        <v>1408</v>
      </c>
      <c r="G676" s="16" t="str">
        <f>VLOOKUP(F676,DISTRICTS!B$2:C$626,2,FALSE)</f>
        <v>CIUDAD LINEAL</v>
      </c>
      <c r="H676" s="16" t="str">
        <f>IFERROR(VLOOKUP(G676,'areas for question 4'!A$2:B$10,2,FALSE),"")</f>
        <v>East</v>
      </c>
      <c r="I676" t="s">
        <v>1446</v>
      </c>
      <c r="J676" t="s">
        <v>1452</v>
      </c>
      <c r="K676" t="s">
        <v>1456</v>
      </c>
      <c r="L676" t="s">
        <v>1468</v>
      </c>
      <c r="M676" t="s">
        <v>1477</v>
      </c>
      <c r="N676" s="18">
        <v>1</v>
      </c>
    </row>
    <row r="677" spans="1:14" x14ac:dyDescent="0.25">
      <c r="A677" s="5" t="s">
        <v>35</v>
      </c>
      <c r="B677" s="7">
        <v>43475</v>
      </c>
      <c r="C677" s="4">
        <v>0.85416666666666663</v>
      </c>
      <c r="D677" s="15">
        <f t="shared" si="20"/>
        <v>20</v>
      </c>
      <c r="E677" s="15" t="str">
        <f t="shared" si="21"/>
        <v>After 15</v>
      </c>
      <c r="F677" t="s">
        <v>36</v>
      </c>
      <c r="G677" s="16" t="str">
        <f>VLOOKUP(F677,DISTRICTS!B$2:C$626,2,FALSE)</f>
        <v>ARGANZUELA</v>
      </c>
      <c r="H677" s="16" t="str">
        <f>IFERROR(VLOOKUP(G677,'areas for question 4'!A$2:B$10,2,FALSE),"")</f>
        <v/>
      </c>
      <c r="I677" t="s">
        <v>1444</v>
      </c>
      <c r="J677" t="s">
        <v>1450</v>
      </c>
      <c r="K677" t="s">
        <v>1456</v>
      </c>
      <c r="L677" t="s">
        <v>1469</v>
      </c>
      <c r="M677" s="5" t="s">
        <v>1477</v>
      </c>
      <c r="N677" s="18">
        <v>2</v>
      </c>
    </row>
    <row r="678" spans="1:14" x14ac:dyDescent="0.25">
      <c r="A678" s="5" t="s">
        <v>55</v>
      </c>
      <c r="B678" s="7">
        <v>43479</v>
      </c>
      <c r="C678" s="4">
        <v>0.6875</v>
      </c>
      <c r="D678" s="15">
        <f t="shared" si="20"/>
        <v>16</v>
      </c>
      <c r="E678" s="15" t="str">
        <f t="shared" si="21"/>
        <v>After 15</v>
      </c>
      <c r="F678" t="s">
        <v>56</v>
      </c>
      <c r="G678" s="16" t="str">
        <f>VLOOKUP(F678,DISTRICTS!B$2:C$626,2,FALSE)</f>
        <v>CIUDAD LINEAL</v>
      </c>
      <c r="H678" s="16" t="str">
        <f>IFERROR(VLOOKUP(G678,'areas for question 4'!A$2:B$10,2,FALSE),"")</f>
        <v>East</v>
      </c>
      <c r="I678" t="s">
        <v>1447</v>
      </c>
      <c r="J678" t="s">
        <v>1450</v>
      </c>
      <c r="K678" t="s">
        <v>1456</v>
      </c>
      <c r="L678" t="s">
        <v>1469</v>
      </c>
      <c r="M678" s="5" t="s">
        <v>1478</v>
      </c>
      <c r="N678" s="18">
        <v>14</v>
      </c>
    </row>
    <row r="679" spans="1:14" x14ac:dyDescent="0.25">
      <c r="A679" s="5" t="s">
        <v>77</v>
      </c>
      <c r="B679" s="7">
        <v>43483</v>
      </c>
      <c r="C679" s="4">
        <v>0.3298611111111111</v>
      </c>
      <c r="D679" s="15">
        <f t="shared" si="20"/>
        <v>7</v>
      </c>
      <c r="E679" s="15" t="str">
        <f t="shared" si="21"/>
        <v>Before 15</v>
      </c>
      <c r="F679" t="s">
        <v>78</v>
      </c>
      <c r="G679" s="16" t="str">
        <f>VLOOKUP(F679,DISTRICTS!B$2:C$626,2,FALSE)</f>
        <v>CENTRO</v>
      </c>
      <c r="H679" s="16" t="str">
        <f>IFERROR(VLOOKUP(G679,'areas for question 4'!A$2:B$10,2,FALSE),"")</f>
        <v/>
      </c>
      <c r="I679" t="s">
        <v>1444</v>
      </c>
      <c r="J679" t="s">
        <v>1450</v>
      </c>
      <c r="K679" t="s">
        <v>1456</v>
      </c>
      <c r="L679" t="s">
        <v>1469</v>
      </c>
      <c r="M679" s="5" t="s">
        <v>1477</v>
      </c>
      <c r="N679" s="18">
        <v>2</v>
      </c>
    </row>
    <row r="680" spans="1:14" x14ac:dyDescent="0.25">
      <c r="A680" t="s">
        <v>116</v>
      </c>
      <c r="B680" s="7">
        <v>43498</v>
      </c>
      <c r="C680" s="4">
        <v>0.46319444444444446</v>
      </c>
      <c r="D680" s="15">
        <f t="shared" si="20"/>
        <v>11</v>
      </c>
      <c r="E680" s="15" t="str">
        <f t="shared" si="21"/>
        <v>Before 15</v>
      </c>
      <c r="F680" t="s">
        <v>117</v>
      </c>
      <c r="G680" s="16" t="str">
        <f>VLOOKUP(F680,DISTRICTS!B$2:C$626,2,FALSE)</f>
        <v>USERA</v>
      </c>
      <c r="H680" s="16" t="str">
        <f>IFERROR(VLOOKUP(G680,'areas for question 4'!A$2:B$10,2,FALSE),"")</f>
        <v/>
      </c>
      <c r="I680" t="s">
        <v>1443</v>
      </c>
      <c r="J680" t="s">
        <v>1450</v>
      </c>
      <c r="K680" t="s">
        <v>1456</v>
      </c>
      <c r="L680" t="s">
        <v>1469</v>
      </c>
      <c r="M680" t="s">
        <v>1478</v>
      </c>
      <c r="N680" s="18">
        <v>14</v>
      </c>
    </row>
    <row r="681" spans="1:14" x14ac:dyDescent="0.25">
      <c r="A681" t="s">
        <v>127</v>
      </c>
      <c r="B681" s="7">
        <v>43502</v>
      </c>
      <c r="C681" s="4">
        <v>0.43402777777777773</v>
      </c>
      <c r="D681" s="15">
        <f t="shared" si="20"/>
        <v>10</v>
      </c>
      <c r="E681" s="15" t="str">
        <f t="shared" si="21"/>
        <v>Before 15</v>
      </c>
      <c r="F681" t="s">
        <v>128</v>
      </c>
      <c r="G681" s="16" t="str">
        <f>VLOOKUP(F681,DISTRICTS!B$2:C$626,2,FALSE)</f>
        <v>SALAMANCA</v>
      </c>
      <c r="H681" s="16" t="str">
        <f>IFERROR(VLOOKUP(G681,'areas for question 4'!A$2:B$10,2,FALSE),"")</f>
        <v/>
      </c>
      <c r="I681" t="s">
        <v>1446</v>
      </c>
      <c r="J681" t="s">
        <v>1450</v>
      </c>
      <c r="K681" t="s">
        <v>1456</v>
      </c>
      <c r="L681" t="s">
        <v>1469</v>
      </c>
      <c r="M681" t="s">
        <v>1477</v>
      </c>
      <c r="N681" s="18">
        <v>2</v>
      </c>
    </row>
    <row r="682" spans="1:14" x14ac:dyDescent="0.25">
      <c r="A682" t="s">
        <v>136</v>
      </c>
      <c r="B682" s="7">
        <v>43504</v>
      </c>
      <c r="C682" s="4">
        <v>0.9375</v>
      </c>
      <c r="D682" s="15">
        <f t="shared" si="20"/>
        <v>22</v>
      </c>
      <c r="E682" s="15" t="str">
        <f t="shared" si="21"/>
        <v>After 15</v>
      </c>
      <c r="F682" t="s">
        <v>99</v>
      </c>
      <c r="G682" s="16" t="str">
        <f>VLOOKUP(F682,DISTRICTS!B$2:C$626,2,FALSE)</f>
        <v>CENTRO</v>
      </c>
      <c r="H682" s="16" t="str">
        <f>IFERROR(VLOOKUP(G682,'areas for question 4'!A$2:B$10,2,FALSE),"")</f>
        <v/>
      </c>
      <c r="I682" t="s">
        <v>1444</v>
      </c>
      <c r="J682" t="s">
        <v>1455</v>
      </c>
      <c r="K682" t="s">
        <v>1456</v>
      </c>
      <c r="L682" t="s">
        <v>1469</v>
      </c>
      <c r="M682" t="s">
        <v>1478</v>
      </c>
      <c r="N682" s="18">
        <v>7</v>
      </c>
    </row>
    <row r="683" spans="1:14" x14ac:dyDescent="0.25">
      <c r="A683" t="s">
        <v>159</v>
      </c>
      <c r="B683" s="7">
        <v>43510</v>
      </c>
      <c r="C683" s="4">
        <v>0.75</v>
      </c>
      <c r="D683" s="15">
        <f t="shared" si="20"/>
        <v>18</v>
      </c>
      <c r="E683" s="15" t="str">
        <f t="shared" si="21"/>
        <v>After 15</v>
      </c>
      <c r="F683" t="s">
        <v>160</v>
      </c>
      <c r="G683" s="16" t="str">
        <f>VLOOKUP(F683,DISTRICTS!B$2:C$626,2,FALSE)</f>
        <v>MORATALAZ</v>
      </c>
      <c r="H683" s="16" t="str">
        <f>IFERROR(VLOOKUP(G683,'areas for question 4'!A$2:B$10,2,FALSE),"")</f>
        <v>East</v>
      </c>
      <c r="I683" t="s">
        <v>1441</v>
      </c>
      <c r="J683" t="s">
        <v>1450</v>
      </c>
      <c r="K683" t="s">
        <v>1456</v>
      </c>
      <c r="L683" t="s">
        <v>1469</v>
      </c>
      <c r="M683" t="s">
        <v>1477</v>
      </c>
      <c r="N683" s="18">
        <v>7</v>
      </c>
    </row>
    <row r="684" spans="1:14" x14ac:dyDescent="0.25">
      <c r="A684" t="s">
        <v>173</v>
      </c>
      <c r="B684" s="7">
        <v>43515</v>
      </c>
      <c r="C684" s="4">
        <v>0.49791666666666662</v>
      </c>
      <c r="D684" s="15">
        <f t="shared" si="20"/>
        <v>11</v>
      </c>
      <c r="E684" s="15" t="str">
        <f t="shared" si="21"/>
        <v>Before 15</v>
      </c>
      <c r="F684" t="s">
        <v>174</v>
      </c>
      <c r="G684" s="16" t="str">
        <f>VLOOKUP(F684,DISTRICTS!B$2:C$626,2,FALSE)</f>
        <v>LATINA</v>
      </c>
      <c r="H684" s="16" t="str">
        <f>IFERROR(VLOOKUP(G684,'areas for question 4'!A$2:B$10,2,FALSE),"")</f>
        <v/>
      </c>
      <c r="I684" t="s">
        <v>1446</v>
      </c>
      <c r="J684" t="s">
        <v>1450</v>
      </c>
      <c r="K684" t="s">
        <v>1456</v>
      </c>
      <c r="L684" t="s">
        <v>1469</v>
      </c>
      <c r="M684" t="s">
        <v>1477</v>
      </c>
      <c r="N684" s="18">
        <v>7</v>
      </c>
    </row>
    <row r="685" spans="1:14" x14ac:dyDescent="0.25">
      <c r="A685" t="s">
        <v>191</v>
      </c>
      <c r="B685" s="7">
        <v>43523</v>
      </c>
      <c r="C685" s="4">
        <v>0.43402777777777773</v>
      </c>
      <c r="D685" s="15">
        <f t="shared" si="20"/>
        <v>10</v>
      </c>
      <c r="E685" s="15" t="str">
        <f t="shared" si="21"/>
        <v>Before 15</v>
      </c>
      <c r="F685" t="s">
        <v>192</v>
      </c>
      <c r="G685" s="16" t="str">
        <f>VLOOKUP(F685,DISTRICTS!B$2:C$626,2,FALSE)</f>
        <v>RETIRO</v>
      </c>
      <c r="H685" s="16" t="str">
        <f>IFERROR(VLOOKUP(G685,'areas for question 4'!A$2:B$10,2,FALSE),"")</f>
        <v/>
      </c>
      <c r="I685" t="s">
        <v>1444</v>
      </c>
      <c r="J685" t="s">
        <v>1450</v>
      </c>
      <c r="K685" t="s">
        <v>1456</v>
      </c>
      <c r="L685" t="s">
        <v>1469</v>
      </c>
      <c r="M685" t="s">
        <v>1477</v>
      </c>
      <c r="N685" s="18">
        <v>6</v>
      </c>
    </row>
    <row r="686" spans="1:14" x14ac:dyDescent="0.25">
      <c r="A686" t="s">
        <v>199</v>
      </c>
      <c r="B686" s="7">
        <v>43525</v>
      </c>
      <c r="C686" s="4">
        <v>0.54166666666666663</v>
      </c>
      <c r="D686" s="15">
        <f t="shared" si="20"/>
        <v>13</v>
      </c>
      <c r="E686" s="15" t="str">
        <f t="shared" si="21"/>
        <v>Before 15</v>
      </c>
      <c r="F686" t="s">
        <v>200</v>
      </c>
      <c r="G686" s="16" t="str">
        <f>VLOOKUP(F686,DISTRICTS!B$2:C$626,2,FALSE)</f>
        <v>CHAMBERÍ</v>
      </c>
      <c r="H686" s="16" t="str">
        <f>IFERROR(VLOOKUP(G686,'areas for question 4'!A$2:B$10,2,FALSE),"")</f>
        <v>North</v>
      </c>
      <c r="I686" t="s">
        <v>1444</v>
      </c>
      <c r="J686" t="s">
        <v>1450</v>
      </c>
      <c r="K686" t="s">
        <v>1456</v>
      </c>
      <c r="L686" t="s">
        <v>1469</v>
      </c>
      <c r="M686" t="s">
        <v>1477</v>
      </c>
      <c r="N686" s="18">
        <v>7</v>
      </c>
    </row>
    <row r="687" spans="1:14" x14ac:dyDescent="0.25">
      <c r="A687" t="s">
        <v>209</v>
      </c>
      <c r="B687" s="7">
        <v>43526</v>
      </c>
      <c r="C687" s="4">
        <v>0.16666666666666666</v>
      </c>
      <c r="D687" s="15">
        <f t="shared" si="20"/>
        <v>4</v>
      </c>
      <c r="E687" s="15" t="str">
        <f t="shared" si="21"/>
        <v>Before 15</v>
      </c>
      <c r="F687" t="s">
        <v>148</v>
      </c>
      <c r="G687" s="16" t="str">
        <f>VLOOKUP(F687,DISTRICTS!B$2:C$626,2,FALSE)</f>
        <v>CENTRO</v>
      </c>
      <c r="H687" s="16" t="str">
        <f>IFERROR(VLOOKUP(G687,'areas for question 4'!A$2:B$10,2,FALSE),"")</f>
        <v/>
      </c>
      <c r="I687" t="s">
        <v>1444</v>
      </c>
      <c r="J687" t="s">
        <v>1450</v>
      </c>
      <c r="K687" t="s">
        <v>1456</v>
      </c>
      <c r="L687" t="s">
        <v>1469</v>
      </c>
      <c r="M687" t="s">
        <v>1477</v>
      </c>
      <c r="N687" s="18">
        <v>7</v>
      </c>
    </row>
    <row r="688" spans="1:14" x14ac:dyDescent="0.25">
      <c r="A688" t="s">
        <v>296</v>
      </c>
      <c r="B688" s="7">
        <v>43546</v>
      </c>
      <c r="C688" s="4">
        <v>0.59027777777777779</v>
      </c>
      <c r="D688" s="15">
        <f t="shared" si="20"/>
        <v>14</v>
      </c>
      <c r="E688" s="15" t="str">
        <f t="shared" si="21"/>
        <v>Before 15</v>
      </c>
      <c r="F688" t="s">
        <v>297</v>
      </c>
      <c r="G688" s="16" t="str">
        <f>VLOOKUP(F688,DISTRICTS!B$2:C$626,2,FALSE)</f>
        <v>CHAMARTÍN</v>
      </c>
      <c r="H688" s="16" t="str">
        <f>IFERROR(VLOOKUP(G688,'areas for question 4'!A$2:B$10,2,FALSE),"")</f>
        <v>North</v>
      </c>
      <c r="I688" t="s">
        <v>1446</v>
      </c>
      <c r="J688" t="s">
        <v>1450</v>
      </c>
      <c r="K688" t="s">
        <v>1456</v>
      </c>
      <c r="L688" t="s">
        <v>1469</v>
      </c>
      <c r="M688" t="s">
        <v>1477</v>
      </c>
      <c r="N688" s="18">
        <v>7</v>
      </c>
    </row>
    <row r="689" spans="1:14" x14ac:dyDescent="0.25">
      <c r="A689" t="s">
        <v>324</v>
      </c>
      <c r="B689" s="7">
        <v>43553</v>
      </c>
      <c r="C689" s="4">
        <v>0.86805555555555547</v>
      </c>
      <c r="D689" s="15">
        <f t="shared" si="20"/>
        <v>20</v>
      </c>
      <c r="E689" s="15" t="str">
        <f t="shared" si="21"/>
        <v>After 15</v>
      </c>
      <c r="F689" t="s">
        <v>325</v>
      </c>
      <c r="G689" s="16" t="str">
        <f>VLOOKUP(F689,DISTRICTS!B$2:C$626,2,FALSE)</f>
        <v>USERA</v>
      </c>
      <c r="H689" s="16" t="str">
        <f>IFERROR(VLOOKUP(G689,'areas for question 4'!A$2:B$10,2,FALSE),"")</f>
        <v/>
      </c>
      <c r="I689" t="s">
        <v>1447</v>
      </c>
      <c r="K689" t="s">
        <v>1456</v>
      </c>
      <c r="L689" t="s">
        <v>1469</v>
      </c>
      <c r="M689" t="s">
        <v>1477</v>
      </c>
      <c r="N689" s="18" t="s">
        <v>34</v>
      </c>
    </row>
    <row r="690" spans="1:14" x14ac:dyDescent="0.25">
      <c r="A690" t="s">
        <v>326</v>
      </c>
      <c r="B690" s="7">
        <v>43553</v>
      </c>
      <c r="C690" s="4">
        <v>0.74305555555555547</v>
      </c>
      <c r="D690" s="15">
        <f t="shared" si="20"/>
        <v>17</v>
      </c>
      <c r="E690" s="15" t="str">
        <f t="shared" si="21"/>
        <v>After 15</v>
      </c>
      <c r="F690" t="s">
        <v>327</v>
      </c>
      <c r="G690" s="16" t="str">
        <f>VLOOKUP(F690,DISTRICTS!B$2:C$626,2,FALSE)</f>
        <v>MONCLOA-ARAVACA</v>
      </c>
      <c r="H690" s="16" t="str">
        <f>IFERROR(VLOOKUP(G690,'areas for question 4'!A$2:B$10,2,FALSE),"")</f>
        <v/>
      </c>
      <c r="I690" t="s">
        <v>1441</v>
      </c>
      <c r="J690" t="s">
        <v>1450</v>
      </c>
      <c r="K690" t="s">
        <v>1456</v>
      </c>
      <c r="L690" t="s">
        <v>1469</v>
      </c>
      <c r="M690" t="s">
        <v>1477</v>
      </c>
      <c r="N690" s="18">
        <v>2</v>
      </c>
    </row>
    <row r="691" spans="1:14" x14ac:dyDescent="0.25">
      <c r="A691" t="s">
        <v>341</v>
      </c>
      <c r="B691" s="7">
        <v>43556</v>
      </c>
      <c r="C691" s="4">
        <v>0.75</v>
      </c>
      <c r="D691" s="15">
        <f t="shared" si="20"/>
        <v>18</v>
      </c>
      <c r="E691" s="15" t="str">
        <f t="shared" si="21"/>
        <v>After 15</v>
      </c>
      <c r="F691" t="s">
        <v>342</v>
      </c>
      <c r="G691" s="16" t="str">
        <f>VLOOKUP(F691,DISTRICTS!B$2:C$626,2,FALSE)</f>
        <v>MONCLOA-ARAVACA</v>
      </c>
      <c r="H691" s="16" t="str">
        <f>IFERROR(VLOOKUP(G691,'areas for question 4'!A$2:B$10,2,FALSE),"")</f>
        <v/>
      </c>
      <c r="I691" t="s">
        <v>1446</v>
      </c>
      <c r="J691" t="s">
        <v>1450</v>
      </c>
      <c r="K691" t="s">
        <v>1456</v>
      </c>
      <c r="L691" t="s">
        <v>1469</v>
      </c>
      <c r="M691" t="s">
        <v>1477</v>
      </c>
      <c r="N691" s="18">
        <v>14</v>
      </c>
    </row>
    <row r="692" spans="1:14" x14ac:dyDescent="0.25">
      <c r="A692" t="s">
        <v>379</v>
      </c>
      <c r="B692" s="7">
        <v>43567</v>
      </c>
      <c r="C692" s="4">
        <v>0.77083333333333337</v>
      </c>
      <c r="D692" s="15">
        <f t="shared" si="20"/>
        <v>18</v>
      </c>
      <c r="E692" s="15" t="str">
        <f t="shared" si="21"/>
        <v>After 15</v>
      </c>
      <c r="F692" t="s">
        <v>380</v>
      </c>
      <c r="G692" s="16" t="str">
        <f>VLOOKUP(F692,DISTRICTS!B$2:C$626,2,FALSE)</f>
        <v>LATINA</v>
      </c>
      <c r="H692" s="16" t="str">
        <f>IFERROR(VLOOKUP(G692,'areas for question 4'!A$2:B$10,2,FALSE),"")</f>
        <v/>
      </c>
      <c r="I692" t="s">
        <v>1444</v>
      </c>
      <c r="J692" t="s">
        <v>1450</v>
      </c>
      <c r="K692" t="s">
        <v>1456</v>
      </c>
      <c r="L692" t="s">
        <v>1469</v>
      </c>
      <c r="M692" t="s">
        <v>1477</v>
      </c>
      <c r="N692" s="18">
        <v>7</v>
      </c>
    </row>
    <row r="693" spans="1:14" x14ac:dyDescent="0.25">
      <c r="A693" t="s">
        <v>408</v>
      </c>
      <c r="B693" s="7">
        <v>43582</v>
      </c>
      <c r="C693" s="4">
        <v>0.53819444444444442</v>
      </c>
      <c r="D693" s="15">
        <f t="shared" si="20"/>
        <v>12</v>
      </c>
      <c r="E693" s="15" t="str">
        <f t="shared" si="21"/>
        <v>Before 15</v>
      </c>
      <c r="F693" t="s">
        <v>409</v>
      </c>
      <c r="G693" s="16" t="str">
        <f>VLOOKUP(F693,DISTRICTS!B$2:C$626,2,FALSE)</f>
        <v>VICÁLVARO</v>
      </c>
      <c r="H693" s="16" t="str">
        <f>IFERROR(VLOOKUP(G693,'areas for question 4'!A$2:B$10,2,FALSE),"")</f>
        <v>East</v>
      </c>
      <c r="I693" t="s">
        <v>1446</v>
      </c>
      <c r="J693" t="s">
        <v>1450</v>
      </c>
      <c r="K693" t="s">
        <v>1456</v>
      </c>
      <c r="L693" t="s">
        <v>1469</v>
      </c>
      <c r="M693" t="s">
        <v>1477</v>
      </c>
      <c r="N693" s="18">
        <v>7</v>
      </c>
    </row>
    <row r="694" spans="1:14" x14ac:dyDescent="0.25">
      <c r="A694" t="s">
        <v>429</v>
      </c>
      <c r="B694" s="7">
        <v>43591</v>
      </c>
      <c r="C694" s="4">
        <v>0.31944444444444448</v>
      </c>
      <c r="D694" s="15">
        <f t="shared" si="20"/>
        <v>7</v>
      </c>
      <c r="E694" s="15" t="str">
        <f t="shared" si="21"/>
        <v>Before 15</v>
      </c>
      <c r="F694" t="s">
        <v>99</v>
      </c>
      <c r="G694" s="16" t="str">
        <f>VLOOKUP(F694,DISTRICTS!B$2:C$626,2,FALSE)</f>
        <v>CENTRO</v>
      </c>
      <c r="H694" s="16" t="str">
        <f>IFERROR(VLOOKUP(G694,'areas for question 4'!A$2:B$10,2,FALSE),"")</f>
        <v/>
      </c>
      <c r="I694" t="s">
        <v>1441</v>
      </c>
      <c r="J694" t="s">
        <v>1450</v>
      </c>
      <c r="K694" t="s">
        <v>1456</v>
      </c>
      <c r="L694" t="s">
        <v>1469</v>
      </c>
      <c r="M694" t="s">
        <v>1477</v>
      </c>
      <c r="N694" s="18">
        <v>2</v>
      </c>
    </row>
    <row r="695" spans="1:14" x14ac:dyDescent="0.25">
      <c r="A695" t="s">
        <v>435</v>
      </c>
      <c r="B695" s="7">
        <v>43592</v>
      </c>
      <c r="C695" s="4">
        <v>0.4826388888888889</v>
      </c>
      <c r="D695" s="15">
        <f t="shared" si="20"/>
        <v>11</v>
      </c>
      <c r="E695" s="15" t="str">
        <f t="shared" si="21"/>
        <v>Before 15</v>
      </c>
      <c r="F695" t="s">
        <v>436</v>
      </c>
      <c r="G695" s="16" t="str">
        <f>VLOOKUP(F695,DISTRICTS!B$2:C$626,2,FALSE)</f>
        <v>RETIRO</v>
      </c>
      <c r="H695" s="16" t="str">
        <f>IFERROR(VLOOKUP(G695,'areas for question 4'!A$2:B$10,2,FALSE),"")</f>
        <v/>
      </c>
      <c r="I695" t="s">
        <v>1446</v>
      </c>
      <c r="J695" t="s">
        <v>1450</v>
      </c>
      <c r="K695" t="s">
        <v>1456</v>
      </c>
      <c r="L695" t="s">
        <v>1469</v>
      </c>
      <c r="M695" t="s">
        <v>1477</v>
      </c>
      <c r="N695" s="18">
        <v>7</v>
      </c>
    </row>
    <row r="696" spans="1:14" x14ac:dyDescent="0.25">
      <c r="A696" t="s">
        <v>443</v>
      </c>
      <c r="B696" s="7">
        <v>43595</v>
      </c>
      <c r="C696" s="4">
        <v>0.64583333333333337</v>
      </c>
      <c r="D696" s="15">
        <f t="shared" si="20"/>
        <v>15</v>
      </c>
      <c r="E696" s="15" t="str">
        <f t="shared" si="21"/>
        <v>After 15</v>
      </c>
      <c r="F696" t="s">
        <v>444</v>
      </c>
      <c r="G696" s="16" t="str">
        <f>VLOOKUP(F696,DISTRICTS!B$2:C$626,2,FALSE)</f>
        <v>TETUÁN</v>
      </c>
      <c r="H696" s="16" t="str">
        <f>IFERROR(VLOOKUP(G696,'areas for question 4'!A$2:B$10,2,FALSE),"")</f>
        <v>North</v>
      </c>
      <c r="I696" t="s">
        <v>1444</v>
      </c>
      <c r="J696" t="s">
        <v>1450</v>
      </c>
      <c r="K696" t="s">
        <v>1456</v>
      </c>
      <c r="L696" t="s">
        <v>1469</v>
      </c>
      <c r="M696" t="s">
        <v>1477</v>
      </c>
      <c r="N696" s="18">
        <v>2</v>
      </c>
    </row>
    <row r="697" spans="1:14" x14ac:dyDescent="0.25">
      <c r="A697" t="s">
        <v>448</v>
      </c>
      <c r="B697" s="7">
        <v>43595</v>
      </c>
      <c r="C697" s="4">
        <v>5.5555555555555552E-2</v>
      </c>
      <c r="D697" s="15">
        <f t="shared" si="20"/>
        <v>1</v>
      </c>
      <c r="E697" s="15" t="str">
        <f t="shared" si="21"/>
        <v>Before 15</v>
      </c>
      <c r="F697" t="s">
        <v>99</v>
      </c>
      <c r="G697" s="16" t="str">
        <f>VLOOKUP(F697,DISTRICTS!B$2:C$626,2,FALSE)</f>
        <v>CENTRO</v>
      </c>
      <c r="H697" s="16" t="str">
        <f>IFERROR(VLOOKUP(G697,'areas for question 4'!A$2:B$10,2,FALSE),"")</f>
        <v/>
      </c>
      <c r="I697" t="s">
        <v>1445</v>
      </c>
      <c r="J697" t="s">
        <v>1450</v>
      </c>
      <c r="K697" t="s">
        <v>1456</v>
      </c>
      <c r="L697" t="s">
        <v>1469</v>
      </c>
      <c r="M697" t="s">
        <v>1477</v>
      </c>
      <c r="N697" s="18">
        <v>7</v>
      </c>
    </row>
    <row r="698" spans="1:14" x14ac:dyDescent="0.25">
      <c r="A698" t="s">
        <v>449</v>
      </c>
      <c r="B698" s="7">
        <v>43596</v>
      </c>
      <c r="C698" s="4">
        <v>0.83333333333333337</v>
      </c>
      <c r="D698" s="15">
        <f t="shared" si="20"/>
        <v>20</v>
      </c>
      <c r="E698" s="15" t="str">
        <f t="shared" si="21"/>
        <v>After 15</v>
      </c>
      <c r="F698" t="s">
        <v>450</v>
      </c>
      <c r="G698" s="16" t="str">
        <f>VLOOKUP(F698,DISTRICTS!B$2:C$626,2,FALSE)</f>
        <v>FUENCARRAL-EL PARDO</v>
      </c>
      <c r="H698" s="16" t="str">
        <f>IFERROR(VLOOKUP(G698,'areas for question 4'!A$2:B$10,2,FALSE),"")</f>
        <v>North</v>
      </c>
      <c r="I698" t="s">
        <v>1444</v>
      </c>
      <c r="J698" t="s">
        <v>1450</v>
      </c>
      <c r="K698" t="s">
        <v>1456</v>
      </c>
      <c r="L698" t="s">
        <v>1469</v>
      </c>
      <c r="M698" t="s">
        <v>1477</v>
      </c>
      <c r="N698" s="18">
        <v>2</v>
      </c>
    </row>
    <row r="699" spans="1:14" x14ac:dyDescent="0.25">
      <c r="A699" t="s">
        <v>453</v>
      </c>
      <c r="B699" s="7">
        <v>43596</v>
      </c>
      <c r="C699" s="4">
        <v>0.4604166666666667</v>
      </c>
      <c r="D699" s="15">
        <f t="shared" si="20"/>
        <v>11</v>
      </c>
      <c r="E699" s="15" t="str">
        <f t="shared" si="21"/>
        <v>Before 15</v>
      </c>
      <c r="F699" t="s">
        <v>454</v>
      </c>
      <c r="G699" s="16" t="str">
        <f>VLOOKUP(F699,DISTRICTS!B$2:C$626,2,FALSE)</f>
        <v>VILLA DE VALLECAS</v>
      </c>
      <c r="H699" s="16" t="str">
        <f>IFERROR(VLOOKUP(G699,'areas for question 4'!A$2:B$10,2,FALSE),"")</f>
        <v/>
      </c>
      <c r="I699" t="s">
        <v>1447</v>
      </c>
      <c r="J699" t="s">
        <v>1455</v>
      </c>
      <c r="K699" t="s">
        <v>1456</v>
      </c>
      <c r="L699" t="s">
        <v>1469</v>
      </c>
      <c r="M699" t="s">
        <v>1477</v>
      </c>
      <c r="N699" s="18">
        <v>1</v>
      </c>
    </row>
    <row r="700" spans="1:14" x14ac:dyDescent="0.25">
      <c r="A700" t="s">
        <v>477</v>
      </c>
      <c r="B700" s="7">
        <v>43601</v>
      </c>
      <c r="C700" s="4">
        <v>0.68402777777777779</v>
      </c>
      <c r="D700" s="15">
        <f t="shared" si="20"/>
        <v>16</v>
      </c>
      <c r="E700" s="15" t="str">
        <f t="shared" si="21"/>
        <v>After 15</v>
      </c>
      <c r="F700" t="s">
        <v>148</v>
      </c>
      <c r="G700" s="16" t="str">
        <f>VLOOKUP(F700,DISTRICTS!B$2:C$626,2,FALSE)</f>
        <v>CENTRO</v>
      </c>
      <c r="H700" s="16" t="str">
        <f>IFERROR(VLOOKUP(G700,'areas for question 4'!A$2:B$10,2,FALSE),"")</f>
        <v/>
      </c>
      <c r="I700" t="s">
        <v>1444</v>
      </c>
      <c r="J700" t="s">
        <v>1450</v>
      </c>
      <c r="K700" t="s">
        <v>1456</v>
      </c>
      <c r="L700" t="s">
        <v>1469</v>
      </c>
      <c r="M700" t="s">
        <v>1477</v>
      </c>
      <c r="N700" s="18">
        <v>7</v>
      </c>
    </row>
    <row r="701" spans="1:14" x14ac:dyDescent="0.25">
      <c r="A701" t="s">
        <v>491</v>
      </c>
      <c r="B701" s="7">
        <v>43604</v>
      </c>
      <c r="C701" s="4">
        <v>0.44791666666666669</v>
      </c>
      <c r="D701" s="15">
        <f t="shared" si="20"/>
        <v>10</v>
      </c>
      <c r="E701" s="15" t="str">
        <f t="shared" si="21"/>
        <v>Before 15</v>
      </c>
      <c r="F701" t="s">
        <v>492</v>
      </c>
      <c r="G701" s="16" t="str">
        <f>VLOOKUP(F701,DISTRICTS!B$2:C$626,2,FALSE)</f>
        <v>BARAJAS</v>
      </c>
      <c r="H701" s="16" t="str">
        <f>IFERROR(VLOOKUP(G701,'areas for question 4'!A$2:B$10,2,FALSE),"")</f>
        <v>East</v>
      </c>
      <c r="I701" t="s">
        <v>1446</v>
      </c>
      <c r="J701" t="s">
        <v>1450</v>
      </c>
      <c r="K701" t="s">
        <v>1456</v>
      </c>
      <c r="L701" t="s">
        <v>1469</v>
      </c>
      <c r="M701" t="s">
        <v>1477</v>
      </c>
      <c r="N701" s="18">
        <v>14</v>
      </c>
    </row>
    <row r="702" spans="1:14" x14ac:dyDescent="0.25">
      <c r="A702" t="s">
        <v>534</v>
      </c>
      <c r="B702" s="7">
        <v>43613</v>
      </c>
      <c r="C702" s="4">
        <v>0.80069444444444438</v>
      </c>
      <c r="D702" s="15">
        <f t="shared" si="20"/>
        <v>19</v>
      </c>
      <c r="E702" s="15" t="str">
        <f t="shared" si="21"/>
        <v>After 15</v>
      </c>
      <c r="F702" t="s">
        <v>535</v>
      </c>
      <c r="G702" s="16" t="str">
        <f>VLOOKUP(F702,DISTRICTS!B$2:C$626,2,FALSE)</f>
        <v>VILLAVERDE</v>
      </c>
      <c r="H702" s="16" t="str">
        <f>IFERROR(VLOOKUP(G702,'areas for question 4'!A$2:B$10,2,FALSE),"")</f>
        <v/>
      </c>
      <c r="I702" t="s">
        <v>1449</v>
      </c>
      <c r="J702" t="s">
        <v>1450</v>
      </c>
      <c r="K702" t="s">
        <v>1456</v>
      </c>
      <c r="L702" t="s">
        <v>1469</v>
      </c>
      <c r="M702" t="s">
        <v>1477</v>
      </c>
      <c r="N702" s="18">
        <v>7</v>
      </c>
    </row>
    <row r="703" spans="1:14" x14ac:dyDescent="0.25">
      <c r="A703" t="s">
        <v>618</v>
      </c>
      <c r="B703" s="7">
        <v>43629</v>
      </c>
      <c r="C703" s="4">
        <v>0.9277777777777777</v>
      </c>
      <c r="D703" s="15">
        <f t="shared" si="20"/>
        <v>22</v>
      </c>
      <c r="E703" s="15" t="str">
        <f t="shared" si="21"/>
        <v>After 15</v>
      </c>
      <c r="F703" t="s">
        <v>619</v>
      </c>
      <c r="G703" s="16" t="str">
        <f>VLOOKUP(F703,DISTRICTS!B$2:C$626,2,FALSE)</f>
        <v>SALAMANCA</v>
      </c>
      <c r="H703" s="16" t="str">
        <f>IFERROR(VLOOKUP(G703,'areas for question 4'!A$2:B$10,2,FALSE),"")</f>
        <v/>
      </c>
      <c r="I703" t="s">
        <v>1446</v>
      </c>
      <c r="J703" t="s">
        <v>1450</v>
      </c>
      <c r="K703" t="s">
        <v>1456</v>
      </c>
      <c r="L703" t="s">
        <v>1469</v>
      </c>
      <c r="M703" t="s">
        <v>1477</v>
      </c>
      <c r="N703" s="18">
        <v>7</v>
      </c>
    </row>
    <row r="704" spans="1:14" x14ac:dyDescent="0.25">
      <c r="A704" t="s">
        <v>708</v>
      </c>
      <c r="B704" s="7">
        <v>43646</v>
      </c>
      <c r="C704" s="4">
        <v>0.33124999999999999</v>
      </c>
      <c r="D704" s="15">
        <f t="shared" si="20"/>
        <v>7</v>
      </c>
      <c r="E704" s="15" t="str">
        <f t="shared" si="21"/>
        <v>Before 15</v>
      </c>
      <c r="F704" t="s">
        <v>349</v>
      </c>
      <c r="G704" s="16" t="str">
        <f>VLOOKUP(F704,DISTRICTS!B$2:C$626,2,FALSE)</f>
        <v>PUENTE DE VALLECAS</v>
      </c>
      <c r="H704" s="16" t="str">
        <f>IFERROR(VLOOKUP(G704,'areas for question 4'!A$2:B$10,2,FALSE),"")</f>
        <v/>
      </c>
      <c r="I704" t="s">
        <v>1446</v>
      </c>
      <c r="J704" t="s">
        <v>1450</v>
      </c>
      <c r="K704" t="s">
        <v>1456</v>
      </c>
      <c r="L704" t="s">
        <v>1469</v>
      </c>
      <c r="M704" t="s">
        <v>1477</v>
      </c>
      <c r="N704" s="18">
        <v>7</v>
      </c>
    </row>
    <row r="705" spans="1:14" x14ac:dyDescent="0.25">
      <c r="A705" t="s">
        <v>721</v>
      </c>
      <c r="B705" s="7">
        <v>43648</v>
      </c>
      <c r="C705" s="4">
        <v>0.85416666666666663</v>
      </c>
      <c r="D705" s="15">
        <f t="shared" si="20"/>
        <v>20</v>
      </c>
      <c r="E705" s="15" t="str">
        <f t="shared" si="21"/>
        <v>After 15</v>
      </c>
      <c r="F705" t="s">
        <v>722</v>
      </c>
      <c r="G705" s="16" t="str">
        <f>VLOOKUP(F705,DISTRICTS!B$2:C$626,2,FALSE)</f>
        <v>FUENCARRAL-EL PARDO</v>
      </c>
      <c r="H705" s="16" t="str">
        <f>IFERROR(VLOOKUP(G705,'areas for question 4'!A$2:B$10,2,FALSE),"")</f>
        <v>North</v>
      </c>
      <c r="I705" t="s">
        <v>1444</v>
      </c>
      <c r="J705" t="s">
        <v>1450</v>
      </c>
      <c r="K705" t="s">
        <v>1456</v>
      </c>
      <c r="L705" t="s">
        <v>1469</v>
      </c>
      <c r="M705" t="s">
        <v>1477</v>
      </c>
      <c r="N705" s="18">
        <v>2</v>
      </c>
    </row>
    <row r="706" spans="1:14" x14ac:dyDescent="0.25">
      <c r="A706" t="s">
        <v>725</v>
      </c>
      <c r="B706" s="7">
        <v>43649</v>
      </c>
      <c r="C706" s="4">
        <v>0.91319444444444453</v>
      </c>
      <c r="D706" s="15">
        <f t="shared" si="20"/>
        <v>21</v>
      </c>
      <c r="E706" s="15" t="str">
        <f t="shared" si="21"/>
        <v>After 15</v>
      </c>
      <c r="F706" t="s">
        <v>726</v>
      </c>
      <c r="G706" s="16" t="str">
        <f>VLOOKUP(F706,DISTRICTS!B$2:C$626,2,FALSE)</f>
        <v>CIUDAD LINEAL</v>
      </c>
      <c r="H706" s="16" t="str">
        <f>IFERROR(VLOOKUP(G706,'areas for question 4'!A$2:B$10,2,FALSE),"")</f>
        <v>East</v>
      </c>
      <c r="I706" t="s">
        <v>1444</v>
      </c>
      <c r="J706" t="s">
        <v>1450</v>
      </c>
      <c r="K706" t="s">
        <v>1456</v>
      </c>
      <c r="L706" t="s">
        <v>1469</v>
      </c>
      <c r="M706" t="s">
        <v>1478</v>
      </c>
      <c r="N706" s="18">
        <v>7</v>
      </c>
    </row>
    <row r="707" spans="1:14" x14ac:dyDescent="0.25">
      <c r="A707" t="s">
        <v>749</v>
      </c>
      <c r="B707" s="7">
        <v>43652</v>
      </c>
      <c r="C707" s="4">
        <v>0.38194444444444442</v>
      </c>
      <c r="D707" s="15">
        <f t="shared" ref="D707:D770" si="22">HOUR(C707)</f>
        <v>9</v>
      </c>
      <c r="E707" s="15" t="str">
        <f t="shared" ref="E707:E770" si="23">IF(D707&lt;15,"Before 15","After 15")</f>
        <v>Before 15</v>
      </c>
      <c r="F707" t="s">
        <v>5</v>
      </c>
      <c r="G707" s="16" t="str">
        <f>VLOOKUP(F707,DISTRICTS!B$2:C$626,2,FALSE)</f>
        <v>CENTRO</v>
      </c>
      <c r="H707" s="16" t="str">
        <f>IFERROR(VLOOKUP(G707,'areas for question 4'!A$2:B$10,2,FALSE),"")</f>
        <v/>
      </c>
      <c r="I707" t="s">
        <v>1444</v>
      </c>
      <c r="J707" t="s">
        <v>1450</v>
      </c>
      <c r="K707" t="s">
        <v>1456</v>
      </c>
      <c r="L707" t="s">
        <v>1469</v>
      </c>
      <c r="M707" t="s">
        <v>1477</v>
      </c>
      <c r="N707" s="18">
        <v>1</v>
      </c>
    </row>
    <row r="708" spans="1:14" x14ac:dyDescent="0.25">
      <c r="A708" t="s">
        <v>785</v>
      </c>
      <c r="B708" s="7">
        <v>43661</v>
      </c>
      <c r="C708" s="4">
        <v>0.69097222222222221</v>
      </c>
      <c r="D708" s="15">
        <f t="shared" si="22"/>
        <v>16</v>
      </c>
      <c r="E708" s="15" t="str">
        <f t="shared" si="23"/>
        <v>After 15</v>
      </c>
      <c r="F708" t="s">
        <v>786</v>
      </c>
      <c r="G708" s="16" t="str">
        <f>VLOOKUP(F708,DISTRICTS!B$2:C$626,2,FALSE)</f>
        <v>PUENTE DE VALLECAS</v>
      </c>
      <c r="H708" s="16" t="str">
        <f>IFERROR(VLOOKUP(G708,'areas for question 4'!A$2:B$10,2,FALSE),"")</f>
        <v/>
      </c>
      <c r="I708" t="s">
        <v>1446</v>
      </c>
      <c r="J708" t="s">
        <v>1450</v>
      </c>
      <c r="K708" t="s">
        <v>1456</v>
      </c>
      <c r="L708" t="s">
        <v>1469</v>
      </c>
      <c r="M708" t="s">
        <v>1477</v>
      </c>
      <c r="N708" s="18">
        <v>2</v>
      </c>
    </row>
    <row r="709" spans="1:14" x14ac:dyDescent="0.25">
      <c r="A709" t="s">
        <v>801</v>
      </c>
      <c r="B709" s="7">
        <v>43664</v>
      </c>
      <c r="C709" s="4">
        <v>0.75694444444444453</v>
      </c>
      <c r="D709" s="15">
        <f t="shared" si="22"/>
        <v>18</v>
      </c>
      <c r="E709" s="15" t="str">
        <f t="shared" si="23"/>
        <v>After 15</v>
      </c>
      <c r="F709" t="s">
        <v>802</v>
      </c>
      <c r="G709" s="16" t="str">
        <f>VLOOKUP(F709,DISTRICTS!B$2:C$626,2,FALSE)</f>
        <v>SALAMANCA</v>
      </c>
      <c r="H709" s="16" t="str">
        <f>IFERROR(VLOOKUP(G709,'areas for question 4'!A$2:B$10,2,FALSE),"")</f>
        <v/>
      </c>
      <c r="I709" t="s">
        <v>1444</v>
      </c>
      <c r="J709" t="s">
        <v>1450</v>
      </c>
      <c r="K709" t="s">
        <v>1456</v>
      </c>
      <c r="L709" t="s">
        <v>1469</v>
      </c>
      <c r="M709" t="s">
        <v>1477</v>
      </c>
      <c r="N709" s="18">
        <v>7</v>
      </c>
    </row>
    <row r="710" spans="1:14" x14ac:dyDescent="0.25">
      <c r="A710" t="s">
        <v>809</v>
      </c>
      <c r="B710" s="7">
        <v>43667</v>
      </c>
      <c r="C710" s="4">
        <v>0.87013888888888891</v>
      </c>
      <c r="D710" s="15">
        <f t="shared" si="22"/>
        <v>20</v>
      </c>
      <c r="E710" s="15" t="str">
        <f t="shared" si="23"/>
        <v>After 15</v>
      </c>
      <c r="F710" t="s">
        <v>810</v>
      </c>
      <c r="G710" s="16" t="str">
        <f>VLOOKUP(F710,DISTRICTS!B$2:C$626,2,FALSE)</f>
        <v>CENTRO</v>
      </c>
      <c r="H710" s="16" t="str">
        <f>IFERROR(VLOOKUP(G710,'areas for question 4'!A$2:B$10,2,FALSE),"")</f>
        <v/>
      </c>
      <c r="I710" t="s">
        <v>1443</v>
      </c>
      <c r="J710" t="s">
        <v>1453</v>
      </c>
      <c r="K710" t="s">
        <v>1458</v>
      </c>
      <c r="L710" t="s">
        <v>1469</v>
      </c>
      <c r="M710" t="s">
        <v>1478</v>
      </c>
      <c r="N710" s="18" t="s">
        <v>34</v>
      </c>
    </row>
    <row r="711" spans="1:14" x14ac:dyDescent="0.25">
      <c r="A711" t="s">
        <v>817</v>
      </c>
      <c r="B711" s="7">
        <v>43668</v>
      </c>
      <c r="C711" s="4">
        <v>0.34375</v>
      </c>
      <c r="D711" s="15">
        <f t="shared" si="22"/>
        <v>8</v>
      </c>
      <c r="E711" s="15" t="str">
        <f t="shared" si="23"/>
        <v>Before 15</v>
      </c>
      <c r="F711" t="s">
        <v>313</v>
      </c>
      <c r="G711" s="16" t="str">
        <f>VLOOKUP(F711,DISTRICTS!B$2:C$626,2,FALSE)</f>
        <v>PUENTE DE VALLECAS</v>
      </c>
      <c r="H711" s="16" t="str">
        <f>IFERROR(VLOOKUP(G711,'areas for question 4'!A$2:B$10,2,FALSE),"")</f>
        <v/>
      </c>
      <c r="I711" t="s">
        <v>1441</v>
      </c>
      <c r="J711" t="s">
        <v>1450</v>
      </c>
      <c r="K711" t="s">
        <v>1456</v>
      </c>
      <c r="L711" t="s">
        <v>1469</v>
      </c>
      <c r="M711" t="s">
        <v>1477</v>
      </c>
      <c r="N711" s="18" t="s">
        <v>34</v>
      </c>
    </row>
    <row r="712" spans="1:14" x14ac:dyDescent="0.25">
      <c r="A712" t="s">
        <v>831</v>
      </c>
      <c r="B712" s="7">
        <v>43672</v>
      </c>
      <c r="C712" s="4">
        <v>0.52430555555555558</v>
      </c>
      <c r="D712" s="15">
        <f t="shared" si="22"/>
        <v>12</v>
      </c>
      <c r="E712" s="15" t="str">
        <f t="shared" si="23"/>
        <v>Before 15</v>
      </c>
      <c r="F712" t="s">
        <v>832</v>
      </c>
      <c r="G712" s="16" t="str">
        <f>VLOOKUP(F712,DISTRICTS!B$2:C$626,2,FALSE)</f>
        <v>VICÁLVARO</v>
      </c>
      <c r="H712" s="16" t="str">
        <f>IFERROR(VLOOKUP(G712,'areas for question 4'!A$2:B$10,2,FALSE),"")</f>
        <v>East</v>
      </c>
      <c r="I712" t="s">
        <v>1446</v>
      </c>
      <c r="J712" t="s">
        <v>1450</v>
      </c>
      <c r="K712" t="s">
        <v>1456</v>
      </c>
      <c r="L712" t="s">
        <v>1469</v>
      </c>
      <c r="M712" t="s">
        <v>1477</v>
      </c>
      <c r="N712" s="18">
        <v>14</v>
      </c>
    </row>
    <row r="713" spans="1:14" x14ac:dyDescent="0.25">
      <c r="A713" t="s">
        <v>835</v>
      </c>
      <c r="B713" s="7">
        <v>43674</v>
      </c>
      <c r="C713" s="4">
        <v>0.52777777777777779</v>
      </c>
      <c r="D713" s="15">
        <f t="shared" si="22"/>
        <v>12</v>
      </c>
      <c r="E713" s="15" t="str">
        <f t="shared" si="23"/>
        <v>Before 15</v>
      </c>
      <c r="F713" t="s">
        <v>836</v>
      </c>
      <c r="G713" s="16" t="str">
        <f>VLOOKUP(F713,DISTRICTS!B$2:C$626,2,FALSE)</f>
        <v>RETIRO</v>
      </c>
      <c r="H713" s="16" t="str">
        <f>IFERROR(VLOOKUP(G713,'areas for question 4'!A$2:B$10,2,FALSE),"")</f>
        <v/>
      </c>
      <c r="I713" t="s">
        <v>1446</v>
      </c>
      <c r="J713" t="s">
        <v>1450</v>
      </c>
      <c r="K713" t="s">
        <v>1456</v>
      </c>
      <c r="L713" t="s">
        <v>1469</v>
      </c>
      <c r="M713" t="s">
        <v>1477</v>
      </c>
      <c r="N713" s="18" t="s">
        <v>34</v>
      </c>
    </row>
    <row r="714" spans="1:14" x14ac:dyDescent="0.25">
      <c r="A714" t="s">
        <v>857</v>
      </c>
      <c r="B714" s="7">
        <v>43679</v>
      </c>
      <c r="C714" s="4">
        <v>0.4826388888888889</v>
      </c>
      <c r="D714" s="15">
        <f t="shared" si="22"/>
        <v>11</v>
      </c>
      <c r="E714" s="15" t="str">
        <f t="shared" si="23"/>
        <v>Before 15</v>
      </c>
      <c r="F714" t="s">
        <v>858</v>
      </c>
      <c r="G714" s="16" t="str">
        <f>VLOOKUP(F714,DISTRICTS!B$2:C$626,2,FALSE)</f>
        <v>CENTRO</v>
      </c>
      <c r="H714" s="16" t="str">
        <f>IFERROR(VLOOKUP(G714,'areas for question 4'!A$2:B$10,2,FALSE),"")</f>
        <v/>
      </c>
      <c r="I714" t="s">
        <v>1446</v>
      </c>
      <c r="J714" t="s">
        <v>1450</v>
      </c>
      <c r="K714" t="s">
        <v>1456</v>
      </c>
      <c r="L714" t="s">
        <v>1469</v>
      </c>
      <c r="M714" t="s">
        <v>1478</v>
      </c>
      <c r="N714" s="18">
        <v>1</v>
      </c>
    </row>
    <row r="715" spans="1:14" x14ac:dyDescent="0.25">
      <c r="A715" t="s">
        <v>898</v>
      </c>
      <c r="B715" s="7">
        <v>43696</v>
      </c>
      <c r="C715" s="4">
        <v>0.55208333333333337</v>
      </c>
      <c r="D715" s="15">
        <f t="shared" si="22"/>
        <v>13</v>
      </c>
      <c r="E715" s="15" t="str">
        <f t="shared" si="23"/>
        <v>Before 15</v>
      </c>
      <c r="F715" t="s">
        <v>403</v>
      </c>
      <c r="G715" s="16" t="str">
        <f>VLOOKUP(F715,DISTRICTS!B$2:C$626,2,FALSE)</f>
        <v>MORATALAZ</v>
      </c>
      <c r="H715" s="16" t="str">
        <f>IFERROR(VLOOKUP(G715,'areas for question 4'!A$2:B$10,2,FALSE),"")</f>
        <v>East</v>
      </c>
      <c r="I715" t="s">
        <v>1447</v>
      </c>
      <c r="J715" t="s">
        <v>1450</v>
      </c>
      <c r="K715" t="s">
        <v>1456</v>
      </c>
      <c r="L715" t="s">
        <v>1469</v>
      </c>
      <c r="M715" t="s">
        <v>1477</v>
      </c>
      <c r="N715" s="18">
        <v>7</v>
      </c>
    </row>
    <row r="716" spans="1:14" x14ac:dyDescent="0.25">
      <c r="A716" t="s">
        <v>909</v>
      </c>
      <c r="B716" s="7">
        <v>43699</v>
      </c>
      <c r="C716" s="4">
        <v>0.25694444444444448</v>
      </c>
      <c r="D716" s="15">
        <f t="shared" si="22"/>
        <v>6</v>
      </c>
      <c r="E716" s="15" t="str">
        <f t="shared" si="23"/>
        <v>Before 15</v>
      </c>
      <c r="F716" t="s">
        <v>910</v>
      </c>
      <c r="G716" s="16" t="str">
        <f>VLOOKUP(F716,DISTRICTS!B$2:C$626,2,FALSE)</f>
        <v>CHAMBERÍ</v>
      </c>
      <c r="H716" s="16" t="str">
        <f>IFERROR(VLOOKUP(G716,'areas for question 4'!A$2:B$10,2,FALSE),"")</f>
        <v>North</v>
      </c>
      <c r="I716" t="s">
        <v>1449</v>
      </c>
      <c r="J716" t="s">
        <v>1450</v>
      </c>
      <c r="K716" t="s">
        <v>1456</v>
      </c>
      <c r="L716" t="s">
        <v>1469</v>
      </c>
      <c r="M716" t="s">
        <v>1477</v>
      </c>
      <c r="N716" s="18">
        <v>6</v>
      </c>
    </row>
    <row r="717" spans="1:14" x14ac:dyDescent="0.25">
      <c r="A717" t="s">
        <v>915</v>
      </c>
      <c r="B717" s="7">
        <v>43702</v>
      </c>
      <c r="C717" s="4">
        <v>0.86111111111111116</v>
      </c>
      <c r="D717" s="15">
        <f t="shared" si="22"/>
        <v>20</v>
      </c>
      <c r="E717" s="15" t="str">
        <f t="shared" si="23"/>
        <v>After 15</v>
      </c>
      <c r="F717" t="s">
        <v>574</v>
      </c>
      <c r="G717" s="16" t="str">
        <f>VLOOKUP(F717,DISTRICTS!B$2:C$626,2,FALSE)</f>
        <v>CARABANCHEL</v>
      </c>
      <c r="H717" s="16" t="str">
        <f>IFERROR(VLOOKUP(G717,'areas for question 4'!A$2:B$10,2,FALSE),"")</f>
        <v/>
      </c>
      <c r="I717" t="s">
        <v>1443</v>
      </c>
      <c r="J717" t="s">
        <v>1450</v>
      </c>
      <c r="K717" t="s">
        <v>1458</v>
      </c>
      <c r="L717" t="s">
        <v>1469</v>
      </c>
      <c r="M717" t="s">
        <v>1478</v>
      </c>
      <c r="N717" s="18">
        <v>6</v>
      </c>
    </row>
    <row r="718" spans="1:14" x14ac:dyDescent="0.25">
      <c r="A718" t="s">
        <v>924</v>
      </c>
      <c r="B718" s="7">
        <v>43705</v>
      </c>
      <c r="C718" s="4">
        <v>0.4513888888888889</v>
      </c>
      <c r="D718" s="15">
        <f t="shared" si="22"/>
        <v>10</v>
      </c>
      <c r="E718" s="15" t="str">
        <f t="shared" si="23"/>
        <v>Before 15</v>
      </c>
      <c r="F718" t="s">
        <v>925</v>
      </c>
      <c r="G718" s="16" t="str">
        <f>VLOOKUP(F718,DISTRICTS!B$2:C$626,2,FALSE)</f>
        <v>MORATALAZ</v>
      </c>
      <c r="H718" s="16" t="str">
        <f>IFERROR(VLOOKUP(G718,'areas for question 4'!A$2:B$10,2,FALSE),"")</f>
        <v>East</v>
      </c>
      <c r="I718" t="s">
        <v>1446</v>
      </c>
      <c r="J718" t="s">
        <v>1450</v>
      </c>
      <c r="K718" t="s">
        <v>1456</v>
      </c>
      <c r="L718" t="s">
        <v>1469</v>
      </c>
      <c r="M718" t="s">
        <v>1477</v>
      </c>
      <c r="N718" s="18">
        <v>7</v>
      </c>
    </row>
    <row r="719" spans="1:14" x14ac:dyDescent="0.25">
      <c r="A719" t="s">
        <v>960</v>
      </c>
      <c r="B719" s="7">
        <v>43712</v>
      </c>
      <c r="C719" s="4">
        <v>0.65972222222222221</v>
      </c>
      <c r="D719" s="15">
        <f t="shared" si="22"/>
        <v>15</v>
      </c>
      <c r="E719" s="15" t="str">
        <f t="shared" si="23"/>
        <v>After 15</v>
      </c>
      <c r="F719" t="s">
        <v>961</v>
      </c>
      <c r="G719" s="16" t="str">
        <f>VLOOKUP(F719,DISTRICTS!B$2:C$626,2,FALSE)</f>
        <v>USERA</v>
      </c>
      <c r="H719" s="16" t="str">
        <f>IFERROR(VLOOKUP(G719,'areas for question 4'!A$2:B$10,2,FALSE),"")</f>
        <v/>
      </c>
      <c r="I719" t="s">
        <v>1447</v>
      </c>
      <c r="K719" t="s">
        <v>1456</v>
      </c>
      <c r="L719" t="s">
        <v>1469</v>
      </c>
      <c r="M719" t="s">
        <v>1477</v>
      </c>
      <c r="N719" s="18" t="s">
        <v>34</v>
      </c>
    </row>
    <row r="720" spans="1:14" x14ac:dyDescent="0.25">
      <c r="A720" t="s">
        <v>971</v>
      </c>
      <c r="B720" s="7">
        <v>43713</v>
      </c>
      <c r="C720" s="4">
        <v>0.75347222222222221</v>
      </c>
      <c r="D720" s="15">
        <f t="shared" si="22"/>
        <v>18</v>
      </c>
      <c r="E720" s="15" t="str">
        <f t="shared" si="23"/>
        <v>After 15</v>
      </c>
      <c r="F720" t="s">
        <v>972</v>
      </c>
      <c r="G720" s="16" t="str">
        <f>VLOOKUP(F720,DISTRICTS!B$2:C$626,2,FALSE)</f>
        <v>CIUDAD LINEAL</v>
      </c>
      <c r="H720" s="16" t="str">
        <f>IFERROR(VLOOKUP(G720,'areas for question 4'!A$2:B$10,2,FALSE),"")</f>
        <v>East</v>
      </c>
      <c r="I720" t="s">
        <v>1447</v>
      </c>
      <c r="J720" t="s">
        <v>1450</v>
      </c>
      <c r="K720" t="s">
        <v>1456</v>
      </c>
      <c r="L720" t="s">
        <v>1469</v>
      </c>
      <c r="M720" t="s">
        <v>1477</v>
      </c>
      <c r="N720" s="18">
        <v>2</v>
      </c>
    </row>
    <row r="721" spans="1:14" x14ac:dyDescent="0.25">
      <c r="A721" t="s">
        <v>984</v>
      </c>
      <c r="B721" s="7">
        <v>43717</v>
      </c>
      <c r="C721" s="4">
        <v>0.53472222222222221</v>
      </c>
      <c r="D721" s="15">
        <f t="shared" si="22"/>
        <v>12</v>
      </c>
      <c r="E721" s="15" t="str">
        <f t="shared" si="23"/>
        <v>Before 15</v>
      </c>
      <c r="F721" t="s">
        <v>985</v>
      </c>
      <c r="G721" s="16" t="str">
        <f>VLOOKUP(F721,DISTRICTS!B$2:C$626,2,FALSE)</f>
        <v>SALAMANCA</v>
      </c>
      <c r="H721" s="16" t="str">
        <f>IFERROR(VLOOKUP(G721,'areas for question 4'!A$2:B$10,2,FALSE),"")</f>
        <v/>
      </c>
      <c r="I721" t="s">
        <v>1443</v>
      </c>
      <c r="J721" t="s">
        <v>1450</v>
      </c>
      <c r="K721" t="s">
        <v>1456</v>
      </c>
      <c r="L721" t="s">
        <v>1469</v>
      </c>
      <c r="M721" t="s">
        <v>1477</v>
      </c>
      <c r="N721" s="18">
        <v>14</v>
      </c>
    </row>
    <row r="722" spans="1:14" x14ac:dyDescent="0.25">
      <c r="A722" t="s">
        <v>996</v>
      </c>
      <c r="B722" s="7">
        <v>43719</v>
      </c>
      <c r="C722" s="4">
        <v>0.72569444444444453</v>
      </c>
      <c r="D722" s="15">
        <f t="shared" si="22"/>
        <v>17</v>
      </c>
      <c r="E722" s="15" t="str">
        <f t="shared" si="23"/>
        <v>After 15</v>
      </c>
      <c r="F722" t="s">
        <v>997</v>
      </c>
      <c r="G722" s="16" t="str">
        <f>VLOOKUP(F722,DISTRICTS!B$2:C$626,2,FALSE)</f>
        <v>HORTALEZA</v>
      </c>
      <c r="H722" s="16" t="str">
        <f>IFERROR(VLOOKUP(G722,'areas for question 4'!A$2:B$10,2,FALSE),"")</f>
        <v/>
      </c>
      <c r="I722" t="s">
        <v>1444</v>
      </c>
      <c r="J722" t="s">
        <v>1450</v>
      </c>
      <c r="K722" t="s">
        <v>1456</v>
      </c>
      <c r="L722" t="s">
        <v>1469</v>
      </c>
      <c r="M722" t="s">
        <v>1478</v>
      </c>
      <c r="N722" s="18">
        <v>7</v>
      </c>
    </row>
    <row r="723" spans="1:14" x14ac:dyDescent="0.25">
      <c r="A723" t="s">
        <v>1000</v>
      </c>
      <c r="B723" s="7">
        <v>43720</v>
      </c>
      <c r="C723" s="4">
        <v>0.89930555555555547</v>
      </c>
      <c r="D723" s="15">
        <f t="shared" si="22"/>
        <v>21</v>
      </c>
      <c r="E723" s="15" t="str">
        <f t="shared" si="23"/>
        <v>After 15</v>
      </c>
      <c r="F723" t="s">
        <v>1001</v>
      </c>
      <c r="G723" s="16" t="str">
        <f>VLOOKUP(F723,DISTRICTS!B$2:C$626,2,FALSE)</f>
        <v>HORTALEZA</v>
      </c>
      <c r="H723" s="16" t="str">
        <f>IFERROR(VLOOKUP(G723,'areas for question 4'!A$2:B$10,2,FALSE),"")</f>
        <v/>
      </c>
      <c r="I723" t="s">
        <v>1444</v>
      </c>
      <c r="J723" t="s">
        <v>1450</v>
      </c>
      <c r="K723" t="s">
        <v>1456</v>
      </c>
      <c r="L723" t="s">
        <v>1469</v>
      </c>
      <c r="M723" t="s">
        <v>1477</v>
      </c>
      <c r="N723" s="18">
        <v>7</v>
      </c>
    </row>
    <row r="724" spans="1:14" x14ac:dyDescent="0.25">
      <c r="A724" t="s">
        <v>1032</v>
      </c>
      <c r="B724" s="7">
        <v>43726</v>
      </c>
      <c r="C724" s="4">
        <v>0.72430555555555554</v>
      </c>
      <c r="D724" s="15">
        <f t="shared" si="22"/>
        <v>17</v>
      </c>
      <c r="E724" s="15" t="str">
        <f t="shared" si="23"/>
        <v>After 15</v>
      </c>
      <c r="F724" t="s">
        <v>1033</v>
      </c>
      <c r="G724" s="16" t="str">
        <f>VLOOKUP(F724,DISTRICTS!B$2:C$626,2,FALSE)</f>
        <v>USERA</v>
      </c>
      <c r="H724" s="16" t="str">
        <f>IFERROR(VLOOKUP(G724,'areas for question 4'!A$2:B$10,2,FALSE),"")</f>
        <v/>
      </c>
      <c r="I724" t="s">
        <v>1444</v>
      </c>
      <c r="J724" t="s">
        <v>1450</v>
      </c>
      <c r="K724" t="s">
        <v>1456</v>
      </c>
      <c r="L724" t="s">
        <v>1469</v>
      </c>
      <c r="M724" t="s">
        <v>1478</v>
      </c>
      <c r="N724" s="18">
        <v>6</v>
      </c>
    </row>
    <row r="725" spans="1:14" x14ac:dyDescent="0.25">
      <c r="A725" t="s">
        <v>1041</v>
      </c>
      <c r="B725" s="7">
        <v>43727</v>
      </c>
      <c r="C725" s="4">
        <v>0.55208333333333337</v>
      </c>
      <c r="D725" s="15">
        <f t="shared" si="22"/>
        <v>13</v>
      </c>
      <c r="E725" s="15" t="str">
        <f t="shared" si="23"/>
        <v>Before 15</v>
      </c>
      <c r="F725" t="s">
        <v>1042</v>
      </c>
      <c r="G725" s="16" t="str">
        <f>VLOOKUP(F725,DISTRICTS!B$2:C$626,2,FALSE)</f>
        <v>PUENTE DE VALLECAS</v>
      </c>
      <c r="H725" s="16" t="str">
        <f>IFERROR(VLOOKUP(G725,'areas for question 4'!A$2:B$10,2,FALSE),"")</f>
        <v/>
      </c>
      <c r="I725" t="s">
        <v>1446</v>
      </c>
      <c r="J725" t="s">
        <v>1450</v>
      </c>
      <c r="K725" t="s">
        <v>1456</v>
      </c>
      <c r="L725" t="s">
        <v>1469</v>
      </c>
      <c r="M725" t="s">
        <v>1477</v>
      </c>
      <c r="N725" s="18">
        <v>2</v>
      </c>
    </row>
    <row r="726" spans="1:14" x14ac:dyDescent="0.25">
      <c r="A726" t="s">
        <v>1048</v>
      </c>
      <c r="B726" s="7">
        <v>43729</v>
      </c>
      <c r="C726" s="4">
        <v>0.5</v>
      </c>
      <c r="D726" s="15">
        <f t="shared" si="22"/>
        <v>12</v>
      </c>
      <c r="E726" s="15" t="str">
        <f t="shared" si="23"/>
        <v>Before 15</v>
      </c>
      <c r="F726" t="s">
        <v>1049</v>
      </c>
      <c r="G726" s="16" t="str">
        <f>VLOOKUP(F726,DISTRICTS!B$2:C$626,2,FALSE)</f>
        <v>FUENCARRAL-EL PARDO</v>
      </c>
      <c r="H726" s="16" t="str">
        <f>IFERROR(VLOOKUP(G726,'areas for question 4'!A$2:B$10,2,FALSE),"")</f>
        <v>North</v>
      </c>
      <c r="I726" t="s">
        <v>1444</v>
      </c>
      <c r="J726" t="s">
        <v>1450</v>
      </c>
      <c r="K726" t="s">
        <v>1456</v>
      </c>
      <c r="L726" t="s">
        <v>1469</v>
      </c>
      <c r="M726" t="s">
        <v>1477</v>
      </c>
      <c r="N726" s="18">
        <v>6</v>
      </c>
    </row>
    <row r="727" spans="1:14" x14ac:dyDescent="0.25">
      <c r="A727" t="s">
        <v>1064</v>
      </c>
      <c r="B727" s="7">
        <v>43732</v>
      </c>
      <c r="C727" s="4">
        <v>0.81944444444444453</v>
      </c>
      <c r="D727" s="15">
        <f t="shared" si="22"/>
        <v>19</v>
      </c>
      <c r="E727" s="15" t="str">
        <f t="shared" si="23"/>
        <v>After 15</v>
      </c>
      <c r="F727" t="s">
        <v>925</v>
      </c>
      <c r="G727" s="16" t="str">
        <f>VLOOKUP(F727,DISTRICTS!B$2:C$626,2,FALSE)</f>
        <v>MORATALAZ</v>
      </c>
      <c r="H727" s="16" t="str">
        <f>IFERROR(VLOOKUP(G727,'areas for question 4'!A$2:B$10,2,FALSE),"")</f>
        <v>East</v>
      </c>
      <c r="I727" t="s">
        <v>1446</v>
      </c>
      <c r="J727" t="s">
        <v>1450</v>
      </c>
      <c r="K727" t="s">
        <v>1456</v>
      </c>
      <c r="L727" t="s">
        <v>1469</v>
      </c>
      <c r="M727" t="s">
        <v>1477</v>
      </c>
      <c r="N727" s="18">
        <v>7</v>
      </c>
    </row>
    <row r="728" spans="1:14" x14ac:dyDescent="0.25">
      <c r="A728" t="s">
        <v>1074</v>
      </c>
      <c r="B728" s="7">
        <v>43735</v>
      </c>
      <c r="C728" s="4">
        <v>0.83680555555555547</v>
      </c>
      <c r="D728" s="15">
        <f t="shared" si="22"/>
        <v>20</v>
      </c>
      <c r="E728" s="15" t="str">
        <f t="shared" si="23"/>
        <v>After 15</v>
      </c>
      <c r="F728" t="s">
        <v>262</v>
      </c>
      <c r="G728" s="16" t="str">
        <f>VLOOKUP(F728,DISTRICTS!B$2:C$626,2,FALSE)</f>
        <v>RETIRO</v>
      </c>
      <c r="H728" s="16" t="str">
        <f>IFERROR(VLOOKUP(G728,'areas for question 4'!A$2:B$10,2,FALSE),"")</f>
        <v/>
      </c>
      <c r="I728" t="s">
        <v>1443</v>
      </c>
      <c r="J728" t="s">
        <v>1450</v>
      </c>
      <c r="K728" t="s">
        <v>1456</v>
      </c>
      <c r="L728" t="s">
        <v>1469</v>
      </c>
      <c r="M728" t="s">
        <v>1477</v>
      </c>
      <c r="N728" s="18">
        <v>14</v>
      </c>
    </row>
    <row r="729" spans="1:14" x14ac:dyDescent="0.25">
      <c r="A729" t="s">
        <v>1079</v>
      </c>
      <c r="B729" s="7">
        <v>43735</v>
      </c>
      <c r="C729" s="4">
        <v>0.47361111111111115</v>
      </c>
      <c r="D729" s="15">
        <f t="shared" si="22"/>
        <v>11</v>
      </c>
      <c r="E729" s="15" t="str">
        <f t="shared" si="23"/>
        <v>Before 15</v>
      </c>
      <c r="F729" t="s">
        <v>1080</v>
      </c>
      <c r="G729" s="16" t="str">
        <f>VLOOKUP(F729,DISTRICTS!B$2:C$626,2,FALSE)</f>
        <v>VILLAVERDE</v>
      </c>
      <c r="H729" s="16" t="str">
        <f>IFERROR(VLOOKUP(G729,'areas for question 4'!A$2:B$10,2,FALSE),"")</f>
        <v/>
      </c>
      <c r="I729" t="s">
        <v>1446</v>
      </c>
      <c r="J729" t="s">
        <v>1450</v>
      </c>
      <c r="K729" t="s">
        <v>1456</v>
      </c>
      <c r="L729" t="s">
        <v>1469</v>
      </c>
      <c r="M729" t="s">
        <v>1477</v>
      </c>
      <c r="N729" s="18">
        <v>3</v>
      </c>
    </row>
    <row r="730" spans="1:14" x14ac:dyDescent="0.25">
      <c r="A730" t="s">
        <v>1105</v>
      </c>
      <c r="B730" s="7">
        <v>43739</v>
      </c>
      <c r="C730" s="4">
        <v>0.83333333333333337</v>
      </c>
      <c r="D730" s="15">
        <f t="shared" si="22"/>
        <v>20</v>
      </c>
      <c r="E730" s="15" t="str">
        <f t="shared" si="23"/>
        <v>After 15</v>
      </c>
      <c r="F730" t="s">
        <v>1106</v>
      </c>
      <c r="G730" s="16" t="str">
        <f>VLOOKUP(F730,DISTRICTS!B$2:C$626,2,FALSE)</f>
        <v>CIUDAD LINEAL</v>
      </c>
      <c r="H730" s="16" t="str">
        <f>IFERROR(VLOOKUP(G730,'areas for question 4'!A$2:B$10,2,FALSE),"")</f>
        <v>East</v>
      </c>
      <c r="I730" t="s">
        <v>1443</v>
      </c>
      <c r="J730" t="s">
        <v>1450</v>
      </c>
      <c r="K730" t="s">
        <v>1458</v>
      </c>
      <c r="L730" t="s">
        <v>1469</v>
      </c>
      <c r="M730" t="s">
        <v>1478</v>
      </c>
      <c r="N730" s="18">
        <v>3</v>
      </c>
    </row>
    <row r="731" spans="1:14" x14ac:dyDescent="0.25">
      <c r="A731" t="s">
        <v>1138</v>
      </c>
      <c r="B731" s="7">
        <v>43742</v>
      </c>
      <c r="C731" s="4">
        <v>0.71736111111111101</v>
      </c>
      <c r="D731" s="15">
        <f t="shared" si="22"/>
        <v>17</v>
      </c>
      <c r="E731" s="15" t="str">
        <f t="shared" si="23"/>
        <v>After 15</v>
      </c>
      <c r="F731" t="s">
        <v>1139</v>
      </c>
      <c r="G731" s="16" t="str">
        <f>VLOOKUP(F731,DISTRICTS!B$2:C$626,2,FALSE)</f>
        <v>LATINA</v>
      </c>
      <c r="H731" s="16" t="str">
        <f>IFERROR(VLOOKUP(G731,'areas for question 4'!A$2:B$10,2,FALSE),"")</f>
        <v/>
      </c>
      <c r="I731" t="s">
        <v>1443</v>
      </c>
      <c r="J731" t="s">
        <v>1455</v>
      </c>
      <c r="K731" t="s">
        <v>1458</v>
      </c>
      <c r="L731" t="s">
        <v>1469</v>
      </c>
      <c r="M731" t="s">
        <v>1477</v>
      </c>
      <c r="N731" s="18">
        <v>1</v>
      </c>
    </row>
    <row r="732" spans="1:14" x14ac:dyDescent="0.25">
      <c r="A732" t="s">
        <v>1156</v>
      </c>
      <c r="B732" s="7">
        <v>43744</v>
      </c>
      <c r="C732" s="4">
        <v>0.70833333333333337</v>
      </c>
      <c r="D732" s="15">
        <f t="shared" si="22"/>
        <v>17</v>
      </c>
      <c r="E732" s="15" t="str">
        <f t="shared" si="23"/>
        <v>After 15</v>
      </c>
      <c r="F732" t="s">
        <v>1157</v>
      </c>
      <c r="G732" s="16" t="str">
        <f>VLOOKUP(F732,DISTRICTS!B$2:C$626,2,FALSE)</f>
        <v>SALAMANCA</v>
      </c>
      <c r="H732" s="16" t="str">
        <f>IFERROR(VLOOKUP(G732,'areas for question 4'!A$2:B$10,2,FALSE),"")</f>
        <v/>
      </c>
      <c r="I732" t="s">
        <v>1443</v>
      </c>
      <c r="J732" t="s">
        <v>1450</v>
      </c>
      <c r="K732" t="s">
        <v>1456</v>
      </c>
      <c r="L732" t="s">
        <v>1469</v>
      </c>
      <c r="M732" t="s">
        <v>1477</v>
      </c>
      <c r="N732" s="18">
        <v>7</v>
      </c>
    </row>
    <row r="733" spans="1:14" x14ac:dyDescent="0.25">
      <c r="A733" t="s">
        <v>1156</v>
      </c>
      <c r="B733" s="7">
        <v>43744</v>
      </c>
      <c r="C733" s="4">
        <v>0.70833333333333337</v>
      </c>
      <c r="D733" s="15">
        <f t="shared" si="22"/>
        <v>17</v>
      </c>
      <c r="E733" s="15" t="str">
        <f t="shared" si="23"/>
        <v>After 15</v>
      </c>
      <c r="F733" t="s">
        <v>1157</v>
      </c>
      <c r="G733" s="16" t="str">
        <f>VLOOKUP(F733,DISTRICTS!B$2:C$626,2,FALSE)</f>
        <v>SALAMANCA</v>
      </c>
      <c r="H733" s="16" t="str">
        <f>IFERROR(VLOOKUP(G733,'areas for question 4'!A$2:B$10,2,FALSE),"")</f>
        <v/>
      </c>
      <c r="I733" t="s">
        <v>1443</v>
      </c>
      <c r="J733" t="s">
        <v>1450</v>
      </c>
      <c r="K733" t="s">
        <v>1458</v>
      </c>
      <c r="L733" t="s">
        <v>1469</v>
      </c>
      <c r="M733" t="s">
        <v>1478</v>
      </c>
      <c r="N733" s="18">
        <v>7</v>
      </c>
    </row>
    <row r="734" spans="1:14" x14ac:dyDescent="0.25">
      <c r="A734" t="s">
        <v>1191</v>
      </c>
      <c r="B734" s="7">
        <v>43753</v>
      </c>
      <c r="C734" s="4">
        <v>0.79513888888888884</v>
      </c>
      <c r="D734" s="15">
        <f t="shared" si="22"/>
        <v>19</v>
      </c>
      <c r="E734" s="15" t="str">
        <f t="shared" si="23"/>
        <v>After 15</v>
      </c>
      <c r="F734" t="s">
        <v>1192</v>
      </c>
      <c r="G734" s="16" t="str">
        <f>VLOOKUP(F734,DISTRICTS!B$2:C$626,2,FALSE)</f>
        <v>CHAMBERÍ</v>
      </c>
      <c r="H734" s="16" t="str">
        <f>IFERROR(VLOOKUP(G734,'areas for question 4'!A$2:B$10,2,FALSE),"")</f>
        <v>North</v>
      </c>
      <c r="I734" t="s">
        <v>1446</v>
      </c>
      <c r="J734" t="s">
        <v>1450</v>
      </c>
      <c r="K734" t="s">
        <v>1456</v>
      </c>
      <c r="L734" t="s">
        <v>1469</v>
      </c>
      <c r="M734" t="s">
        <v>1477</v>
      </c>
      <c r="N734" s="18">
        <v>14</v>
      </c>
    </row>
    <row r="735" spans="1:14" x14ac:dyDescent="0.25">
      <c r="A735" t="s">
        <v>1235</v>
      </c>
      <c r="B735" s="7">
        <v>43764</v>
      </c>
      <c r="C735" s="4">
        <v>0.72569444444444453</v>
      </c>
      <c r="D735" s="15">
        <f t="shared" si="22"/>
        <v>17</v>
      </c>
      <c r="E735" s="15" t="str">
        <f t="shared" si="23"/>
        <v>After 15</v>
      </c>
      <c r="F735" t="s">
        <v>1217</v>
      </c>
      <c r="G735" s="16" t="str">
        <f>VLOOKUP(F735,DISTRICTS!B$2:C$626,2,FALSE)</f>
        <v>SAN BLAS-CANILLEJAS</v>
      </c>
      <c r="H735" s="16" t="str">
        <f>IFERROR(VLOOKUP(G735,'areas for question 4'!A$2:B$10,2,FALSE),"")</f>
        <v>East</v>
      </c>
      <c r="I735" t="s">
        <v>1444</v>
      </c>
      <c r="J735" t="s">
        <v>1450</v>
      </c>
      <c r="K735" t="s">
        <v>1456</v>
      </c>
      <c r="L735" t="s">
        <v>1469</v>
      </c>
      <c r="M735" t="s">
        <v>1477</v>
      </c>
      <c r="N735" s="18">
        <v>6</v>
      </c>
    </row>
    <row r="736" spans="1:14" x14ac:dyDescent="0.25">
      <c r="A736" t="s">
        <v>1251</v>
      </c>
      <c r="B736" s="7">
        <v>43768</v>
      </c>
      <c r="C736" s="4">
        <v>0.41666666666666669</v>
      </c>
      <c r="D736" s="15">
        <f t="shared" si="22"/>
        <v>10</v>
      </c>
      <c r="E736" s="15" t="str">
        <f t="shared" si="23"/>
        <v>Before 15</v>
      </c>
      <c r="F736" t="s">
        <v>1252</v>
      </c>
      <c r="G736" s="16" t="str">
        <f>VLOOKUP(F736,DISTRICTS!B$2:C$626,2,FALSE)</f>
        <v>CENTRO</v>
      </c>
      <c r="H736" s="16" t="str">
        <f>IFERROR(VLOOKUP(G736,'areas for question 4'!A$2:B$10,2,FALSE),"")</f>
        <v/>
      </c>
      <c r="I736" t="s">
        <v>1441</v>
      </c>
      <c r="J736" t="s">
        <v>1450</v>
      </c>
      <c r="K736" t="s">
        <v>1456</v>
      </c>
      <c r="L736" t="s">
        <v>1469</v>
      </c>
      <c r="M736" t="s">
        <v>1478</v>
      </c>
      <c r="N736" s="18">
        <v>7</v>
      </c>
    </row>
    <row r="737" spans="1:14" x14ac:dyDescent="0.25">
      <c r="A737" t="s">
        <v>1368</v>
      </c>
      <c r="B737" s="7">
        <v>43804</v>
      </c>
      <c r="C737" s="4">
        <v>0.24652777777777779</v>
      </c>
      <c r="D737" s="15">
        <f t="shared" si="22"/>
        <v>5</v>
      </c>
      <c r="E737" s="15" t="str">
        <f t="shared" si="23"/>
        <v>Before 15</v>
      </c>
      <c r="F737" t="s">
        <v>649</v>
      </c>
      <c r="G737" s="16" t="str">
        <f>VLOOKUP(F737,DISTRICTS!B$2:C$626,2,FALSE)</f>
        <v>FUENCARRAL-EL PARDO</v>
      </c>
      <c r="H737" s="16" t="str">
        <f>IFERROR(VLOOKUP(G737,'areas for question 4'!A$2:B$10,2,FALSE),"")</f>
        <v>North</v>
      </c>
      <c r="I737" t="s">
        <v>1446</v>
      </c>
      <c r="J737" t="s">
        <v>1452</v>
      </c>
      <c r="K737" t="s">
        <v>1456</v>
      </c>
      <c r="L737" t="s">
        <v>1469</v>
      </c>
      <c r="M737" t="s">
        <v>1477</v>
      </c>
      <c r="N737" s="18">
        <v>1</v>
      </c>
    </row>
    <row r="738" spans="1:14" x14ac:dyDescent="0.25">
      <c r="A738" t="s">
        <v>1382</v>
      </c>
      <c r="B738" s="7">
        <v>43813</v>
      </c>
      <c r="C738" s="4">
        <v>0.77777777777777779</v>
      </c>
      <c r="D738" s="15">
        <f t="shared" si="22"/>
        <v>18</v>
      </c>
      <c r="E738" s="15" t="str">
        <f t="shared" si="23"/>
        <v>After 15</v>
      </c>
      <c r="F738" t="s">
        <v>1383</v>
      </c>
      <c r="G738" s="16" t="str">
        <f>VLOOKUP(F738,DISTRICTS!B$2:C$626,2,FALSE)</f>
        <v>ARGANZUELA</v>
      </c>
      <c r="H738" s="16" t="str">
        <f>IFERROR(VLOOKUP(G738,'areas for question 4'!A$2:B$10,2,FALSE),"")</f>
        <v/>
      </c>
      <c r="I738" t="s">
        <v>1443</v>
      </c>
      <c r="J738" t="s">
        <v>1450</v>
      </c>
      <c r="K738" t="s">
        <v>1456</v>
      </c>
      <c r="L738" t="s">
        <v>1469</v>
      </c>
      <c r="M738" t="s">
        <v>1477</v>
      </c>
      <c r="N738" s="18">
        <v>14</v>
      </c>
    </row>
    <row r="739" spans="1:14" x14ac:dyDescent="0.25">
      <c r="A739" t="s">
        <v>1411</v>
      </c>
      <c r="B739" s="7">
        <v>43820</v>
      </c>
      <c r="C739" s="4">
        <v>0.91666666666666663</v>
      </c>
      <c r="D739" s="15">
        <f t="shared" si="22"/>
        <v>22</v>
      </c>
      <c r="E739" s="15" t="str">
        <f t="shared" si="23"/>
        <v>After 15</v>
      </c>
      <c r="F739" t="s">
        <v>1412</v>
      </c>
      <c r="G739" s="16" t="str">
        <f>VLOOKUP(F739,DISTRICTS!B$2:C$626,2,FALSE)</f>
        <v>CENTRO</v>
      </c>
      <c r="H739" s="16" t="str">
        <f>IFERROR(VLOOKUP(G739,'areas for question 4'!A$2:B$10,2,FALSE),"")</f>
        <v/>
      </c>
      <c r="I739" t="s">
        <v>1443</v>
      </c>
      <c r="J739" t="s">
        <v>1450</v>
      </c>
      <c r="K739" t="s">
        <v>1458</v>
      </c>
      <c r="L739" t="s">
        <v>1469</v>
      </c>
      <c r="M739" t="s">
        <v>1477</v>
      </c>
      <c r="N739" s="18">
        <v>7</v>
      </c>
    </row>
    <row r="740" spans="1:14" x14ac:dyDescent="0.25">
      <c r="A740" t="s">
        <v>1411</v>
      </c>
      <c r="B740" s="7">
        <v>43820</v>
      </c>
      <c r="C740" s="4">
        <v>0.91666666666666663</v>
      </c>
      <c r="D740" s="15">
        <f t="shared" si="22"/>
        <v>22</v>
      </c>
      <c r="E740" s="15" t="str">
        <f t="shared" si="23"/>
        <v>After 15</v>
      </c>
      <c r="F740" t="s">
        <v>1412</v>
      </c>
      <c r="G740" s="16" t="str">
        <f>VLOOKUP(F740,DISTRICTS!B$2:C$626,2,FALSE)</f>
        <v>CENTRO</v>
      </c>
      <c r="H740" s="16" t="str">
        <f>IFERROR(VLOOKUP(G740,'areas for question 4'!A$2:B$10,2,FALSE),"")</f>
        <v/>
      </c>
      <c r="I740" t="s">
        <v>1443</v>
      </c>
      <c r="J740" t="s">
        <v>1450</v>
      </c>
      <c r="K740" t="s">
        <v>1458</v>
      </c>
      <c r="L740" t="s">
        <v>1469</v>
      </c>
      <c r="M740" t="s">
        <v>1478</v>
      </c>
      <c r="N740" s="18">
        <v>14</v>
      </c>
    </row>
    <row r="741" spans="1:14" x14ac:dyDescent="0.25">
      <c r="A741" t="s">
        <v>1417</v>
      </c>
      <c r="B741" s="7">
        <v>43823</v>
      </c>
      <c r="C741" s="4">
        <v>0.56597222222222221</v>
      </c>
      <c r="D741" s="15">
        <f t="shared" si="22"/>
        <v>13</v>
      </c>
      <c r="E741" s="15" t="str">
        <f t="shared" si="23"/>
        <v>Before 15</v>
      </c>
      <c r="F741" t="s">
        <v>1418</v>
      </c>
      <c r="G741" s="16" t="str">
        <f>VLOOKUP(F741,DISTRICTS!B$2:C$626,2,FALSE)</f>
        <v>FUENCARRAL-EL PARDO</v>
      </c>
      <c r="H741" s="16" t="str">
        <f>IFERROR(VLOOKUP(G741,'areas for question 4'!A$2:B$10,2,FALSE),"")</f>
        <v>North</v>
      </c>
      <c r="I741" t="s">
        <v>1444</v>
      </c>
      <c r="J741" t="s">
        <v>1450</v>
      </c>
      <c r="K741" t="s">
        <v>1456</v>
      </c>
      <c r="L741" t="s">
        <v>1469</v>
      </c>
      <c r="M741" t="s">
        <v>1477</v>
      </c>
      <c r="N741" s="18">
        <v>6</v>
      </c>
    </row>
    <row r="742" spans="1:14" x14ac:dyDescent="0.25">
      <c r="A742" s="5" t="s">
        <v>60</v>
      </c>
      <c r="B742" s="7">
        <v>43481</v>
      </c>
      <c r="C742" s="4">
        <v>0.63888888888888895</v>
      </c>
      <c r="D742" s="15">
        <f t="shared" si="22"/>
        <v>15</v>
      </c>
      <c r="E742" s="15" t="str">
        <f t="shared" si="23"/>
        <v>After 15</v>
      </c>
      <c r="F742" t="s">
        <v>61</v>
      </c>
      <c r="G742" s="16" t="str">
        <f>VLOOKUP(F742,DISTRICTS!B$2:C$626,2,FALSE)</f>
        <v>CHAMBERÍ</v>
      </c>
      <c r="H742" s="16" t="str">
        <f>IFERROR(VLOOKUP(G742,'areas for question 4'!A$2:B$10,2,FALSE),"")</f>
        <v>North</v>
      </c>
      <c r="I742" t="s">
        <v>1444</v>
      </c>
      <c r="J742" t="s">
        <v>1450</v>
      </c>
      <c r="K742" t="s">
        <v>1456</v>
      </c>
      <c r="L742" t="s">
        <v>1470</v>
      </c>
      <c r="M742" s="5" t="s">
        <v>1478</v>
      </c>
      <c r="N742" s="18">
        <v>7</v>
      </c>
    </row>
    <row r="743" spans="1:14" x14ac:dyDescent="0.25">
      <c r="A743" s="5" t="s">
        <v>90</v>
      </c>
      <c r="B743" s="7">
        <v>43489</v>
      </c>
      <c r="C743" s="4">
        <v>0.46875</v>
      </c>
      <c r="D743" s="15">
        <f t="shared" si="22"/>
        <v>11</v>
      </c>
      <c r="E743" s="15" t="str">
        <f t="shared" si="23"/>
        <v>Before 15</v>
      </c>
      <c r="F743" t="s">
        <v>91</v>
      </c>
      <c r="G743" s="16" t="str">
        <f>VLOOKUP(F743,DISTRICTS!B$2:C$626,2,FALSE)</f>
        <v>TETUÁN</v>
      </c>
      <c r="H743" s="16" t="str">
        <f>IFERROR(VLOOKUP(G743,'areas for question 4'!A$2:B$10,2,FALSE),"")</f>
        <v>North</v>
      </c>
      <c r="I743" t="s">
        <v>1443</v>
      </c>
      <c r="J743" t="s">
        <v>1450</v>
      </c>
      <c r="K743" t="s">
        <v>1456</v>
      </c>
      <c r="L743" t="s">
        <v>1470</v>
      </c>
      <c r="M743" s="5" t="s">
        <v>1477</v>
      </c>
      <c r="N743" s="18">
        <v>14</v>
      </c>
    </row>
    <row r="744" spans="1:14" x14ac:dyDescent="0.25">
      <c r="A744" s="5" t="s">
        <v>90</v>
      </c>
      <c r="B744" s="7">
        <v>43489</v>
      </c>
      <c r="C744" s="4">
        <v>0.46875</v>
      </c>
      <c r="D744" s="15">
        <f t="shared" si="22"/>
        <v>11</v>
      </c>
      <c r="E744" s="15" t="str">
        <f t="shared" si="23"/>
        <v>Before 15</v>
      </c>
      <c r="F744" t="s">
        <v>91</v>
      </c>
      <c r="G744" s="16" t="str">
        <f>VLOOKUP(F744,DISTRICTS!B$2:C$626,2,FALSE)</f>
        <v>TETUÁN</v>
      </c>
      <c r="H744" s="16" t="str">
        <f>IFERROR(VLOOKUP(G744,'areas for question 4'!A$2:B$10,2,FALSE),"")</f>
        <v>North</v>
      </c>
      <c r="I744" t="s">
        <v>1443</v>
      </c>
      <c r="J744" t="s">
        <v>1450</v>
      </c>
      <c r="K744" t="s">
        <v>1458</v>
      </c>
      <c r="L744" t="s">
        <v>1470</v>
      </c>
      <c r="M744" s="5" t="s">
        <v>1478</v>
      </c>
      <c r="N744" s="18">
        <v>7</v>
      </c>
    </row>
    <row r="745" spans="1:14" x14ac:dyDescent="0.25">
      <c r="A745" s="5" t="s">
        <v>100</v>
      </c>
      <c r="B745" s="7">
        <v>43493</v>
      </c>
      <c r="C745" s="4">
        <v>0.75</v>
      </c>
      <c r="D745" s="15">
        <f t="shared" si="22"/>
        <v>18</v>
      </c>
      <c r="E745" s="15" t="str">
        <f t="shared" si="23"/>
        <v>After 15</v>
      </c>
      <c r="F745" t="s">
        <v>101</v>
      </c>
      <c r="G745" s="16" t="str">
        <f>VLOOKUP(F745,DISTRICTS!B$2:C$626,2,FALSE)</f>
        <v>ARGANZUELA</v>
      </c>
      <c r="H745" s="16" t="str">
        <f>IFERROR(VLOOKUP(G745,'areas for question 4'!A$2:B$10,2,FALSE),"")</f>
        <v/>
      </c>
      <c r="I745" t="s">
        <v>1444</v>
      </c>
      <c r="J745" t="s">
        <v>1450</v>
      </c>
      <c r="K745" t="s">
        <v>1456</v>
      </c>
      <c r="L745" t="s">
        <v>1470</v>
      </c>
      <c r="M745" s="5" t="s">
        <v>1477</v>
      </c>
      <c r="N745" s="18">
        <v>14</v>
      </c>
    </row>
    <row r="746" spans="1:14" x14ac:dyDescent="0.25">
      <c r="A746" t="s">
        <v>153</v>
      </c>
      <c r="B746" s="7">
        <v>43509</v>
      </c>
      <c r="C746" s="4">
        <v>0.60069444444444442</v>
      </c>
      <c r="D746" s="15">
        <f t="shared" si="22"/>
        <v>14</v>
      </c>
      <c r="E746" s="15" t="str">
        <f t="shared" si="23"/>
        <v>Before 15</v>
      </c>
      <c r="F746" t="s">
        <v>154</v>
      </c>
      <c r="G746" s="16" t="str">
        <f>VLOOKUP(F746,DISTRICTS!B$2:C$626,2,FALSE)</f>
        <v>SALAMANCA</v>
      </c>
      <c r="H746" s="16" t="str">
        <f>IFERROR(VLOOKUP(G746,'areas for question 4'!A$2:B$10,2,FALSE),"")</f>
        <v/>
      </c>
      <c r="I746" t="s">
        <v>1441</v>
      </c>
      <c r="J746" t="s">
        <v>1450</v>
      </c>
      <c r="K746" t="s">
        <v>1456</v>
      </c>
      <c r="L746" t="s">
        <v>1470</v>
      </c>
      <c r="M746" t="s">
        <v>1478</v>
      </c>
      <c r="N746" s="18">
        <v>2</v>
      </c>
    </row>
    <row r="747" spans="1:14" x14ac:dyDescent="0.25">
      <c r="A747" t="s">
        <v>189</v>
      </c>
      <c r="B747" s="7">
        <v>43523</v>
      </c>
      <c r="C747" s="4">
        <v>0.77777777777777779</v>
      </c>
      <c r="D747" s="15">
        <f t="shared" si="22"/>
        <v>18</v>
      </c>
      <c r="E747" s="15" t="str">
        <f t="shared" si="23"/>
        <v>After 15</v>
      </c>
      <c r="F747" t="s">
        <v>190</v>
      </c>
      <c r="G747" s="16" t="str">
        <f>VLOOKUP(F747,DISTRICTS!B$2:C$626,2,FALSE)</f>
        <v>CHAMBERÍ</v>
      </c>
      <c r="H747" s="16" t="str">
        <f>IFERROR(VLOOKUP(G747,'areas for question 4'!A$2:B$10,2,FALSE),"")</f>
        <v>North</v>
      </c>
      <c r="I747" t="s">
        <v>1441</v>
      </c>
      <c r="J747" t="s">
        <v>1450</v>
      </c>
      <c r="K747" t="s">
        <v>1456</v>
      </c>
      <c r="L747" t="s">
        <v>1470</v>
      </c>
      <c r="M747" t="s">
        <v>1477</v>
      </c>
      <c r="N747" s="18">
        <v>7</v>
      </c>
    </row>
    <row r="748" spans="1:14" x14ac:dyDescent="0.25">
      <c r="A748" t="s">
        <v>210</v>
      </c>
      <c r="B748" s="7">
        <v>43527</v>
      </c>
      <c r="C748" s="4">
        <v>0.97569444444444453</v>
      </c>
      <c r="D748" s="15">
        <f t="shared" si="22"/>
        <v>23</v>
      </c>
      <c r="E748" s="15" t="str">
        <f t="shared" si="23"/>
        <v>After 15</v>
      </c>
      <c r="F748" t="s">
        <v>211</v>
      </c>
      <c r="G748" s="16" t="str">
        <f>VLOOKUP(F748,DISTRICTS!B$2:C$626,2,FALSE)</f>
        <v>CENTRO</v>
      </c>
      <c r="H748" s="16" t="str">
        <f>IFERROR(VLOOKUP(G748,'areas for question 4'!A$2:B$10,2,FALSE),"")</f>
        <v/>
      </c>
      <c r="I748" t="s">
        <v>1447</v>
      </c>
      <c r="J748" t="s">
        <v>1450</v>
      </c>
      <c r="K748" t="s">
        <v>1456</v>
      </c>
      <c r="L748" t="s">
        <v>1470</v>
      </c>
      <c r="M748" t="s">
        <v>1477</v>
      </c>
      <c r="N748" s="18">
        <v>7</v>
      </c>
    </row>
    <row r="749" spans="1:14" x14ac:dyDescent="0.25">
      <c r="A749" t="s">
        <v>240</v>
      </c>
      <c r="B749" s="7">
        <v>43534</v>
      </c>
      <c r="C749" s="4">
        <v>0.62361111111111112</v>
      </c>
      <c r="D749" s="15">
        <f t="shared" si="22"/>
        <v>14</v>
      </c>
      <c r="E749" s="15" t="str">
        <f t="shared" si="23"/>
        <v>Before 15</v>
      </c>
      <c r="F749" t="s">
        <v>241</v>
      </c>
      <c r="G749" s="16" t="str">
        <f>VLOOKUP(F749,DISTRICTS!B$2:C$626,2,FALSE)</f>
        <v>HORTALEZA</v>
      </c>
      <c r="H749" s="16" t="str">
        <f>IFERROR(VLOOKUP(G749,'areas for question 4'!A$2:B$10,2,FALSE),"")</f>
        <v/>
      </c>
      <c r="I749" t="s">
        <v>1446</v>
      </c>
      <c r="J749" t="s">
        <v>1450</v>
      </c>
      <c r="K749" t="s">
        <v>1456</v>
      </c>
      <c r="L749" t="s">
        <v>1470</v>
      </c>
      <c r="M749" t="s">
        <v>1477</v>
      </c>
      <c r="N749" s="18">
        <v>3</v>
      </c>
    </row>
    <row r="750" spans="1:14" x14ac:dyDescent="0.25">
      <c r="A750" t="s">
        <v>240</v>
      </c>
      <c r="B750" s="7">
        <v>43534</v>
      </c>
      <c r="C750" s="4">
        <v>0.62361111111111112</v>
      </c>
      <c r="D750" s="15">
        <f t="shared" si="22"/>
        <v>14</v>
      </c>
      <c r="E750" s="15" t="str">
        <f t="shared" si="23"/>
        <v>Before 15</v>
      </c>
      <c r="F750" t="s">
        <v>241</v>
      </c>
      <c r="G750" s="16" t="str">
        <f>VLOOKUP(F750,DISTRICTS!B$2:C$626,2,FALSE)</f>
        <v>HORTALEZA</v>
      </c>
      <c r="H750" s="16" t="str">
        <f>IFERROR(VLOOKUP(G750,'areas for question 4'!A$2:B$10,2,FALSE),"")</f>
        <v/>
      </c>
      <c r="I750" t="s">
        <v>1446</v>
      </c>
      <c r="J750" t="s">
        <v>1450</v>
      </c>
      <c r="K750" t="s">
        <v>1456</v>
      </c>
      <c r="L750" t="s">
        <v>1470</v>
      </c>
      <c r="M750" t="s">
        <v>1477</v>
      </c>
      <c r="N750" s="18">
        <v>14</v>
      </c>
    </row>
    <row r="751" spans="1:14" x14ac:dyDescent="0.25">
      <c r="A751" t="s">
        <v>265</v>
      </c>
      <c r="B751" s="7">
        <v>43540</v>
      </c>
      <c r="C751" s="4">
        <v>0.52083333333333337</v>
      </c>
      <c r="D751" s="15">
        <f t="shared" si="22"/>
        <v>12</v>
      </c>
      <c r="E751" s="15" t="str">
        <f t="shared" si="23"/>
        <v>Before 15</v>
      </c>
      <c r="F751" t="s">
        <v>266</v>
      </c>
      <c r="G751" s="16" t="str">
        <f>VLOOKUP(F751,DISTRICTS!B$2:C$626,2,FALSE)</f>
        <v>HORTALEZA</v>
      </c>
      <c r="H751" s="16" t="str">
        <f>IFERROR(VLOOKUP(G751,'areas for question 4'!A$2:B$10,2,FALSE),"")</f>
        <v/>
      </c>
      <c r="I751" t="s">
        <v>1441</v>
      </c>
      <c r="J751" t="s">
        <v>1450</v>
      </c>
      <c r="K751" t="s">
        <v>1456</v>
      </c>
      <c r="L751" t="s">
        <v>1470</v>
      </c>
      <c r="M751" t="s">
        <v>1477</v>
      </c>
      <c r="N751" s="18">
        <v>6</v>
      </c>
    </row>
    <row r="752" spans="1:14" x14ac:dyDescent="0.25">
      <c r="A752" t="s">
        <v>267</v>
      </c>
      <c r="B752" s="7">
        <v>43540</v>
      </c>
      <c r="C752" s="4">
        <v>5.5555555555555552E-2</v>
      </c>
      <c r="D752" s="15">
        <f t="shared" si="22"/>
        <v>1</v>
      </c>
      <c r="E752" s="15" t="str">
        <f t="shared" si="23"/>
        <v>Before 15</v>
      </c>
      <c r="F752" t="s">
        <v>268</v>
      </c>
      <c r="G752" s="16" t="str">
        <f>VLOOKUP(F752,DISTRICTS!B$2:C$626,2,FALSE)</f>
        <v>CENTRO</v>
      </c>
      <c r="H752" s="16" t="str">
        <f>IFERROR(VLOOKUP(G752,'areas for question 4'!A$2:B$10,2,FALSE),"")</f>
        <v/>
      </c>
      <c r="I752" t="s">
        <v>1444</v>
      </c>
      <c r="J752" t="s">
        <v>1450</v>
      </c>
      <c r="K752" t="s">
        <v>1456</v>
      </c>
      <c r="L752" t="s">
        <v>1470</v>
      </c>
      <c r="M752" t="s">
        <v>1477</v>
      </c>
      <c r="N752" s="18">
        <v>7</v>
      </c>
    </row>
    <row r="753" spans="1:14" x14ac:dyDescent="0.25">
      <c r="A753" t="s">
        <v>271</v>
      </c>
      <c r="B753" s="7">
        <v>43541</v>
      </c>
      <c r="C753" s="4">
        <v>0.5</v>
      </c>
      <c r="D753" s="15">
        <f t="shared" si="22"/>
        <v>12</v>
      </c>
      <c r="E753" s="15" t="str">
        <f t="shared" si="23"/>
        <v>Before 15</v>
      </c>
      <c r="F753" t="s">
        <v>272</v>
      </c>
      <c r="G753" s="16" t="str">
        <f>VLOOKUP(F753,DISTRICTS!B$2:C$626,2,FALSE)</f>
        <v>USERA</v>
      </c>
      <c r="H753" s="16" t="str">
        <f>IFERROR(VLOOKUP(G753,'areas for question 4'!A$2:B$10,2,FALSE),"")</f>
        <v/>
      </c>
      <c r="I753" t="s">
        <v>1443</v>
      </c>
      <c r="J753" t="s">
        <v>1450</v>
      </c>
      <c r="K753" t="s">
        <v>1456</v>
      </c>
      <c r="L753" t="s">
        <v>1470</v>
      </c>
      <c r="M753" t="s">
        <v>1477</v>
      </c>
      <c r="N753" s="18">
        <v>7</v>
      </c>
    </row>
    <row r="754" spans="1:14" x14ac:dyDescent="0.25">
      <c r="A754" t="s">
        <v>273</v>
      </c>
      <c r="B754" s="7">
        <v>43541</v>
      </c>
      <c r="C754" s="4">
        <v>0.49305555555555558</v>
      </c>
      <c r="D754" s="15">
        <f t="shared" si="22"/>
        <v>11</v>
      </c>
      <c r="E754" s="15" t="str">
        <f t="shared" si="23"/>
        <v>Before 15</v>
      </c>
      <c r="F754" t="s">
        <v>274</v>
      </c>
      <c r="G754" s="16" t="str">
        <f>VLOOKUP(F754,DISTRICTS!B$2:C$626,2,FALSE)</f>
        <v>USERA</v>
      </c>
      <c r="H754" s="16" t="str">
        <f>IFERROR(VLOOKUP(G754,'areas for question 4'!A$2:B$10,2,FALSE),"")</f>
        <v/>
      </c>
      <c r="I754" t="s">
        <v>1443</v>
      </c>
      <c r="J754" t="s">
        <v>1450</v>
      </c>
      <c r="K754" t="s">
        <v>1456</v>
      </c>
      <c r="L754" t="s">
        <v>1470</v>
      </c>
      <c r="M754" t="s">
        <v>1477</v>
      </c>
      <c r="N754" s="18">
        <v>7</v>
      </c>
    </row>
    <row r="755" spans="1:14" x14ac:dyDescent="0.25">
      <c r="A755" t="s">
        <v>330</v>
      </c>
      <c r="B755" s="7">
        <v>43554</v>
      </c>
      <c r="C755" s="4">
        <v>0.82638888888888884</v>
      </c>
      <c r="D755" s="15">
        <f t="shared" si="22"/>
        <v>19</v>
      </c>
      <c r="E755" s="15" t="str">
        <f t="shared" si="23"/>
        <v>After 15</v>
      </c>
      <c r="F755" t="s">
        <v>331</v>
      </c>
      <c r="G755" s="16" t="str">
        <f>VLOOKUP(F755,DISTRICTS!B$2:C$626,2,FALSE)</f>
        <v>HORTALEZA</v>
      </c>
      <c r="H755" s="16" t="str">
        <f>IFERROR(VLOOKUP(G755,'areas for question 4'!A$2:B$10,2,FALSE),"")</f>
        <v/>
      </c>
      <c r="I755" t="s">
        <v>1446</v>
      </c>
      <c r="J755" t="s">
        <v>1450</v>
      </c>
      <c r="K755" t="s">
        <v>1456</v>
      </c>
      <c r="L755" t="s">
        <v>1470</v>
      </c>
      <c r="M755" t="s">
        <v>1477</v>
      </c>
      <c r="N755" s="18">
        <v>3</v>
      </c>
    </row>
    <row r="756" spans="1:14" x14ac:dyDescent="0.25">
      <c r="A756" t="s">
        <v>404</v>
      </c>
      <c r="B756" s="7">
        <v>43579</v>
      </c>
      <c r="C756" s="4">
        <v>0.39583333333333331</v>
      </c>
      <c r="D756" s="15">
        <f t="shared" si="22"/>
        <v>9</v>
      </c>
      <c r="E756" s="15" t="str">
        <f t="shared" si="23"/>
        <v>Before 15</v>
      </c>
      <c r="F756" t="s">
        <v>405</v>
      </c>
      <c r="G756" s="16" t="str">
        <f>VLOOKUP(F756,DISTRICTS!B$2:C$626,2,FALSE)</f>
        <v>MONCLOA-ARAVACA</v>
      </c>
      <c r="H756" s="16" t="str">
        <f>IFERROR(VLOOKUP(G756,'areas for question 4'!A$2:B$10,2,FALSE),"")</f>
        <v/>
      </c>
      <c r="I756" t="s">
        <v>1446</v>
      </c>
      <c r="J756" t="s">
        <v>1452</v>
      </c>
      <c r="K756" t="s">
        <v>1456</v>
      </c>
      <c r="L756" t="s">
        <v>1470</v>
      </c>
      <c r="M756" t="s">
        <v>1477</v>
      </c>
      <c r="N756" s="18">
        <v>2</v>
      </c>
    </row>
    <row r="757" spans="1:14" x14ac:dyDescent="0.25">
      <c r="A757" t="s">
        <v>407</v>
      </c>
      <c r="B757" s="7">
        <v>43582</v>
      </c>
      <c r="C757" s="4">
        <v>0.56944444444444442</v>
      </c>
      <c r="D757" s="15">
        <f t="shared" si="22"/>
        <v>13</v>
      </c>
      <c r="E757" s="15" t="str">
        <f t="shared" si="23"/>
        <v>Before 15</v>
      </c>
      <c r="F757" t="s">
        <v>325</v>
      </c>
      <c r="G757" s="16" t="str">
        <f>VLOOKUP(F757,DISTRICTS!B$2:C$626,2,FALSE)</f>
        <v>USERA</v>
      </c>
      <c r="H757" s="16" t="str">
        <f>IFERROR(VLOOKUP(G757,'areas for question 4'!A$2:B$10,2,FALSE),"")</f>
        <v/>
      </c>
      <c r="I757" t="s">
        <v>1441</v>
      </c>
      <c r="K757" t="s">
        <v>1456</v>
      </c>
      <c r="L757" t="s">
        <v>1470</v>
      </c>
      <c r="M757" t="s">
        <v>1477</v>
      </c>
      <c r="N757" s="18">
        <v>14</v>
      </c>
    </row>
    <row r="758" spans="1:14" x14ac:dyDescent="0.25">
      <c r="A758" t="s">
        <v>416</v>
      </c>
      <c r="B758" s="7">
        <v>43584</v>
      </c>
      <c r="C758" s="4">
        <v>0.2986111111111111</v>
      </c>
      <c r="D758" s="15">
        <f t="shared" si="22"/>
        <v>7</v>
      </c>
      <c r="E758" s="15" t="str">
        <f t="shared" si="23"/>
        <v>Before 15</v>
      </c>
      <c r="F758" t="s">
        <v>417</v>
      </c>
      <c r="G758" s="16" t="str">
        <f>VLOOKUP(F758,DISTRICTS!B$2:C$626,2,FALSE)</f>
        <v>CIUDAD LINEAL</v>
      </c>
      <c r="H758" s="16" t="str">
        <f>IFERROR(VLOOKUP(G758,'areas for question 4'!A$2:B$10,2,FALSE),"")</f>
        <v>East</v>
      </c>
      <c r="I758" t="s">
        <v>1443</v>
      </c>
      <c r="J758" t="s">
        <v>1450</v>
      </c>
      <c r="K758" t="s">
        <v>1458</v>
      </c>
      <c r="L758" t="s">
        <v>1470</v>
      </c>
      <c r="M758" t="s">
        <v>1478</v>
      </c>
      <c r="N758" s="18">
        <v>2</v>
      </c>
    </row>
    <row r="759" spans="1:14" x14ac:dyDescent="0.25">
      <c r="A759" t="s">
        <v>418</v>
      </c>
      <c r="B759" s="7">
        <v>43587</v>
      </c>
      <c r="C759" s="4">
        <v>0.40208333333333335</v>
      </c>
      <c r="D759" s="15">
        <f t="shared" si="22"/>
        <v>9</v>
      </c>
      <c r="E759" s="15" t="str">
        <f t="shared" si="23"/>
        <v>Before 15</v>
      </c>
      <c r="F759" t="s">
        <v>419</v>
      </c>
      <c r="G759" s="16" t="str">
        <f>VLOOKUP(F759,DISTRICTS!B$2:C$626,2,FALSE)</f>
        <v>VICÁLVARO</v>
      </c>
      <c r="H759" s="16" t="str">
        <f>IFERROR(VLOOKUP(G759,'areas for question 4'!A$2:B$10,2,FALSE),"")</f>
        <v>East</v>
      </c>
      <c r="I759" t="s">
        <v>1443</v>
      </c>
      <c r="J759" t="s">
        <v>1450</v>
      </c>
      <c r="K759" t="s">
        <v>1456</v>
      </c>
      <c r="L759" t="s">
        <v>1470</v>
      </c>
      <c r="M759" t="s">
        <v>1477</v>
      </c>
      <c r="N759" s="18">
        <v>14</v>
      </c>
    </row>
    <row r="760" spans="1:14" x14ac:dyDescent="0.25">
      <c r="A760" t="s">
        <v>418</v>
      </c>
      <c r="B760" s="7">
        <v>43587</v>
      </c>
      <c r="C760" s="4">
        <v>0.40208333333333335</v>
      </c>
      <c r="D760" s="15">
        <f t="shared" si="22"/>
        <v>9</v>
      </c>
      <c r="E760" s="15" t="str">
        <f t="shared" si="23"/>
        <v>Before 15</v>
      </c>
      <c r="F760" t="s">
        <v>419</v>
      </c>
      <c r="G760" s="16" t="str">
        <f>VLOOKUP(F760,DISTRICTS!B$2:C$626,2,FALSE)</f>
        <v>VICÁLVARO</v>
      </c>
      <c r="H760" s="16" t="str">
        <f>IFERROR(VLOOKUP(G760,'areas for question 4'!A$2:B$10,2,FALSE),"")</f>
        <v>East</v>
      </c>
      <c r="I760" t="s">
        <v>1443</v>
      </c>
      <c r="J760" t="s">
        <v>1450</v>
      </c>
      <c r="K760" t="s">
        <v>1458</v>
      </c>
      <c r="L760" t="s">
        <v>1470</v>
      </c>
      <c r="M760" t="s">
        <v>1478</v>
      </c>
      <c r="N760" s="18">
        <v>2</v>
      </c>
    </row>
    <row r="761" spans="1:14" x14ac:dyDescent="0.25">
      <c r="A761" t="s">
        <v>447</v>
      </c>
      <c r="B761" s="7">
        <v>43595</v>
      </c>
      <c r="C761" s="4">
        <v>0.40972222222222227</v>
      </c>
      <c r="D761" s="15">
        <f t="shared" si="22"/>
        <v>9</v>
      </c>
      <c r="E761" s="15" t="str">
        <f t="shared" si="23"/>
        <v>Before 15</v>
      </c>
      <c r="F761" t="s">
        <v>319</v>
      </c>
      <c r="G761" s="16" t="str">
        <f>VLOOKUP(F761,DISTRICTS!B$2:C$626,2,FALSE)</f>
        <v>MORATALAZ</v>
      </c>
      <c r="H761" s="16" t="str">
        <f>IFERROR(VLOOKUP(G761,'areas for question 4'!A$2:B$10,2,FALSE),"")</f>
        <v>East</v>
      </c>
      <c r="I761" t="s">
        <v>1446</v>
      </c>
      <c r="K761" t="s">
        <v>1456</v>
      </c>
      <c r="L761" t="s">
        <v>1470</v>
      </c>
      <c r="M761" t="s">
        <v>1477</v>
      </c>
      <c r="N761" s="18" t="s">
        <v>34</v>
      </c>
    </row>
    <row r="762" spans="1:14" x14ac:dyDescent="0.25">
      <c r="A762" t="s">
        <v>542</v>
      </c>
      <c r="B762" s="7">
        <v>43614</v>
      </c>
      <c r="C762" s="4">
        <v>0.77777777777777779</v>
      </c>
      <c r="D762" s="15">
        <f t="shared" si="22"/>
        <v>18</v>
      </c>
      <c r="E762" s="15" t="str">
        <f t="shared" si="23"/>
        <v>After 15</v>
      </c>
      <c r="F762" t="s">
        <v>543</v>
      </c>
      <c r="G762" s="16" t="str">
        <f>VLOOKUP(F762,DISTRICTS!B$2:C$626,2,FALSE)</f>
        <v>CENTRO</v>
      </c>
      <c r="H762" s="16" t="str">
        <f>IFERROR(VLOOKUP(G762,'areas for question 4'!A$2:B$10,2,FALSE),"")</f>
        <v/>
      </c>
      <c r="I762" t="s">
        <v>1444</v>
      </c>
      <c r="J762" t="s">
        <v>1450</v>
      </c>
      <c r="K762" t="s">
        <v>1456</v>
      </c>
      <c r="L762" t="s">
        <v>1470</v>
      </c>
      <c r="M762" t="s">
        <v>1478</v>
      </c>
      <c r="N762" s="18">
        <v>2</v>
      </c>
    </row>
    <row r="763" spans="1:14" x14ac:dyDescent="0.25">
      <c r="A763" t="s">
        <v>558</v>
      </c>
      <c r="B763" s="7">
        <v>43617</v>
      </c>
      <c r="C763" s="4">
        <v>0.53819444444444442</v>
      </c>
      <c r="D763" s="15">
        <f t="shared" si="22"/>
        <v>12</v>
      </c>
      <c r="E763" s="15" t="str">
        <f t="shared" si="23"/>
        <v>Before 15</v>
      </c>
      <c r="F763" t="s">
        <v>559</v>
      </c>
      <c r="G763" s="16" t="str">
        <f>VLOOKUP(F763,DISTRICTS!B$2:C$626,2,FALSE)</f>
        <v>VILLAVERDE</v>
      </c>
      <c r="H763" s="16" t="str">
        <f>IFERROR(VLOOKUP(G763,'areas for question 4'!A$2:B$10,2,FALSE),"")</f>
        <v/>
      </c>
      <c r="I763" t="s">
        <v>1443</v>
      </c>
      <c r="J763" t="s">
        <v>1450</v>
      </c>
      <c r="K763" t="s">
        <v>1456</v>
      </c>
      <c r="L763" t="s">
        <v>1470</v>
      </c>
      <c r="M763" t="s">
        <v>1477</v>
      </c>
      <c r="N763" s="18">
        <v>7</v>
      </c>
    </row>
    <row r="764" spans="1:14" x14ac:dyDescent="0.25">
      <c r="A764" t="s">
        <v>588</v>
      </c>
      <c r="B764" s="7">
        <v>43623</v>
      </c>
      <c r="C764" s="4">
        <v>0.65625</v>
      </c>
      <c r="D764" s="15">
        <f t="shared" si="22"/>
        <v>15</v>
      </c>
      <c r="E764" s="15" t="str">
        <f t="shared" si="23"/>
        <v>After 15</v>
      </c>
      <c r="F764" t="s">
        <v>589</v>
      </c>
      <c r="G764" s="16" t="str">
        <f>VLOOKUP(F764,DISTRICTS!B$2:C$626,2,FALSE)</f>
        <v>CARABANCHEL</v>
      </c>
      <c r="H764" s="16" t="str">
        <f>IFERROR(VLOOKUP(G764,'areas for question 4'!A$2:B$10,2,FALSE),"")</f>
        <v/>
      </c>
      <c r="I764" t="s">
        <v>1441</v>
      </c>
      <c r="J764" t="s">
        <v>1450</v>
      </c>
      <c r="K764" t="s">
        <v>1456</v>
      </c>
      <c r="L764" t="s">
        <v>1470</v>
      </c>
      <c r="M764" t="s">
        <v>1477</v>
      </c>
      <c r="N764" s="18">
        <v>7</v>
      </c>
    </row>
    <row r="765" spans="1:14" x14ac:dyDescent="0.25">
      <c r="A765" t="s">
        <v>590</v>
      </c>
      <c r="B765" s="7">
        <v>43623</v>
      </c>
      <c r="C765" s="4">
        <v>0.53125</v>
      </c>
      <c r="D765" s="15">
        <f t="shared" si="22"/>
        <v>12</v>
      </c>
      <c r="E765" s="15" t="str">
        <f t="shared" si="23"/>
        <v>Before 15</v>
      </c>
      <c r="F765" t="s">
        <v>591</v>
      </c>
      <c r="G765" s="16" t="str">
        <f>VLOOKUP(F765,DISTRICTS!B$2:C$626,2,FALSE)</f>
        <v>PUENTE DE VALLECAS</v>
      </c>
      <c r="H765" s="16" t="str">
        <f>IFERROR(VLOOKUP(G765,'areas for question 4'!A$2:B$10,2,FALSE),"")</f>
        <v/>
      </c>
      <c r="I765" t="s">
        <v>1444</v>
      </c>
      <c r="J765" t="s">
        <v>1450</v>
      </c>
      <c r="K765" t="s">
        <v>1456</v>
      </c>
      <c r="L765" t="s">
        <v>1470</v>
      </c>
      <c r="M765" t="s">
        <v>1477</v>
      </c>
      <c r="N765" s="18">
        <v>1</v>
      </c>
    </row>
    <row r="766" spans="1:14" x14ac:dyDescent="0.25">
      <c r="A766" t="s">
        <v>653</v>
      </c>
      <c r="B766" s="7">
        <v>43634</v>
      </c>
      <c r="C766" s="4">
        <v>0.52083333333333337</v>
      </c>
      <c r="D766" s="15">
        <f t="shared" si="22"/>
        <v>12</v>
      </c>
      <c r="E766" s="15" t="str">
        <f t="shared" si="23"/>
        <v>Before 15</v>
      </c>
      <c r="F766" t="s">
        <v>654</v>
      </c>
      <c r="G766" s="16" t="str">
        <f>VLOOKUP(F766,DISTRICTS!B$2:C$626,2,FALSE)</f>
        <v>VICÁLVARO</v>
      </c>
      <c r="H766" s="16" t="str">
        <f>IFERROR(VLOOKUP(G766,'areas for question 4'!A$2:B$10,2,FALSE),"")</f>
        <v>East</v>
      </c>
      <c r="I766" t="s">
        <v>1444</v>
      </c>
      <c r="J766" t="s">
        <v>1450</v>
      </c>
      <c r="K766" t="s">
        <v>1456</v>
      </c>
      <c r="L766" t="s">
        <v>1470</v>
      </c>
      <c r="M766" t="s">
        <v>1477</v>
      </c>
      <c r="N766" s="18">
        <v>2</v>
      </c>
    </row>
    <row r="767" spans="1:14" x14ac:dyDescent="0.25">
      <c r="A767" t="s">
        <v>674</v>
      </c>
      <c r="B767" s="7">
        <v>43639</v>
      </c>
      <c r="C767" s="4">
        <v>0.38541666666666669</v>
      </c>
      <c r="D767" s="15">
        <f t="shared" si="22"/>
        <v>9</v>
      </c>
      <c r="E767" s="15" t="str">
        <f t="shared" si="23"/>
        <v>Before 15</v>
      </c>
      <c r="F767" t="s">
        <v>675</v>
      </c>
      <c r="G767" s="16" t="str">
        <f>VLOOKUP(F767,DISTRICTS!B$2:C$626,2,FALSE)</f>
        <v>ARGANZUELA</v>
      </c>
      <c r="H767" s="16" t="str">
        <f>IFERROR(VLOOKUP(G767,'areas for question 4'!A$2:B$10,2,FALSE),"")</f>
        <v/>
      </c>
      <c r="I767" t="s">
        <v>1446</v>
      </c>
      <c r="J767" t="s">
        <v>1450</v>
      </c>
      <c r="K767" t="s">
        <v>1456</v>
      </c>
      <c r="L767" t="s">
        <v>1470</v>
      </c>
      <c r="M767" t="s">
        <v>1477</v>
      </c>
      <c r="N767" s="18">
        <v>5</v>
      </c>
    </row>
    <row r="768" spans="1:14" x14ac:dyDescent="0.25">
      <c r="A768" t="s">
        <v>713</v>
      </c>
      <c r="B768" s="7">
        <v>43647</v>
      </c>
      <c r="C768" s="4">
        <v>0.58333333333333337</v>
      </c>
      <c r="D768" s="15">
        <f t="shared" si="22"/>
        <v>14</v>
      </c>
      <c r="E768" s="15" t="str">
        <f t="shared" si="23"/>
        <v>Before 15</v>
      </c>
      <c r="F768" t="s">
        <v>714</v>
      </c>
      <c r="G768" s="16" t="str">
        <f>VLOOKUP(F768,DISTRICTS!B$2:C$626,2,FALSE)</f>
        <v>SALAMANCA</v>
      </c>
      <c r="H768" s="16" t="str">
        <f>IFERROR(VLOOKUP(G768,'areas for question 4'!A$2:B$10,2,FALSE),"")</f>
        <v/>
      </c>
      <c r="I768" t="s">
        <v>1444</v>
      </c>
      <c r="J768" t="s">
        <v>1450</v>
      </c>
      <c r="K768" t="s">
        <v>1456</v>
      </c>
      <c r="L768" t="s">
        <v>1470</v>
      </c>
      <c r="M768" t="s">
        <v>1477</v>
      </c>
      <c r="N768" s="18">
        <v>2</v>
      </c>
    </row>
    <row r="769" spans="1:14" x14ac:dyDescent="0.25">
      <c r="A769" t="s">
        <v>760</v>
      </c>
      <c r="B769" s="7">
        <v>43654</v>
      </c>
      <c r="C769" s="4">
        <v>0.3298611111111111</v>
      </c>
      <c r="D769" s="15">
        <f t="shared" si="22"/>
        <v>7</v>
      </c>
      <c r="E769" s="15" t="str">
        <f t="shared" si="23"/>
        <v>Before 15</v>
      </c>
      <c r="F769" t="s">
        <v>761</v>
      </c>
      <c r="G769" s="16" t="str">
        <f>VLOOKUP(F769,DISTRICTS!B$2:C$626,2,FALSE)</f>
        <v>VILLAVERDE</v>
      </c>
      <c r="H769" s="16" t="str">
        <f>IFERROR(VLOOKUP(G769,'areas for question 4'!A$2:B$10,2,FALSE),"")</f>
        <v/>
      </c>
      <c r="I769" t="s">
        <v>1446</v>
      </c>
      <c r="J769" t="s">
        <v>1450</v>
      </c>
      <c r="K769" t="s">
        <v>1456</v>
      </c>
      <c r="L769" t="s">
        <v>1470</v>
      </c>
      <c r="M769" t="s">
        <v>1477</v>
      </c>
      <c r="N769" s="18">
        <v>2</v>
      </c>
    </row>
    <row r="770" spans="1:14" x14ac:dyDescent="0.25">
      <c r="A770" t="s">
        <v>799</v>
      </c>
      <c r="B770" s="7">
        <v>43664</v>
      </c>
      <c r="C770" s="4">
        <v>0.78125</v>
      </c>
      <c r="D770" s="15">
        <f t="shared" si="22"/>
        <v>18</v>
      </c>
      <c r="E770" s="15" t="str">
        <f t="shared" si="23"/>
        <v>After 15</v>
      </c>
      <c r="F770" t="s">
        <v>800</v>
      </c>
      <c r="G770" s="16" t="str">
        <f>VLOOKUP(F770,DISTRICTS!B$2:C$626,2,FALSE)</f>
        <v>CENTRO</v>
      </c>
      <c r="H770" s="16" t="str">
        <f>IFERROR(VLOOKUP(G770,'areas for question 4'!A$2:B$10,2,FALSE),"")</f>
        <v/>
      </c>
      <c r="I770" t="s">
        <v>1444</v>
      </c>
      <c r="J770" t="s">
        <v>1450</v>
      </c>
      <c r="K770" t="s">
        <v>1456</v>
      </c>
      <c r="L770" t="s">
        <v>1470</v>
      </c>
      <c r="M770" t="s">
        <v>1477</v>
      </c>
      <c r="N770" s="18">
        <v>6</v>
      </c>
    </row>
    <row r="771" spans="1:14" x14ac:dyDescent="0.25">
      <c r="A771" t="s">
        <v>814</v>
      </c>
      <c r="B771" s="7">
        <v>43668</v>
      </c>
      <c r="C771" s="4">
        <v>0.79166666666666663</v>
      </c>
      <c r="D771" s="15">
        <f t="shared" ref="D771:D834" si="24">HOUR(C771)</f>
        <v>19</v>
      </c>
      <c r="E771" s="15" t="str">
        <f t="shared" ref="E771:E834" si="25">IF(D771&lt;15,"Before 15","After 15")</f>
        <v>After 15</v>
      </c>
      <c r="F771" t="s">
        <v>800</v>
      </c>
      <c r="G771" s="16" t="str">
        <f>VLOOKUP(F771,DISTRICTS!B$2:C$626,2,FALSE)</f>
        <v>CENTRO</v>
      </c>
      <c r="H771" s="16" t="str">
        <f>IFERROR(VLOOKUP(G771,'areas for question 4'!A$2:B$10,2,FALSE),"")</f>
        <v/>
      </c>
      <c r="I771" t="s">
        <v>1444</v>
      </c>
      <c r="J771" t="s">
        <v>1450</v>
      </c>
      <c r="K771" t="s">
        <v>1456</v>
      </c>
      <c r="L771" t="s">
        <v>1470</v>
      </c>
      <c r="M771" t="s">
        <v>1477</v>
      </c>
      <c r="N771" s="18">
        <v>2</v>
      </c>
    </row>
    <row r="772" spans="1:14" x14ac:dyDescent="0.25">
      <c r="A772" t="s">
        <v>844</v>
      </c>
      <c r="B772" s="7">
        <v>43676</v>
      </c>
      <c r="C772" s="4">
        <v>0.79513888888888884</v>
      </c>
      <c r="D772" s="15">
        <f t="shared" si="24"/>
        <v>19</v>
      </c>
      <c r="E772" s="15" t="str">
        <f t="shared" si="25"/>
        <v>After 15</v>
      </c>
      <c r="F772" t="s">
        <v>595</v>
      </c>
      <c r="G772" s="16" t="str">
        <f>VLOOKUP(F772,DISTRICTS!B$2:C$626,2,FALSE)</f>
        <v>ARGANZUELA</v>
      </c>
      <c r="H772" s="16" t="str">
        <f>IFERROR(VLOOKUP(G772,'areas for question 4'!A$2:B$10,2,FALSE),"")</f>
        <v/>
      </c>
      <c r="I772" t="s">
        <v>1446</v>
      </c>
      <c r="J772" t="s">
        <v>1450</v>
      </c>
      <c r="K772" t="s">
        <v>1456</v>
      </c>
      <c r="L772" t="s">
        <v>1470</v>
      </c>
      <c r="M772" t="s">
        <v>1477</v>
      </c>
      <c r="N772" s="18">
        <v>1</v>
      </c>
    </row>
    <row r="773" spans="1:14" x14ac:dyDescent="0.25">
      <c r="A773" t="s">
        <v>882</v>
      </c>
      <c r="B773" s="7">
        <v>43685</v>
      </c>
      <c r="C773" s="4">
        <v>0.46527777777777773</v>
      </c>
      <c r="D773" s="15">
        <f t="shared" si="24"/>
        <v>11</v>
      </c>
      <c r="E773" s="15" t="str">
        <f t="shared" si="25"/>
        <v>Before 15</v>
      </c>
      <c r="F773" t="s">
        <v>883</v>
      </c>
      <c r="G773" s="16" t="str">
        <f>VLOOKUP(F773,DISTRICTS!B$2:C$626,2,FALSE)</f>
        <v>CHAMARTÍN</v>
      </c>
      <c r="H773" s="16" t="str">
        <f>IFERROR(VLOOKUP(G773,'areas for question 4'!A$2:B$10,2,FALSE),"")</f>
        <v>North</v>
      </c>
      <c r="I773" t="s">
        <v>1444</v>
      </c>
      <c r="J773" t="s">
        <v>1450</v>
      </c>
      <c r="K773" t="s">
        <v>1456</v>
      </c>
      <c r="L773" t="s">
        <v>1470</v>
      </c>
      <c r="M773" t="s">
        <v>1477</v>
      </c>
      <c r="N773" s="18">
        <v>6</v>
      </c>
    </row>
    <row r="774" spans="1:14" x14ac:dyDescent="0.25">
      <c r="A774" t="s">
        <v>901</v>
      </c>
      <c r="B774" s="7">
        <v>43697</v>
      </c>
      <c r="C774" s="4">
        <v>0.77222222222222225</v>
      </c>
      <c r="D774" s="15">
        <f t="shared" si="24"/>
        <v>18</v>
      </c>
      <c r="E774" s="15" t="str">
        <f t="shared" si="25"/>
        <v>After 15</v>
      </c>
      <c r="F774" t="s">
        <v>902</v>
      </c>
      <c r="G774" s="16" t="str">
        <f>VLOOKUP(F774,DISTRICTS!B$2:C$626,2,FALSE)</f>
        <v>RETIRO</v>
      </c>
      <c r="H774" s="16" t="str">
        <f>IFERROR(VLOOKUP(G774,'areas for question 4'!A$2:B$10,2,FALSE),"")</f>
        <v/>
      </c>
      <c r="I774" t="s">
        <v>1446</v>
      </c>
      <c r="J774" t="s">
        <v>1450</v>
      </c>
      <c r="K774" t="s">
        <v>1456</v>
      </c>
      <c r="L774" t="s">
        <v>1470</v>
      </c>
      <c r="M774" t="s">
        <v>1477</v>
      </c>
      <c r="N774" s="18">
        <v>5</v>
      </c>
    </row>
    <row r="775" spans="1:14" x14ac:dyDescent="0.25">
      <c r="A775" t="s">
        <v>1002</v>
      </c>
      <c r="B775" s="7">
        <v>43720</v>
      </c>
      <c r="C775" s="4">
        <v>0.83333333333333337</v>
      </c>
      <c r="D775" s="15">
        <f t="shared" si="24"/>
        <v>20</v>
      </c>
      <c r="E775" s="15" t="str">
        <f t="shared" si="25"/>
        <v>After 15</v>
      </c>
      <c r="F775" t="s">
        <v>1003</v>
      </c>
      <c r="G775" s="16" t="str">
        <f>VLOOKUP(F775,DISTRICTS!B$2:C$626,2,FALSE)</f>
        <v>HORTALEZA</v>
      </c>
      <c r="H775" s="16" t="str">
        <f>IFERROR(VLOOKUP(G775,'areas for question 4'!A$2:B$10,2,FALSE),"")</f>
        <v/>
      </c>
      <c r="I775" t="s">
        <v>1446</v>
      </c>
      <c r="J775" t="s">
        <v>1450</v>
      </c>
      <c r="K775" t="s">
        <v>1456</v>
      </c>
      <c r="L775" t="s">
        <v>1470</v>
      </c>
      <c r="M775" t="s">
        <v>1477</v>
      </c>
      <c r="N775" s="18">
        <v>7</v>
      </c>
    </row>
    <row r="776" spans="1:14" x14ac:dyDescent="0.25">
      <c r="A776" t="s">
        <v>1004</v>
      </c>
      <c r="B776" s="7">
        <v>43720</v>
      </c>
      <c r="C776" s="4">
        <v>0.55208333333333337</v>
      </c>
      <c r="D776" s="15">
        <f t="shared" si="24"/>
        <v>13</v>
      </c>
      <c r="E776" s="15" t="str">
        <f t="shared" si="25"/>
        <v>Before 15</v>
      </c>
      <c r="F776" t="s">
        <v>99</v>
      </c>
      <c r="G776" s="16" t="str">
        <f>VLOOKUP(F776,DISTRICTS!B$2:C$626,2,FALSE)</f>
        <v>CENTRO</v>
      </c>
      <c r="H776" s="16" t="str">
        <f>IFERROR(VLOOKUP(G776,'areas for question 4'!A$2:B$10,2,FALSE),"")</f>
        <v/>
      </c>
      <c r="I776" t="s">
        <v>1444</v>
      </c>
      <c r="J776" t="s">
        <v>1450</v>
      </c>
      <c r="K776" t="s">
        <v>1456</v>
      </c>
      <c r="L776" t="s">
        <v>1470</v>
      </c>
      <c r="M776" t="s">
        <v>1478</v>
      </c>
      <c r="N776" s="18">
        <v>6</v>
      </c>
    </row>
    <row r="777" spans="1:14" x14ac:dyDescent="0.25">
      <c r="A777" t="s">
        <v>1005</v>
      </c>
      <c r="B777" s="7">
        <v>43720</v>
      </c>
      <c r="C777" s="4">
        <v>0.50277777777777777</v>
      </c>
      <c r="D777" s="15">
        <f t="shared" si="24"/>
        <v>12</v>
      </c>
      <c r="E777" s="15" t="str">
        <f t="shared" si="25"/>
        <v>Before 15</v>
      </c>
      <c r="F777" t="s">
        <v>1006</v>
      </c>
      <c r="G777" s="16" t="str">
        <f>VLOOKUP(F777,DISTRICTS!B$2:C$626,2,FALSE)</f>
        <v>CIUDAD LINEAL</v>
      </c>
      <c r="H777" s="16" t="str">
        <f>IFERROR(VLOOKUP(G777,'areas for question 4'!A$2:B$10,2,FALSE),"")</f>
        <v>East</v>
      </c>
      <c r="I777" t="s">
        <v>1443</v>
      </c>
      <c r="J777" t="s">
        <v>1450</v>
      </c>
      <c r="K777" t="s">
        <v>1456</v>
      </c>
      <c r="L777" t="s">
        <v>1470</v>
      </c>
      <c r="M777" t="s">
        <v>1477</v>
      </c>
      <c r="N777" s="18">
        <v>7</v>
      </c>
    </row>
    <row r="778" spans="1:14" x14ac:dyDescent="0.25">
      <c r="A778" t="s">
        <v>1052</v>
      </c>
      <c r="B778" s="7">
        <v>43731</v>
      </c>
      <c r="C778" s="4">
        <v>0.90208333333333324</v>
      </c>
      <c r="D778" s="15">
        <f t="shared" si="24"/>
        <v>21</v>
      </c>
      <c r="E778" s="15" t="str">
        <f t="shared" si="25"/>
        <v>After 15</v>
      </c>
      <c r="F778" t="s">
        <v>1053</v>
      </c>
      <c r="G778" s="16" t="str">
        <f>VLOOKUP(F778,DISTRICTS!B$2:C$626,2,FALSE)</f>
        <v>MONCLOA-ARAVACA</v>
      </c>
      <c r="H778" s="16" t="str">
        <f>IFERROR(VLOOKUP(G778,'areas for question 4'!A$2:B$10,2,FALSE),"")</f>
        <v/>
      </c>
      <c r="I778" t="s">
        <v>1444</v>
      </c>
      <c r="J778" t="s">
        <v>1450</v>
      </c>
      <c r="K778" t="s">
        <v>1456</v>
      </c>
      <c r="L778" t="s">
        <v>1470</v>
      </c>
      <c r="M778" t="s">
        <v>1477</v>
      </c>
      <c r="N778" s="18">
        <v>6</v>
      </c>
    </row>
    <row r="779" spans="1:14" x14ac:dyDescent="0.25">
      <c r="A779" t="s">
        <v>1112</v>
      </c>
      <c r="B779" s="7">
        <v>43740</v>
      </c>
      <c r="C779" s="4">
        <v>0.96180555555555547</v>
      </c>
      <c r="D779" s="15">
        <f t="shared" si="24"/>
        <v>23</v>
      </c>
      <c r="E779" s="15" t="str">
        <f t="shared" si="25"/>
        <v>After 15</v>
      </c>
      <c r="F779" t="s">
        <v>1113</v>
      </c>
      <c r="G779" s="16" t="str">
        <f>VLOOKUP(F779,DISTRICTS!B$2:C$626,2,FALSE)</f>
        <v>MONCLOA-ARAVACA</v>
      </c>
      <c r="H779" s="16" t="str">
        <f>IFERROR(VLOOKUP(G779,'areas for question 4'!A$2:B$10,2,FALSE),"")</f>
        <v/>
      </c>
      <c r="I779" t="s">
        <v>1446</v>
      </c>
      <c r="J779" t="s">
        <v>1450</v>
      </c>
      <c r="K779" t="s">
        <v>1456</v>
      </c>
      <c r="L779" t="s">
        <v>1470</v>
      </c>
      <c r="M779" t="s">
        <v>1477</v>
      </c>
      <c r="N779" s="18">
        <v>7</v>
      </c>
    </row>
    <row r="780" spans="1:14" x14ac:dyDescent="0.25">
      <c r="A780" t="s">
        <v>1116</v>
      </c>
      <c r="B780" s="7">
        <v>43740</v>
      </c>
      <c r="C780" s="4">
        <v>0.86458333333333337</v>
      </c>
      <c r="D780" s="15">
        <f t="shared" si="24"/>
        <v>20</v>
      </c>
      <c r="E780" s="15" t="str">
        <f t="shared" si="25"/>
        <v>After 15</v>
      </c>
      <c r="F780" t="s">
        <v>1117</v>
      </c>
      <c r="G780" s="16" t="str">
        <f>VLOOKUP(F780,DISTRICTS!B$2:C$626,2,FALSE)</f>
        <v>LATINA</v>
      </c>
      <c r="H780" s="16" t="str">
        <f>IFERROR(VLOOKUP(G780,'areas for question 4'!A$2:B$10,2,FALSE),"")</f>
        <v/>
      </c>
      <c r="I780" t="s">
        <v>1444</v>
      </c>
      <c r="J780" t="s">
        <v>1450</v>
      </c>
      <c r="K780" t="s">
        <v>1456</v>
      </c>
      <c r="L780" t="s">
        <v>1470</v>
      </c>
      <c r="M780" t="s">
        <v>1477</v>
      </c>
      <c r="N780" s="18">
        <v>1</v>
      </c>
    </row>
    <row r="781" spans="1:14" x14ac:dyDescent="0.25">
      <c r="A781" t="s">
        <v>1149</v>
      </c>
      <c r="B781" s="7">
        <v>43743</v>
      </c>
      <c r="C781" s="4">
        <v>0.67361111111111116</v>
      </c>
      <c r="D781" s="15">
        <f t="shared" si="24"/>
        <v>16</v>
      </c>
      <c r="E781" s="15" t="str">
        <f t="shared" si="25"/>
        <v>After 15</v>
      </c>
      <c r="F781" t="s">
        <v>625</v>
      </c>
      <c r="G781" s="16" t="str">
        <f>VLOOKUP(F781,DISTRICTS!B$2:C$626,2,FALSE)</f>
        <v>FUENCARRAL-EL PARDO</v>
      </c>
      <c r="H781" s="16" t="str">
        <f>IFERROR(VLOOKUP(G781,'areas for question 4'!A$2:B$10,2,FALSE),"")</f>
        <v>North</v>
      </c>
      <c r="I781" t="s">
        <v>1444</v>
      </c>
      <c r="J781" t="s">
        <v>1450</v>
      </c>
      <c r="K781" t="s">
        <v>1456</v>
      </c>
      <c r="L781" t="s">
        <v>1470</v>
      </c>
      <c r="M781" t="s">
        <v>1477</v>
      </c>
      <c r="N781" s="18">
        <v>2</v>
      </c>
    </row>
    <row r="782" spans="1:14" x14ac:dyDescent="0.25">
      <c r="A782" t="s">
        <v>1152</v>
      </c>
      <c r="B782" s="7">
        <v>43743</v>
      </c>
      <c r="C782" s="4">
        <v>0.30208333333333331</v>
      </c>
      <c r="D782" s="15">
        <f t="shared" si="24"/>
        <v>7</v>
      </c>
      <c r="E782" s="15" t="str">
        <f t="shared" si="25"/>
        <v>Before 15</v>
      </c>
      <c r="F782" t="s">
        <v>1153</v>
      </c>
      <c r="G782" s="16" t="str">
        <f>VLOOKUP(F782,DISTRICTS!B$2:C$626,2,FALSE)</f>
        <v>FUENCARRAL-EL PARDO</v>
      </c>
      <c r="H782" s="16" t="str">
        <f>IFERROR(VLOOKUP(G782,'areas for question 4'!A$2:B$10,2,FALSE),"")</f>
        <v>North</v>
      </c>
      <c r="I782" t="s">
        <v>1446</v>
      </c>
      <c r="J782" t="s">
        <v>1450</v>
      </c>
      <c r="K782" t="s">
        <v>1456</v>
      </c>
      <c r="L782" t="s">
        <v>1470</v>
      </c>
      <c r="M782" t="s">
        <v>1477</v>
      </c>
      <c r="N782" s="18">
        <v>7</v>
      </c>
    </row>
    <row r="783" spans="1:14" x14ac:dyDescent="0.25">
      <c r="A783" t="s">
        <v>1176</v>
      </c>
      <c r="B783" s="7">
        <v>43749</v>
      </c>
      <c r="C783" s="4">
        <v>0.34027777777777773</v>
      </c>
      <c r="D783" s="15">
        <f t="shared" si="24"/>
        <v>8</v>
      </c>
      <c r="E783" s="15" t="str">
        <f t="shared" si="25"/>
        <v>Before 15</v>
      </c>
      <c r="F783" t="s">
        <v>1177</v>
      </c>
      <c r="G783" s="16" t="str">
        <f>VLOOKUP(F783,DISTRICTS!B$2:C$626,2,FALSE)</f>
        <v>CHAMARTÍN</v>
      </c>
      <c r="H783" s="16" t="str">
        <f>IFERROR(VLOOKUP(G783,'areas for question 4'!A$2:B$10,2,FALSE),"")</f>
        <v>North</v>
      </c>
      <c r="I783" t="s">
        <v>1441</v>
      </c>
      <c r="J783" t="s">
        <v>1450</v>
      </c>
      <c r="K783" t="s">
        <v>1456</v>
      </c>
      <c r="L783" t="s">
        <v>1470</v>
      </c>
      <c r="M783" t="s">
        <v>1477</v>
      </c>
      <c r="N783" s="18">
        <v>5</v>
      </c>
    </row>
    <row r="784" spans="1:14" x14ac:dyDescent="0.25">
      <c r="A784" t="s">
        <v>1200</v>
      </c>
      <c r="B784" s="7">
        <v>43754</v>
      </c>
      <c r="C784" s="4">
        <v>0.3611111111111111</v>
      </c>
      <c r="D784" s="15">
        <f t="shared" si="24"/>
        <v>8</v>
      </c>
      <c r="E784" s="15" t="str">
        <f t="shared" si="25"/>
        <v>Before 15</v>
      </c>
      <c r="F784" t="s">
        <v>1201</v>
      </c>
      <c r="G784" s="16" t="str">
        <f>VLOOKUP(F784,DISTRICTS!B$2:C$626,2,FALSE)</f>
        <v>ARGANZUELA</v>
      </c>
      <c r="H784" s="16" t="str">
        <f>IFERROR(VLOOKUP(G784,'areas for question 4'!A$2:B$10,2,FALSE),"")</f>
        <v/>
      </c>
      <c r="I784" t="s">
        <v>1444</v>
      </c>
      <c r="J784" t="s">
        <v>1450</v>
      </c>
      <c r="K784" t="s">
        <v>1458</v>
      </c>
      <c r="L784" t="s">
        <v>1470</v>
      </c>
      <c r="M784" t="s">
        <v>1477</v>
      </c>
      <c r="N784" s="18">
        <v>14</v>
      </c>
    </row>
    <row r="785" spans="1:14" x14ac:dyDescent="0.25">
      <c r="A785" t="s">
        <v>1228</v>
      </c>
      <c r="B785" s="7">
        <v>43760</v>
      </c>
      <c r="C785" s="4">
        <v>0.375</v>
      </c>
      <c r="D785" s="15">
        <f t="shared" si="24"/>
        <v>9</v>
      </c>
      <c r="E785" s="15" t="str">
        <f t="shared" si="25"/>
        <v>Before 15</v>
      </c>
      <c r="F785" t="s">
        <v>1229</v>
      </c>
      <c r="G785" s="16" t="str">
        <f>VLOOKUP(F785,DISTRICTS!B$2:C$626,2,FALSE)</f>
        <v>FUENCARRAL-EL PARDO</v>
      </c>
      <c r="H785" s="16" t="str">
        <f>IFERROR(VLOOKUP(G785,'areas for question 4'!A$2:B$10,2,FALSE),"")</f>
        <v>North</v>
      </c>
      <c r="I785" t="s">
        <v>1444</v>
      </c>
      <c r="J785" t="s">
        <v>1450</v>
      </c>
      <c r="K785" t="s">
        <v>1456</v>
      </c>
      <c r="L785" t="s">
        <v>1470</v>
      </c>
      <c r="M785" t="s">
        <v>1477</v>
      </c>
      <c r="N785" s="18">
        <v>6</v>
      </c>
    </row>
    <row r="786" spans="1:14" x14ac:dyDescent="0.25">
      <c r="A786" t="s">
        <v>1243</v>
      </c>
      <c r="B786" s="7">
        <v>43765</v>
      </c>
      <c r="C786" s="4">
        <v>0.72222222222222221</v>
      </c>
      <c r="D786" s="15">
        <f t="shared" si="24"/>
        <v>17</v>
      </c>
      <c r="E786" s="15" t="str">
        <f t="shared" si="25"/>
        <v>After 15</v>
      </c>
      <c r="F786" t="s">
        <v>99</v>
      </c>
      <c r="G786" s="16" t="str">
        <f>VLOOKUP(F786,DISTRICTS!B$2:C$626,2,FALSE)</f>
        <v>CENTRO</v>
      </c>
      <c r="H786" s="16" t="str">
        <f>IFERROR(VLOOKUP(G786,'areas for question 4'!A$2:B$10,2,FALSE),"")</f>
        <v/>
      </c>
      <c r="I786" t="s">
        <v>1444</v>
      </c>
      <c r="J786" t="s">
        <v>1454</v>
      </c>
      <c r="K786" t="s">
        <v>1456</v>
      </c>
      <c r="L786" t="s">
        <v>1470</v>
      </c>
      <c r="M786" t="s">
        <v>1477</v>
      </c>
      <c r="N786" s="18">
        <v>6</v>
      </c>
    </row>
    <row r="787" spans="1:14" x14ac:dyDescent="0.25">
      <c r="A787" t="s">
        <v>1269</v>
      </c>
      <c r="B787" s="7">
        <v>43776</v>
      </c>
      <c r="C787" s="4">
        <v>0.86111111111111116</v>
      </c>
      <c r="D787" s="15">
        <f t="shared" si="24"/>
        <v>20</v>
      </c>
      <c r="E787" s="15" t="str">
        <f t="shared" si="25"/>
        <v>After 15</v>
      </c>
      <c r="F787" t="s">
        <v>1270</v>
      </c>
      <c r="G787" s="16" t="str">
        <f>VLOOKUP(F787,DISTRICTS!B$2:C$626,2,FALSE)</f>
        <v>SAN BLAS-CANILLEJAS</v>
      </c>
      <c r="H787" s="16" t="str">
        <f>IFERROR(VLOOKUP(G787,'areas for question 4'!A$2:B$10,2,FALSE),"")</f>
        <v>East</v>
      </c>
      <c r="I787" t="s">
        <v>1446</v>
      </c>
      <c r="J787" t="s">
        <v>1452</v>
      </c>
      <c r="K787" t="s">
        <v>1456</v>
      </c>
      <c r="L787" t="s">
        <v>1470</v>
      </c>
      <c r="M787" t="s">
        <v>1478</v>
      </c>
      <c r="N787" s="18">
        <v>7</v>
      </c>
    </row>
    <row r="788" spans="1:14" x14ac:dyDescent="0.25">
      <c r="A788" t="s">
        <v>1306</v>
      </c>
      <c r="B788" s="7">
        <v>43783</v>
      </c>
      <c r="C788" s="4">
        <v>0.5</v>
      </c>
      <c r="D788" s="15">
        <f t="shared" si="24"/>
        <v>12</v>
      </c>
      <c r="E788" s="15" t="str">
        <f t="shared" si="25"/>
        <v>Before 15</v>
      </c>
      <c r="F788" t="s">
        <v>1307</v>
      </c>
      <c r="G788" s="16" t="str">
        <f>VLOOKUP(F788,DISTRICTS!B$2:C$626,2,FALSE)</f>
        <v>LATINA</v>
      </c>
      <c r="H788" s="16" t="str">
        <f>IFERROR(VLOOKUP(G788,'areas for question 4'!A$2:B$10,2,FALSE),"")</f>
        <v/>
      </c>
      <c r="I788" t="s">
        <v>1443</v>
      </c>
      <c r="J788" t="s">
        <v>1450</v>
      </c>
      <c r="K788" t="s">
        <v>1458</v>
      </c>
      <c r="L788" t="s">
        <v>1470</v>
      </c>
      <c r="M788" t="s">
        <v>1477</v>
      </c>
      <c r="N788" s="18">
        <v>1</v>
      </c>
    </row>
    <row r="789" spans="1:14" x14ac:dyDescent="0.25">
      <c r="A789" t="s">
        <v>1335</v>
      </c>
      <c r="B789" s="7">
        <v>43794</v>
      </c>
      <c r="C789" s="4">
        <v>0.57638888888888895</v>
      </c>
      <c r="D789" s="15">
        <f t="shared" si="24"/>
        <v>13</v>
      </c>
      <c r="E789" s="15" t="str">
        <f t="shared" si="25"/>
        <v>Before 15</v>
      </c>
      <c r="F789" t="s">
        <v>1336</v>
      </c>
      <c r="G789" s="16" t="str">
        <f>VLOOKUP(F789,DISTRICTS!B$2:C$626,2,FALSE)</f>
        <v>BARAJAS</v>
      </c>
      <c r="H789" s="16" t="str">
        <f>IFERROR(VLOOKUP(G789,'areas for question 4'!A$2:B$10,2,FALSE),"")</f>
        <v>East</v>
      </c>
      <c r="I789" t="s">
        <v>1444</v>
      </c>
      <c r="J789" t="s">
        <v>1450</v>
      </c>
      <c r="K789" t="s">
        <v>1456</v>
      </c>
      <c r="L789" t="s">
        <v>1470</v>
      </c>
      <c r="M789" t="s">
        <v>1477</v>
      </c>
      <c r="N789" s="18" t="s">
        <v>34</v>
      </c>
    </row>
    <row r="790" spans="1:14" x14ac:dyDescent="0.25">
      <c r="A790" t="s">
        <v>1341</v>
      </c>
      <c r="B790" s="7">
        <v>43795</v>
      </c>
      <c r="C790" s="4">
        <v>0.51736111111111105</v>
      </c>
      <c r="D790" s="15">
        <f t="shared" si="24"/>
        <v>12</v>
      </c>
      <c r="E790" s="15" t="str">
        <f t="shared" si="25"/>
        <v>Before 15</v>
      </c>
      <c r="F790" t="s">
        <v>1342</v>
      </c>
      <c r="G790" s="16" t="str">
        <f>VLOOKUP(F790,DISTRICTS!B$2:C$626,2,FALSE)</f>
        <v>FUENCARRAL-EL PARDO</v>
      </c>
      <c r="H790" s="16" t="str">
        <f>IFERROR(VLOOKUP(G790,'areas for question 4'!A$2:B$10,2,FALSE),"")</f>
        <v>North</v>
      </c>
      <c r="I790" t="s">
        <v>1446</v>
      </c>
      <c r="J790" t="s">
        <v>1452</v>
      </c>
      <c r="K790" t="s">
        <v>1456</v>
      </c>
      <c r="L790" t="s">
        <v>1470</v>
      </c>
      <c r="M790" t="s">
        <v>1477</v>
      </c>
      <c r="N790" s="18">
        <v>6</v>
      </c>
    </row>
    <row r="791" spans="1:14" x14ac:dyDescent="0.25">
      <c r="A791" t="s">
        <v>1395</v>
      </c>
      <c r="B791" s="7">
        <v>43817</v>
      </c>
      <c r="C791" s="4">
        <v>0.71527777777777779</v>
      </c>
      <c r="D791" s="15">
        <f t="shared" si="24"/>
        <v>17</v>
      </c>
      <c r="E791" s="15" t="str">
        <f t="shared" si="25"/>
        <v>After 15</v>
      </c>
      <c r="F791" t="s">
        <v>1396</v>
      </c>
      <c r="G791" s="16" t="str">
        <f>VLOOKUP(F791,DISTRICTS!B$2:C$626,2,FALSE)</f>
        <v>CENTRO</v>
      </c>
      <c r="H791" s="16" t="str">
        <f>IFERROR(VLOOKUP(G791,'areas for question 4'!A$2:B$10,2,FALSE),"")</f>
        <v/>
      </c>
      <c r="I791" t="s">
        <v>1444</v>
      </c>
      <c r="J791" t="s">
        <v>1454</v>
      </c>
      <c r="K791" t="s">
        <v>1456</v>
      </c>
      <c r="L791" t="s">
        <v>1470</v>
      </c>
      <c r="M791" t="s">
        <v>1477</v>
      </c>
      <c r="N791" s="18">
        <v>7</v>
      </c>
    </row>
    <row r="792" spans="1:14" x14ac:dyDescent="0.25">
      <c r="A792" t="s">
        <v>1401</v>
      </c>
      <c r="B792" s="7">
        <v>43818</v>
      </c>
      <c r="C792" s="4">
        <v>0.4861111111111111</v>
      </c>
      <c r="D792" s="15">
        <f t="shared" si="24"/>
        <v>11</v>
      </c>
      <c r="E792" s="15" t="str">
        <f t="shared" si="25"/>
        <v>Before 15</v>
      </c>
      <c r="F792" t="s">
        <v>1402</v>
      </c>
      <c r="G792" s="16" t="str">
        <f>VLOOKUP(F792,DISTRICTS!B$2:C$626,2,FALSE)</f>
        <v>RETIRO</v>
      </c>
      <c r="H792" s="16" t="str">
        <f>IFERROR(VLOOKUP(G792,'areas for question 4'!A$2:B$10,2,FALSE),"")</f>
        <v/>
      </c>
      <c r="I792" t="s">
        <v>1444</v>
      </c>
      <c r="J792" t="s">
        <v>1452</v>
      </c>
      <c r="K792" t="s">
        <v>1456</v>
      </c>
      <c r="L792" t="s">
        <v>1470</v>
      </c>
      <c r="M792" t="s">
        <v>1478</v>
      </c>
      <c r="N792" s="18">
        <v>7</v>
      </c>
    </row>
    <row r="793" spans="1:14" x14ac:dyDescent="0.25">
      <c r="A793" t="s">
        <v>271</v>
      </c>
      <c r="B793" s="7">
        <v>43541</v>
      </c>
      <c r="C793" s="4">
        <v>0.5</v>
      </c>
      <c r="D793" s="15">
        <f t="shared" si="24"/>
        <v>12</v>
      </c>
      <c r="E793" s="15" t="str">
        <f t="shared" si="25"/>
        <v>Before 15</v>
      </c>
      <c r="F793" t="s">
        <v>272</v>
      </c>
      <c r="G793" s="16" t="str">
        <f>VLOOKUP(F793,DISTRICTS!B$2:C$626,2,FALSE)</f>
        <v>USERA</v>
      </c>
      <c r="H793" s="16" t="str">
        <f>IFERROR(VLOOKUP(G793,'areas for question 4'!A$2:B$10,2,FALSE),"")</f>
        <v/>
      </c>
      <c r="I793" t="s">
        <v>1443</v>
      </c>
      <c r="J793" t="s">
        <v>1450</v>
      </c>
      <c r="K793" t="s">
        <v>1458</v>
      </c>
      <c r="L793" t="s">
        <v>1471</v>
      </c>
      <c r="M793" t="s">
        <v>1477</v>
      </c>
      <c r="N793" s="18">
        <v>7</v>
      </c>
    </row>
    <row r="794" spans="1:14" x14ac:dyDescent="0.25">
      <c r="A794" t="s">
        <v>273</v>
      </c>
      <c r="B794" s="7">
        <v>43541</v>
      </c>
      <c r="C794" s="4">
        <v>0.49305555555555558</v>
      </c>
      <c r="D794" s="15">
        <f t="shared" si="24"/>
        <v>11</v>
      </c>
      <c r="E794" s="15" t="str">
        <f t="shared" si="25"/>
        <v>Before 15</v>
      </c>
      <c r="F794" t="s">
        <v>274</v>
      </c>
      <c r="G794" s="16" t="str">
        <f>VLOOKUP(F794,DISTRICTS!B$2:C$626,2,FALSE)</f>
        <v>USERA</v>
      </c>
      <c r="H794" s="16" t="str">
        <f>IFERROR(VLOOKUP(G794,'areas for question 4'!A$2:B$10,2,FALSE),"")</f>
        <v/>
      </c>
      <c r="I794" t="s">
        <v>1443</v>
      </c>
      <c r="J794" t="s">
        <v>1450</v>
      </c>
      <c r="K794" t="s">
        <v>1458</v>
      </c>
      <c r="L794" t="s">
        <v>1471</v>
      </c>
      <c r="M794" t="s">
        <v>1477</v>
      </c>
      <c r="N794" s="18">
        <v>7</v>
      </c>
    </row>
    <row r="795" spans="1:14" x14ac:dyDescent="0.25">
      <c r="A795" t="s">
        <v>575</v>
      </c>
      <c r="B795" s="7">
        <v>43620</v>
      </c>
      <c r="C795" s="4">
        <v>0.82638888888888884</v>
      </c>
      <c r="D795" s="15">
        <f t="shared" si="24"/>
        <v>19</v>
      </c>
      <c r="E795" s="15" t="str">
        <f t="shared" si="25"/>
        <v>After 15</v>
      </c>
      <c r="F795" t="s">
        <v>576</v>
      </c>
      <c r="G795" s="16" t="str">
        <f>VLOOKUP(F795,DISTRICTS!B$2:C$626,2,FALSE)</f>
        <v>SAN BLAS-CANILLEJAS</v>
      </c>
      <c r="H795" s="16" t="str">
        <f>IFERROR(VLOOKUP(G795,'areas for question 4'!A$2:B$10,2,FALSE),"")</f>
        <v>East</v>
      </c>
      <c r="I795" t="s">
        <v>1447</v>
      </c>
      <c r="J795" t="s">
        <v>1450</v>
      </c>
      <c r="K795" t="s">
        <v>1456</v>
      </c>
      <c r="L795" t="s">
        <v>1471</v>
      </c>
      <c r="M795" t="s">
        <v>1477</v>
      </c>
      <c r="N795" s="18">
        <v>7</v>
      </c>
    </row>
    <row r="796" spans="1:14" x14ac:dyDescent="0.25">
      <c r="A796" t="s">
        <v>901</v>
      </c>
      <c r="B796" s="7">
        <v>43697</v>
      </c>
      <c r="C796" s="4">
        <v>0.77222222222222225</v>
      </c>
      <c r="D796" s="15">
        <f t="shared" si="24"/>
        <v>18</v>
      </c>
      <c r="E796" s="15" t="str">
        <f t="shared" si="25"/>
        <v>After 15</v>
      </c>
      <c r="F796" t="s">
        <v>902</v>
      </c>
      <c r="G796" s="16" t="str">
        <f>VLOOKUP(F796,DISTRICTS!B$2:C$626,2,FALSE)</f>
        <v>RETIRO</v>
      </c>
      <c r="H796" s="16" t="str">
        <f>IFERROR(VLOOKUP(G796,'areas for question 4'!A$2:B$10,2,FALSE),"")</f>
        <v/>
      </c>
      <c r="I796" t="s">
        <v>1446</v>
      </c>
      <c r="J796" t="s">
        <v>1450</v>
      </c>
      <c r="K796" t="s">
        <v>1456</v>
      </c>
      <c r="L796" t="s">
        <v>1471</v>
      </c>
      <c r="M796" t="s">
        <v>1477</v>
      </c>
      <c r="N796" s="18">
        <v>14</v>
      </c>
    </row>
    <row r="797" spans="1:14" x14ac:dyDescent="0.25">
      <c r="A797" t="s">
        <v>913</v>
      </c>
      <c r="B797" s="7">
        <v>43701</v>
      </c>
      <c r="C797" s="4">
        <v>0.84027777777777779</v>
      </c>
      <c r="D797" s="15">
        <f t="shared" si="24"/>
        <v>20</v>
      </c>
      <c r="E797" s="15" t="str">
        <f t="shared" si="25"/>
        <v>After 15</v>
      </c>
      <c r="F797" t="s">
        <v>914</v>
      </c>
      <c r="G797" s="16" t="str">
        <f>VLOOKUP(F797,DISTRICTS!B$2:C$626,2,FALSE)</f>
        <v>MONCLOA-ARAVACA</v>
      </c>
      <c r="H797" s="16" t="str">
        <f>IFERROR(VLOOKUP(G797,'areas for question 4'!A$2:B$10,2,FALSE),"")</f>
        <v/>
      </c>
      <c r="I797" t="s">
        <v>1443</v>
      </c>
      <c r="J797" t="s">
        <v>1450</v>
      </c>
      <c r="K797" t="s">
        <v>1458</v>
      </c>
      <c r="L797" t="s">
        <v>1471</v>
      </c>
      <c r="M797" t="s">
        <v>1477</v>
      </c>
      <c r="N797" s="18">
        <v>14</v>
      </c>
    </row>
    <row r="798" spans="1:14" x14ac:dyDescent="0.25">
      <c r="A798" t="s">
        <v>915</v>
      </c>
      <c r="B798" s="7">
        <v>43702</v>
      </c>
      <c r="C798" s="4">
        <v>0.86111111111111116</v>
      </c>
      <c r="D798" s="15">
        <f t="shared" si="24"/>
        <v>20</v>
      </c>
      <c r="E798" s="15" t="str">
        <f t="shared" si="25"/>
        <v>After 15</v>
      </c>
      <c r="F798" t="s">
        <v>574</v>
      </c>
      <c r="G798" s="16" t="str">
        <f>VLOOKUP(F798,DISTRICTS!B$2:C$626,2,FALSE)</f>
        <v>CARABANCHEL</v>
      </c>
      <c r="H798" s="16" t="str">
        <f>IFERROR(VLOOKUP(G798,'areas for question 4'!A$2:B$10,2,FALSE),"")</f>
        <v/>
      </c>
      <c r="I798" t="s">
        <v>1443</v>
      </c>
      <c r="J798" t="s">
        <v>1450</v>
      </c>
      <c r="K798" t="s">
        <v>1456</v>
      </c>
      <c r="L798" t="s">
        <v>1471</v>
      </c>
      <c r="M798" t="s">
        <v>1477</v>
      </c>
      <c r="N798" s="18">
        <v>14</v>
      </c>
    </row>
    <row r="799" spans="1:14" x14ac:dyDescent="0.25">
      <c r="A799" t="s">
        <v>1025</v>
      </c>
      <c r="B799" s="7">
        <v>43725</v>
      </c>
      <c r="C799" s="4">
        <v>0.83680555555555547</v>
      </c>
      <c r="D799" s="15">
        <f t="shared" si="24"/>
        <v>20</v>
      </c>
      <c r="E799" s="15" t="str">
        <f t="shared" si="25"/>
        <v>After 15</v>
      </c>
      <c r="F799" t="s">
        <v>1026</v>
      </c>
      <c r="G799" s="16" t="str">
        <f>VLOOKUP(F799,DISTRICTS!B$2:C$626,2,FALSE)</f>
        <v>MORATALAZ</v>
      </c>
      <c r="H799" s="16" t="str">
        <f>IFERROR(VLOOKUP(G799,'areas for question 4'!A$2:B$10,2,FALSE),"")</f>
        <v>East</v>
      </c>
      <c r="I799" t="s">
        <v>1443</v>
      </c>
      <c r="J799" t="s">
        <v>1450</v>
      </c>
      <c r="K799" t="s">
        <v>1456</v>
      </c>
      <c r="L799" t="s">
        <v>1471</v>
      </c>
      <c r="M799" t="s">
        <v>1477</v>
      </c>
      <c r="N799" s="18">
        <v>14</v>
      </c>
    </row>
    <row r="800" spans="1:14" x14ac:dyDescent="0.25">
      <c r="A800" t="s">
        <v>1169</v>
      </c>
      <c r="B800" s="7">
        <v>43747</v>
      </c>
      <c r="C800" s="4">
        <v>0.81597222222222221</v>
      </c>
      <c r="D800" s="15">
        <f t="shared" si="24"/>
        <v>19</v>
      </c>
      <c r="E800" s="15" t="str">
        <f t="shared" si="25"/>
        <v>After 15</v>
      </c>
      <c r="F800" t="s">
        <v>1170</v>
      </c>
      <c r="G800" s="16" t="str">
        <f>VLOOKUP(F800,DISTRICTS!B$2:C$626,2,FALSE)</f>
        <v>LATINA</v>
      </c>
      <c r="H800" s="16" t="str">
        <f>IFERROR(VLOOKUP(G800,'areas for question 4'!A$2:B$10,2,FALSE),"")</f>
        <v/>
      </c>
      <c r="I800" t="s">
        <v>1441</v>
      </c>
      <c r="J800" t="s">
        <v>1450</v>
      </c>
      <c r="K800" t="s">
        <v>1456</v>
      </c>
      <c r="L800" t="s">
        <v>1471</v>
      </c>
      <c r="M800" t="s">
        <v>1477</v>
      </c>
      <c r="N800" s="18">
        <v>7</v>
      </c>
    </row>
    <row r="801" spans="1:14" x14ac:dyDescent="0.25">
      <c r="A801" t="s">
        <v>1278</v>
      </c>
      <c r="B801" s="7">
        <v>43778</v>
      </c>
      <c r="C801" s="4">
        <v>0.57986111111111105</v>
      </c>
      <c r="D801" s="15">
        <f t="shared" si="24"/>
        <v>13</v>
      </c>
      <c r="E801" s="15" t="str">
        <f t="shared" si="25"/>
        <v>Before 15</v>
      </c>
      <c r="F801" t="s">
        <v>130</v>
      </c>
      <c r="G801" s="16" t="str">
        <f>VLOOKUP(F801,DISTRICTS!B$2:C$626,2,FALSE)</f>
        <v>FUENCARRAL-EL PARDO</v>
      </c>
      <c r="H801" s="16" t="str">
        <f>IFERROR(VLOOKUP(G801,'areas for question 4'!A$2:B$10,2,FALSE),"")</f>
        <v>North</v>
      </c>
      <c r="I801" t="s">
        <v>1443</v>
      </c>
      <c r="J801" t="s">
        <v>1450</v>
      </c>
      <c r="K801" t="s">
        <v>1458</v>
      </c>
      <c r="L801" t="s">
        <v>1471</v>
      </c>
      <c r="M801" t="s">
        <v>1478</v>
      </c>
      <c r="N801" s="18">
        <v>7</v>
      </c>
    </row>
    <row r="802" spans="1:14" x14ac:dyDescent="0.25">
      <c r="A802" s="5" t="s">
        <v>74</v>
      </c>
      <c r="B802" s="7">
        <v>43483</v>
      </c>
      <c r="C802" s="4">
        <v>0.54166666666666663</v>
      </c>
      <c r="D802" s="15">
        <f t="shared" si="24"/>
        <v>13</v>
      </c>
      <c r="E802" s="15" t="str">
        <f t="shared" si="25"/>
        <v>Before 15</v>
      </c>
      <c r="F802" t="s">
        <v>75</v>
      </c>
      <c r="G802" s="16" t="str">
        <f>VLOOKUP(F802,DISTRICTS!B$2:C$626,2,FALSE)</f>
        <v>VICÁLVARO</v>
      </c>
      <c r="H802" s="16" t="str">
        <f>IFERROR(VLOOKUP(G802,'areas for question 4'!A$2:B$10,2,FALSE),"")</f>
        <v>East</v>
      </c>
      <c r="I802" t="s">
        <v>1446</v>
      </c>
      <c r="J802" t="s">
        <v>1450</v>
      </c>
      <c r="K802" t="s">
        <v>1456</v>
      </c>
      <c r="L802" t="s">
        <v>1472</v>
      </c>
      <c r="M802" s="5" t="s">
        <v>1477</v>
      </c>
      <c r="N802" s="18">
        <v>2</v>
      </c>
    </row>
    <row r="803" spans="1:14" x14ac:dyDescent="0.25">
      <c r="A803" t="s">
        <v>350</v>
      </c>
      <c r="B803" s="7">
        <v>43558</v>
      </c>
      <c r="C803" s="4">
        <v>0.61111111111111105</v>
      </c>
      <c r="D803" s="15">
        <f t="shared" si="24"/>
        <v>14</v>
      </c>
      <c r="E803" s="15" t="str">
        <f t="shared" si="25"/>
        <v>Before 15</v>
      </c>
      <c r="F803" t="s">
        <v>351</v>
      </c>
      <c r="G803" s="16" t="str">
        <f>VLOOKUP(F803,DISTRICTS!B$2:C$626,2,FALSE)</f>
        <v>MORATALAZ</v>
      </c>
      <c r="H803" s="16" t="str">
        <f>IFERROR(VLOOKUP(G803,'areas for question 4'!A$2:B$10,2,FALSE),"")</f>
        <v>East</v>
      </c>
      <c r="I803" t="s">
        <v>1441</v>
      </c>
      <c r="J803" t="s">
        <v>1450</v>
      </c>
      <c r="K803" t="s">
        <v>1456</v>
      </c>
      <c r="L803" t="s">
        <v>1472</v>
      </c>
      <c r="M803" t="s">
        <v>1477</v>
      </c>
      <c r="N803" s="18" t="s">
        <v>34</v>
      </c>
    </row>
    <row r="804" spans="1:14" x14ac:dyDescent="0.25">
      <c r="A804" t="s">
        <v>363</v>
      </c>
      <c r="B804" s="7">
        <v>43563</v>
      </c>
      <c r="C804" s="4">
        <v>0.51388888888888895</v>
      </c>
      <c r="D804" s="15">
        <f t="shared" si="24"/>
        <v>12</v>
      </c>
      <c r="E804" s="15" t="str">
        <f t="shared" si="25"/>
        <v>Before 15</v>
      </c>
      <c r="F804" t="s">
        <v>272</v>
      </c>
      <c r="G804" s="16" t="str">
        <f>VLOOKUP(F804,DISTRICTS!B$2:C$626,2,FALSE)</f>
        <v>USERA</v>
      </c>
      <c r="H804" s="16" t="str">
        <f>IFERROR(VLOOKUP(G804,'areas for question 4'!A$2:B$10,2,FALSE),"")</f>
        <v/>
      </c>
      <c r="I804" t="s">
        <v>1443</v>
      </c>
      <c r="J804" t="s">
        <v>1454</v>
      </c>
      <c r="K804" t="s">
        <v>1456</v>
      </c>
      <c r="L804" t="s">
        <v>1472</v>
      </c>
      <c r="M804" t="s">
        <v>1477</v>
      </c>
      <c r="N804" s="18">
        <v>7</v>
      </c>
    </row>
    <row r="805" spans="1:14" x14ac:dyDescent="0.25">
      <c r="A805" t="s">
        <v>396</v>
      </c>
      <c r="B805" s="7">
        <v>43576</v>
      </c>
      <c r="C805" s="4">
        <v>0.71180555555555547</v>
      </c>
      <c r="D805" s="15">
        <f t="shared" si="24"/>
        <v>17</v>
      </c>
      <c r="E805" s="15" t="str">
        <f t="shared" si="25"/>
        <v>After 15</v>
      </c>
      <c r="F805" t="s">
        <v>397</v>
      </c>
      <c r="G805" s="16" t="str">
        <f>VLOOKUP(F805,DISTRICTS!B$2:C$626,2,FALSE)</f>
        <v>BARAJAS</v>
      </c>
      <c r="H805" s="16" t="str">
        <f>IFERROR(VLOOKUP(G805,'areas for question 4'!A$2:B$10,2,FALSE),"")</f>
        <v>East</v>
      </c>
      <c r="I805" t="s">
        <v>1442</v>
      </c>
      <c r="J805" t="s">
        <v>1454</v>
      </c>
      <c r="K805" t="s">
        <v>1456</v>
      </c>
      <c r="L805" t="s">
        <v>1472</v>
      </c>
      <c r="M805" t="s">
        <v>1477</v>
      </c>
      <c r="N805" s="18">
        <v>2</v>
      </c>
    </row>
    <row r="806" spans="1:14" x14ac:dyDescent="0.25">
      <c r="A806" t="s">
        <v>499</v>
      </c>
      <c r="B806" s="7">
        <v>43606</v>
      </c>
      <c r="C806" s="4">
        <v>0.84513888888888899</v>
      </c>
      <c r="D806" s="15">
        <f t="shared" si="24"/>
        <v>20</v>
      </c>
      <c r="E806" s="15" t="str">
        <f t="shared" si="25"/>
        <v>After 15</v>
      </c>
      <c r="F806" t="s">
        <v>500</v>
      </c>
      <c r="G806" s="16" t="str">
        <f>VLOOKUP(F806,DISTRICTS!B$2:C$626,2,FALSE)</f>
        <v>FUENCARRAL-EL PARDO</v>
      </c>
      <c r="H806" s="16" t="str">
        <f>IFERROR(VLOOKUP(G806,'areas for question 4'!A$2:B$10,2,FALSE),"")</f>
        <v>North</v>
      </c>
      <c r="I806" t="s">
        <v>1444</v>
      </c>
      <c r="J806" t="s">
        <v>1450</v>
      </c>
      <c r="K806" t="s">
        <v>1456</v>
      </c>
      <c r="L806" t="s">
        <v>1472</v>
      </c>
      <c r="M806" t="s">
        <v>1477</v>
      </c>
      <c r="N806" s="18">
        <v>2</v>
      </c>
    </row>
    <row r="807" spans="1:14" x14ac:dyDescent="0.25">
      <c r="A807" t="s">
        <v>548</v>
      </c>
      <c r="B807" s="7">
        <v>43616</v>
      </c>
      <c r="C807" s="4">
        <v>0.73263888888888884</v>
      </c>
      <c r="D807" s="15">
        <f t="shared" si="24"/>
        <v>17</v>
      </c>
      <c r="E807" s="15" t="str">
        <f t="shared" si="25"/>
        <v>After 15</v>
      </c>
      <c r="F807" t="s">
        <v>549</v>
      </c>
      <c r="G807" s="16" t="str">
        <f>VLOOKUP(F807,DISTRICTS!B$2:C$626,2,FALSE)</f>
        <v>MONCLOA-ARAVACA</v>
      </c>
      <c r="H807" s="16" t="str">
        <f>IFERROR(VLOOKUP(G807,'areas for question 4'!A$2:B$10,2,FALSE),"")</f>
        <v/>
      </c>
      <c r="I807" t="s">
        <v>1441</v>
      </c>
      <c r="J807" t="s">
        <v>1450</v>
      </c>
      <c r="K807" t="s">
        <v>1456</v>
      </c>
      <c r="L807" t="s">
        <v>1472</v>
      </c>
      <c r="M807" t="s">
        <v>1477</v>
      </c>
      <c r="N807" s="18">
        <v>7</v>
      </c>
    </row>
    <row r="808" spans="1:14" x14ac:dyDescent="0.25">
      <c r="A808" t="s">
        <v>552</v>
      </c>
      <c r="B808" s="7">
        <v>43616</v>
      </c>
      <c r="C808" s="4">
        <v>0.71180555555555547</v>
      </c>
      <c r="D808" s="15">
        <f t="shared" si="24"/>
        <v>17</v>
      </c>
      <c r="E808" s="15" t="str">
        <f t="shared" si="25"/>
        <v>After 15</v>
      </c>
      <c r="F808" t="s">
        <v>156</v>
      </c>
      <c r="G808" s="16" t="str">
        <f>VLOOKUP(F808,DISTRICTS!B$2:C$626,2,FALSE)</f>
        <v>CHAMBERÍ</v>
      </c>
      <c r="H808" s="16" t="str">
        <f>IFERROR(VLOOKUP(G808,'areas for question 4'!A$2:B$10,2,FALSE),"")</f>
        <v>North</v>
      </c>
      <c r="I808" t="s">
        <v>1443</v>
      </c>
      <c r="J808" t="s">
        <v>1450</v>
      </c>
      <c r="K808" t="s">
        <v>1458</v>
      </c>
      <c r="L808" t="s">
        <v>1472</v>
      </c>
      <c r="M808" t="s">
        <v>1478</v>
      </c>
      <c r="N808" s="18">
        <v>7</v>
      </c>
    </row>
    <row r="809" spans="1:14" x14ac:dyDescent="0.25">
      <c r="A809" t="s">
        <v>737</v>
      </c>
      <c r="B809" s="7">
        <v>43651</v>
      </c>
      <c r="C809" s="4">
        <v>0.87222222222222223</v>
      </c>
      <c r="D809" s="15">
        <f t="shared" si="24"/>
        <v>20</v>
      </c>
      <c r="E809" s="15" t="str">
        <f t="shared" si="25"/>
        <v>After 15</v>
      </c>
      <c r="F809" t="s">
        <v>738</v>
      </c>
      <c r="G809" s="16" t="str">
        <f>VLOOKUP(F809,DISTRICTS!B$2:C$626,2,FALSE)</f>
        <v>BARAJAS</v>
      </c>
      <c r="H809" s="16" t="str">
        <f>IFERROR(VLOOKUP(G809,'areas for question 4'!A$2:B$10,2,FALSE),"")</f>
        <v>East</v>
      </c>
      <c r="I809" t="s">
        <v>1444</v>
      </c>
      <c r="J809" t="s">
        <v>1450</v>
      </c>
      <c r="K809" t="s">
        <v>1456</v>
      </c>
      <c r="L809" t="s">
        <v>1472</v>
      </c>
      <c r="M809" t="s">
        <v>1477</v>
      </c>
      <c r="N809" s="18">
        <v>14</v>
      </c>
    </row>
    <row r="810" spans="1:14" x14ac:dyDescent="0.25">
      <c r="A810" t="s">
        <v>973</v>
      </c>
      <c r="B810" s="7">
        <v>43714</v>
      </c>
      <c r="C810" s="4">
        <v>0.57291666666666663</v>
      </c>
      <c r="D810" s="15">
        <f t="shared" si="24"/>
        <v>13</v>
      </c>
      <c r="E810" s="15" t="str">
        <f t="shared" si="25"/>
        <v>Before 15</v>
      </c>
      <c r="F810" t="s">
        <v>912</v>
      </c>
      <c r="G810" s="16" t="str">
        <f>VLOOKUP(F810,DISTRICTS!B$2:C$626,2,FALSE)</f>
        <v>CARABANCHEL</v>
      </c>
      <c r="H810" s="16" t="str">
        <f>IFERROR(VLOOKUP(G810,'areas for question 4'!A$2:B$10,2,FALSE),"")</f>
        <v/>
      </c>
      <c r="I810" t="s">
        <v>1446</v>
      </c>
      <c r="J810" t="s">
        <v>1450</v>
      </c>
      <c r="K810" t="s">
        <v>1456</v>
      </c>
      <c r="L810" t="s">
        <v>1472</v>
      </c>
      <c r="M810" t="s">
        <v>1477</v>
      </c>
      <c r="N810" s="18">
        <v>1</v>
      </c>
    </row>
    <row r="811" spans="1:14" x14ac:dyDescent="0.25">
      <c r="A811" t="s">
        <v>984</v>
      </c>
      <c r="B811" s="7">
        <v>43717</v>
      </c>
      <c r="C811" s="4">
        <v>0.53472222222222221</v>
      </c>
      <c r="D811" s="15">
        <f t="shared" si="24"/>
        <v>12</v>
      </c>
      <c r="E811" s="15" t="str">
        <f t="shared" si="25"/>
        <v>Before 15</v>
      </c>
      <c r="F811" t="s">
        <v>985</v>
      </c>
      <c r="G811" s="16" t="str">
        <f>VLOOKUP(F811,DISTRICTS!B$2:C$626,2,FALSE)</f>
        <v>SALAMANCA</v>
      </c>
      <c r="H811" s="16" t="str">
        <f>IFERROR(VLOOKUP(G811,'areas for question 4'!A$2:B$10,2,FALSE),"")</f>
        <v/>
      </c>
      <c r="I811" t="s">
        <v>1443</v>
      </c>
      <c r="J811" t="s">
        <v>1450</v>
      </c>
      <c r="K811" t="s">
        <v>1458</v>
      </c>
      <c r="L811" t="s">
        <v>1472</v>
      </c>
      <c r="M811" t="s">
        <v>1478</v>
      </c>
      <c r="N811" s="18">
        <v>7</v>
      </c>
    </row>
    <row r="812" spans="1:14" x14ac:dyDescent="0.25">
      <c r="A812" t="s">
        <v>1022</v>
      </c>
      <c r="B812" s="7">
        <v>43724</v>
      </c>
      <c r="C812" s="4">
        <v>0.65972222222222221</v>
      </c>
      <c r="D812" s="15">
        <f t="shared" si="24"/>
        <v>15</v>
      </c>
      <c r="E812" s="15" t="str">
        <f t="shared" si="25"/>
        <v>After 15</v>
      </c>
      <c r="F812" t="s">
        <v>1023</v>
      </c>
      <c r="G812" s="16" t="str">
        <f>VLOOKUP(F812,DISTRICTS!B$2:C$626,2,FALSE)</f>
        <v>MONCLOA-ARAVACA</v>
      </c>
      <c r="H812" s="16" t="str">
        <f>IFERROR(VLOOKUP(G812,'areas for question 4'!A$2:B$10,2,FALSE),"")</f>
        <v/>
      </c>
      <c r="I812" t="s">
        <v>1449</v>
      </c>
      <c r="J812" t="s">
        <v>1450</v>
      </c>
      <c r="K812" t="s">
        <v>1456</v>
      </c>
      <c r="L812" t="s">
        <v>1472</v>
      </c>
      <c r="M812" t="s">
        <v>1477</v>
      </c>
      <c r="N812" s="18">
        <v>7</v>
      </c>
    </row>
    <row r="813" spans="1:14" x14ac:dyDescent="0.25">
      <c r="A813" t="s">
        <v>1135</v>
      </c>
      <c r="B813" s="7">
        <v>43741</v>
      </c>
      <c r="C813" s="4">
        <v>0.3888888888888889</v>
      </c>
      <c r="D813" s="15">
        <f t="shared" si="24"/>
        <v>9</v>
      </c>
      <c r="E813" s="15" t="str">
        <f t="shared" si="25"/>
        <v>Before 15</v>
      </c>
      <c r="F813" t="s">
        <v>1136</v>
      </c>
      <c r="G813" s="16" t="str">
        <f>VLOOKUP(F813,DISTRICTS!B$2:C$626,2,FALSE)</f>
        <v>CARABANCHEL</v>
      </c>
      <c r="H813" s="16" t="str">
        <f>IFERROR(VLOOKUP(G813,'areas for question 4'!A$2:B$10,2,FALSE),"")</f>
        <v/>
      </c>
      <c r="I813" t="s">
        <v>1446</v>
      </c>
      <c r="J813" t="s">
        <v>1450</v>
      </c>
      <c r="K813" t="s">
        <v>1456</v>
      </c>
      <c r="L813" t="s">
        <v>1472</v>
      </c>
      <c r="M813" t="s">
        <v>1477</v>
      </c>
      <c r="N813" s="18">
        <v>14</v>
      </c>
    </row>
    <row r="814" spans="1:14" x14ac:dyDescent="0.25">
      <c r="A814" t="s">
        <v>1216</v>
      </c>
      <c r="B814" s="7">
        <v>43758</v>
      </c>
      <c r="C814" s="4">
        <v>0.55555555555555558</v>
      </c>
      <c r="D814" s="15">
        <f t="shared" si="24"/>
        <v>13</v>
      </c>
      <c r="E814" s="15" t="str">
        <f t="shared" si="25"/>
        <v>Before 15</v>
      </c>
      <c r="F814" t="s">
        <v>1217</v>
      </c>
      <c r="G814" s="16" t="str">
        <f>VLOOKUP(F814,DISTRICTS!B$2:C$626,2,FALSE)</f>
        <v>SAN BLAS-CANILLEJAS</v>
      </c>
      <c r="H814" s="16" t="str">
        <f>IFERROR(VLOOKUP(G814,'areas for question 4'!A$2:B$10,2,FALSE),"")</f>
        <v>East</v>
      </c>
      <c r="I814" t="s">
        <v>1444</v>
      </c>
      <c r="J814" t="s">
        <v>1454</v>
      </c>
      <c r="K814" t="s">
        <v>1456</v>
      </c>
      <c r="L814" t="s">
        <v>1472</v>
      </c>
      <c r="M814" t="s">
        <v>1477</v>
      </c>
      <c r="N814" s="18">
        <v>5</v>
      </c>
    </row>
    <row r="815" spans="1:14" x14ac:dyDescent="0.25">
      <c r="A815" t="s">
        <v>1223</v>
      </c>
      <c r="B815" s="7">
        <v>43760</v>
      </c>
      <c r="C815" s="4">
        <v>0.91666666666666663</v>
      </c>
      <c r="D815" s="15">
        <f t="shared" si="24"/>
        <v>22</v>
      </c>
      <c r="E815" s="15" t="str">
        <f t="shared" si="25"/>
        <v>After 15</v>
      </c>
      <c r="F815" t="s">
        <v>810</v>
      </c>
      <c r="G815" s="16" t="str">
        <f>VLOOKUP(F815,DISTRICTS!B$2:C$626,2,FALSE)</f>
        <v>CENTRO</v>
      </c>
      <c r="H815" s="16" t="str">
        <f>IFERROR(VLOOKUP(G815,'areas for question 4'!A$2:B$10,2,FALSE),"")</f>
        <v/>
      </c>
      <c r="I815" t="s">
        <v>1446</v>
      </c>
      <c r="J815" t="s">
        <v>1452</v>
      </c>
      <c r="K815" t="s">
        <v>1456</v>
      </c>
      <c r="L815" t="s">
        <v>1472</v>
      </c>
      <c r="M815" t="s">
        <v>1477</v>
      </c>
      <c r="N815" s="18">
        <v>7</v>
      </c>
    </row>
    <row r="816" spans="1:14" x14ac:dyDescent="0.25">
      <c r="A816" t="s">
        <v>1226</v>
      </c>
      <c r="B816" s="7">
        <v>43760</v>
      </c>
      <c r="C816" s="4">
        <v>0.82986111111111116</v>
      </c>
      <c r="D816" s="15">
        <f t="shared" si="24"/>
        <v>19</v>
      </c>
      <c r="E816" s="15" t="str">
        <f t="shared" si="25"/>
        <v>After 15</v>
      </c>
      <c r="F816" t="s">
        <v>1227</v>
      </c>
      <c r="G816" s="16" t="str">
        <f>VLOOKUP(F816,DISTRICTS!B$2:C$626,2,FALSE)</f>
        <v>SAN BLAS-CANILLEJAS</v>
      </c>
      <c r="H816" s="16" t="str">
        <f>IFERROR(VLOOKUP(G816,'areas for question 4'!A$2:B$10,2,FALSE),"")</f>
        <v>East</v>
      </c>
      <c r="I816" t="s">
        <v>1446</v>
      </c>
      <c r="J816" t="s">
        <v>1452</v>
      </c>
      <c r="K816" t="s">
        <v>1456</v>
      </c>
      <c r="L816" t="s">
        <v>1472</v>
      </c>
      <c r="M816" t="s">
        <v>1477</v>
      </c>
      <c r="N816" s="18">
        <v>7</v>
      </c>
    </row>
    <row r="817" spans="1:14" x14ac:dyDescent="0.25">
      <c r="A817" t="s">
        <v>1296</v>
      </c>
      <c r="B817" s="7">
        <v>43782</v>
      </c>
      <c r="C817" s="4">
        <v>0.60416666666666663</v>
      </c>
      <c r="D817" s="15">
        <f t="shared" si="24"/>
        <v>14</v>
      </c>
      <c r="E817" s="15" t="str">
        <f t="shared" si="25"/>
        <v>Before 15</v>
      </c>
      <c r="F817" t="s">
        <v>1297</v>
      </c>
      <c r="G817" s="16" t="str">
        <f>VLOOKUP(F817,DISTRICTS!B$2:C$626,2,FALSE)</f>
        <v>PUENTE DE VALLECAS</v>
      </c>
      <c r="H817" s="16" t="str">
        <f>IFERROR(VLOOKUP(G817,'areas for question 4'!A$2:B$10,2,FALSE),"")</f>
        <v/>
      </c>
      <c r="I817" t="s">
        <v>1446</v>
      </c>
      <c r="J817" t="s">
        <v>1450</v>
      </c>
      <c r="K817" t="s">
        <v>1456</v>
      </c>
      <c r="L817" t="s">
        <v>1472</v>
      </c>
      <c r="M817" t="s">
        <v>1477</v>
      </c>
      <c r="N817" s="18">
        <v>7</v>
      </c>
    </row>
    <row r="818" spans="1:14" x14ac:dyDescent="0.25">
      <c r="A818" t="s">
        <v>1382</v>
      </c>
      <c r="B818" s="7">
        <v>43813</v>
      </c>
      <c r="C818" s="4">
        <v>0.77777777777777779</v>
      </c>
      <c r="D818" s="15">
        <f t="shared" si="24"/>
        <v>18</v>
      </c>
      <c r="E818" s="15" t="str">
        <f t="shared" si="25"/>
        <v>After 15</v>
      </c>
      <c r="F818" t="s">
        <v>1383</v>
      </c>
      <c r="G818" s="16" t="str">
        <f>VLOOKUP(F818,DISTRICTS!B$2:C$626,2,FALSE)</f>
        <v>ARGANZUELA</v>
      </c>
      <c r="H818" s="16" t="str">
        <f>IFERROR(VLOOKUP(G818,'areas for question 4'!A$2:B$10,2,FALSE),"")</f>
        <v/>
      </c>
      <c r="I818" t="s">
        <v>1443</v>
      </c>
      <c r="J818" t="s">
        <v>1450</v>
      </c>
      <c r="K818" t="s">
        <v>1458</v>
      </c>
      <c r="L818" t="s">
        <v>1472</v>
      </c>
      <c r="M818" t="s">
        <v>1478</v>
      </c>
      <c r="N818" s="18">
        <v>6</v>
      </c>
    </row>
    <row r="819" spans="1:14" x14ac:dyDescent="0.25">
      <c r="A819" t="s">
        <v>1384</v>
      </c>
      <c r="B819" s="7">
        <v>43813</v>
      </c>
      <c r="C819" s="4">
        <v>0.63888888888888895</v>
      </c>
      <c r="D819" s="15">
        <f t="shared" si="24"/>
        <v>15</v>
      </c>
      <c r="E819" s="15" t="str">
        <f t="shared" si="25"/>
        <v>After 15</v>
      </c>
      <c r="F819" t="s">
        <v>1385</v>
      </c>
      <c r="G819" s="16" t="str">
        <f>VLOOKUP(F819,DISTRICTS!B$2:C$626,2,FALSE)</f>
        <v>ARGANZUELA</v>
      </c>
      <c r="H819" s="16" t="str">
        <f>IFERROR(VLOOKUP(G819,'areas for question 4'!A$2:B$10,2,FALSE),"")</f>
        <v/>
      </c>
      <c r="I819" t="s">
        <v>1444</v>
      </c>
      <c r="J819" t="s">
        <v>1454</v>
      </c>
      <c r="K819" t="s">
        <v>1456</v>
      </c>
      <c r="L819" t="s">
        <v>1472</v>
      </c>
      <c r="M819" t="s">
        <v>1478</v>
      </c>
      <c r="N819" s="18">
        <v>7</v>
      </c>
    </row>
    <row r="820" spans="1:14" x14ac:dyDescent="0.25">
      <c r="A820" t="s">
        <v>1403</v>
      </c>
      <c r="B820" s="7">
        <v>43818</v>
      </c>
      <c r="C820" s="4">
        <v>0.4375</v>
      </c>
      <c r="D820" s="15">
        <f t="shared" si="24"/>
        <v>10</v>
      </c>
      <c r="E820" s="15" t="str">
        <f t="shared" si="25"/>
        <v>Before 15</v>
      </c>
      <c r="F820" t="s">
        <v>1404</v>
      </c>
      <c r="G820" s="16" t="str">
        <f>VLOOKUP(F820,DISTRICTS!B$2:C$626,2,FALSE)</f>
        <v>CENTRO</v>
      </c>
      <c r="H820" s="16" t="str">
        <f>IFERROR(VLOOKUP(G820,'areas for question 4'!A$2:B$10,2,FALSE),"")</f>
        <v/>
      </c>
      <c r="I820" t="s">
        <v>1444</v>
      </c>
      <c r="J820" t="s">
        <v>1452</v>
      </c>
      <c r="K820" t="s">
        <v>1456</v>
      </c>
      <c r="L820" t="s">
        <v>1472</v>
      </c>
      <c r="M820" t="s">
        <v>1478</v>
      </c>
      <c r="N820" s="18">
        <v>2</v>
      </c>
    </row>
    <row r="821" spans="1:14" x14ac:dyDescent="0.25">
      <c r="A821" s="5" t="s">
        <v>17</v>
      </c>
      <c r="B821" s="7">
        <v>43469</v>
      </c>
      <c r="C821" s="4">
        <v>0.56597222222222221</v>
      </c>
      <c r="D821" s="15">
        <f t="shared" si="24"/>
        <v>13</v>
      </c>
      <c r="E821" s="15" t="str">
        <f t="shared" si="25"/>
        <v>Before 15</v>
      </c>
      <c r="F821" t="s">
        <v>18</v>
      </c>
      <c r="G821" s="16" t="str">
        <f>VLOOKUP(F821,DISTRICTS!B$2:C$626,2,FALSE)</f>
        <v>MORATALAZ</v>
      </c>
      <c r="H821" s="16" t="str">
        <f>IFERROR(VLOOKUP(G821,'areas for question 4'!A$2:B$10,2,FALSE),"")</f>
        <v>East</v>
      </c>
      <c r="I821" t="s">
        <v>1446</v>
      </c>
      <c r="J821" t="s">
        <v>1450</v>
      </c>
      <c r="K821" t="s">
        <v>1456</v>
      </c>
      <c r="L821" t="s">
        <v>1473</v>
      </c>
      <c r="M821" s="5" t="s">
        <v>1477</v>
      </c>
      <c r="N821" s="18">
        <v>7</v>
      </c>
    </row>
    <row r="822" spans="1:14" x14ac:dyDescent="0.25">
      <c r="A822" s="5" t="s">
        <v>85</v>
      </c>
      <c r="B822" s="7">
        <v>43488</v>
      </c>
      <c r="C822" s="4">
        <v>0.65138888888888891</v>
      </c>
      <c r="D822" s="15">
        <f t="shared" si="24"/>
        <v>15</v>
      </c>
      <c r="E822" s="15" t="str">
        <f t="shared" si="25"/>
        <v>After 15</v>
      </c>
      <c r="F822" t="s">
        <v>86</v>
      </c>
      <c r="G822" s="16" t="str">
        <f>VLOOKUP(F822,DISTRICTS!B$2:C$626,2,FALSE)</f>
        <v>PUENTE DE VALLECAS</v>
      </c>
      <c r="H822" s="16" t="str">
        <f>IFERROR(VLOOKUP(G822,'areas for question 4'!A$2:B$10,2,FALSE),"")</f>
        <v/>
      </c>
      <c r="I822" t="s">
        <v>1446</v>
      </c>
      <c r="J822" t="s">
        <v>1450</v>
      </c>
      <c r="K822" t="s">
        <v>1456</v>
      </c>
      <c r="L822" t="s">
        <v>1473</v>
      </c>
      <c r="M822" s="5" t="s">
        <v>1477</v>
      </c>
      <c r="N822" s="18">
        <v>14</v>
      </c>
    </row>
    <row r="823" spans="1:14" x14ac:dyDescent="0.25">
      <c r="A823" t="s">
        <v>295</v>
      </c>
      <c r="B823" s="7">
        <v>43546</v>
      </c>
      <c r="C823" s="4">
        <v>0.59375</v>
      </c>
      <c r="D823" s="15">
        <f t="shared" si="24"/>
        <v>14</v>
      </c>
      <c r="E823" s="15" t="str">
        <f t="shared" si="25"/>
        <v>Before 15</v>
      </c>
      <c r="F823" t="s">
        <v>178</v>
      </c>
      <c r="G823" s="16" t="str">
        <f>VLOOKUP(F823,DISTRICTS!B$2:C$626,2,FALSE)</f>
        <v>CENTRO</v>
      </c>
      <c r="H823" s="16" t="str">
        <f>IFERROR(VLOOKUP(G823,'areas for question 4'!A$2:B$10,2,FALSE),"")</f>
        <v/>
      </c>
      <c r="I823" t="s">
        <v>1443</v>
      </c>
      <c r="J823" t="s">
        <v>1450</v>
      </c>
      <c r="K823" t="s">
        <v>1458</v>
      </c>
      <c r="L823" t="s">
        <v>1473</v>
      </c>
      <c r="M823" t="s">
        <v>1478</v>
      </c>
      <c r="N823" s="18">
        <v>2</v>
      </c>
    </row>
    <row r="824" spans="1:14" x14ac:dyDescent="0.25">
      <c r="A824" t="s">
        <v>371</v>
      </c>
      <c r="B824" s="7">
        <v>43565</v>
      </c>
      <c r="C824" s="4">
        <v>0.3576388888888889</v>
      </c>
      <c r="D824" s="15">
        <f t="shared" si="24"/>
        <v>8</v>
      </c>
      <c r="E824" s="15" t="str">
        <f t="shared" si="25"/>
        <v>Before 15</v>
      </c>
      <c r="F824" t="s">
        <v>372</v>
      </c>
      <c r="G824" s="16" t="str">
        <f>VLOOKUP(F824,DISTRICTS!B$2:C$626,2,FALSE)</f>
        <v>RETIRO</v>
      </c>
      <c r="H824" s="16" t="str">
        <f>IFERROR(VLOOKUP(G824,'areas for question 4'!A$2:B$10,2,FALSE),"")</f>
        <v/>
      </c>
      <c r="I824" t="s">
        <v>1443</v>
      </c>
      <c r="J824" t="s">
        <v>1450</v>
      </c>
      <c r="K824" t="s">
        <v>1456</v>
      </c>
      <c r="L824" t="s">
        <v>1473</v>
      </c>
      <c r="M824" t="s">
        <v>1477</v>
      </c>
      <c r="N824" s="18">
        <v>14</v>
      </c>
    </row>
    <row r="825" spans="1:14" x14ac:dyDescent="0.25">
      <c r="A825" t="s">
        <v>391</v>
      </c>
      <c r="B825" s="7">
        <v>43572</v>
      </c>
      <c r="C825" s="4">
        <v>0.79166666666666663</v>
      </c>
      <c r="D825" s="15">
        <f t="shared" si="24"/>
        <v>19</v>
      </c>
      <c r="E825" s="15" t="str">
        <f t="shared" si="25"/>
        <v>After 15</v>
      </c>
      <c r="F825" t="s">
        <v>392</v>
      </c>
      <c r="G825" s="16" t="str">
        <f>VLOOKUP(F825,DISTRICTS!B$2:C$626,2,FALSE)</f>
        <v>USERA</v>
      </c>
      <c r="H825" s="16" t="str">
        <f>IFERROR(VLOOKUP(G825,'areas for question 4'!A$2:B$10,2,FALSE),"")</f>
        <v/>
      </c>
      <c r="I825" t="s">
        <v>1447</v>
      </c>
      <c r="J825" t="s">
        <v>1450</v>
      </c>
      <c r="K825" t="s">
        <v>1456</v>
      </c>
      <c r="L825" t="s">
        <v>1473</v>
      </c>
      <c r="M825" t="s">
        <v>1478</v>
      </c>
      <c r="N825" s="18">
        <v>6</v>
      </c>
    </row>
    <row r="826" spans="1:14" x14ac:dyDescent="0.25">
      <c r="A826" t="s">
        <v>426</v>
      </c>
      <c r="B826" s="7">
        <v>43590</v>
      </c>
      <c r="C826" s="4">
        <v>0.61736111111111114</v>
      </c>
      <c r="D826" s="15">
        <f t="shared" si="24"/>
        <v>14</v>
      </c>
      <c r="E826" s="15" t="str">
        <f t="shared" si="25"/>
        <v>Before 15</v>
      </c>
      <c r="F826" t="s">
        <v>427</v>
      </c>
      <c r="G826" s="16" t="str">
        <f>VLOOKUP(F826,DISTRICTS!B$2:C$626,2,FALSE)</f>
        <v>LATINA</v>
      </c>
      <c r="H826" s="16" t="str">
        <f>IFERROR(VLOOKUP(G826,'areas for question 4'!A$2:B$10,2,FALSE),"")</f>
        <v/>
      </c>
      <c r="I826" t="s">
        <v>1443</v>
      </c>
      <c r="J826" t="s">
        <v>1450</v>
      </c>
      <c r="K826" t="s">
        <v>1458</v>
      </c>
      <c r="L826" t="s">
        <v>1473</v>
      </c>
      <c r="M826" t="s">
        <v>1477</v>
      </c>
      <c r="N826" s="18">
        <v>7</v>
      </c>
    </row>
    <row r="827" spans="1:14" x14ac:dyDescent="0.25">
      <c r="A827" t="s">
        <v>445</v>
      </c>
      <c r="B827" s="7">
        <v>43595</v>
      </c>
      <c r="C827" s="4">
        <v>0.4861111111111111</v>
      </c>
      <c r="D827" s="15">
        <f t="shared" si="24"/>
        <v>11</v>
      </c>
      <c r="E827" s="15" t="str">
        <f t="shared" si="25"/>
        <v>Before 15</v>
      </c>
      <c r="F827" t="s">
        <v>446</v>
      </c>
      <c r="G827" s="16" t="str">
        <f>VLOOKUP(F827,DISTRICTS!B$2:C$626,2,FALSE)</f>
        <v>CARABANCHEL</v>
      </c>
      <c r="H827" s="16" t="str">
        <f>IFERROR(VLOOKUP(G827,'areas for question 4'!A$2:B$10,2,FALSE),"")</f>
        <v/>
      </c>
      <c r="I827" t="s">
        <v>1441</v>
      </c>
      <c r="J827" t="s">
        <v>1450</v>
      </c>
      <c r="K827" t="s">
        <v>1456</v>
      </c>
      <c r="L827" t="s">
        <v>1473</v>
      </c>
      <c r="M827" t="s">
        <v>1477</v>
      </c>
      <c r="N827" s="18">
        <v>14</v>
      </c>
    </row>
    <row r="828" spans="1:14" x14ac:dyDescent="0.25">
      <c r="A828" t="s">
        <v>451</v>
      </c>
      <c r="B828" s="7">
        <v>43596</v>
      </c>
      <c r="C828" s="4">
        <v>0.82638888888888884</v>
      </c>
      <c r="D828" s="15">
        <f t="shared" si="24"/>
        <v>19</v>
      </c>
      <c r="E828" s="15" t="str">
        <f t="shared" si="25"/>
        <v>After 15</v>
      </c>
      <c r="F828" t="s">
        <v>452</v>
      </c>
      <c r="G828" s="16" t="str">
        <f>VLOOKUP(F828,DISTRICTS!B$2:C$626,2,FALSE)</f>
        <v>MONCLOA-ARAVACA</v>
      </c>
      <c r="H828" s="16" t="str">
        <f>IFERROR(VLOOKUP(G828,'areas for question 4'!A$2:B$10,2,FALSE),"")</f>
        <v/>
      </c>
      <c r="I828" t="s">
        <v>1445</v>
      </c>
      <c r="J828" t="s">
        <v>1450</v>
      </c>
      <c r="K828" t="s">
        <v>1456</v>
      </c>
      <c r="L828" t="s">
        <v>1473</v>
      </c>
      <c r="M828" t="s">
        <v>1477</v>
      </c>
      <c r="N828" s="18">
        <v>2</v>
      </c>
    </row>
    <row r="829" spans="1:14" x14ac:dyDescent="0.25">
      <c r="A829" t="s">
        <v>512</v>
      </c>
      <c r="B829" s="7">
        <v>43607</v>
      </c>
      <c r="C829" s="4">
        <v>0.30208333333333331</v>
      </c>
      <c r="D829" s="15">
        <f t="shared" si="24"/>
        <v>7</v>
      </c>
      <c r="E829" s="15" t="str">
        <f t="shared" si="25"/>
        <v>Before 15</v>
      </c>
      <c r="F829" t="s">
        <v>262</v>
      </c>
      <c r="G829" s="16" t="str">
        <f>VLOOKUP(F829,DISTRICTS!B$2:C$626,2,FALSE)</f>
        <v>RETIRO</v>
      </c>
      <c r="H829" s="16" t="str">
        <f>IFERROR(VLOOKUP(G829,'areas for question 4'!A$2:B$10,2,FALSE),"")</f>
        <v/>
      </c>
      <c r="I829" t="s">
        <v>1446</v>
      </c>
      <c r="J829" t="s">
        <v>1450</v>
      </c>
      <c r="K829" t="s">
        <v>1456</v>
      </c>
      <c r="L829" t="s">
        <v>1473</v>
      </c>
      <c r="M829" t="s">
        <v>1477</v>
      </c>
      <c r="N829" s="18">
        <v>3</v>
      </c>
    </row>
    <row r="830" spans="1:14" x14ac:dyDescent="0.25">
      <c r="A830" t="s">
        <v>598</v>
      </c>
      <c r="B830" s="7">
        <v>43624</v>
      </c>
      <c r="C830" s="4">
        <v>0.59722222222222221</v>
      </c>
      <c r="D830" s="15">
        <f t="shared" si="24"/>
        <v>14</v>
      </c>
      <c r="E830" s="15" t="str">
        <f t="shared" si="25"/>
        <v>Before 15</v>
      </c>
      <c r="F830" t="s">
        <v>599</v>
      </c>
      <c r="G830" s="16" t="str">
        <f>VLOOKUP(F830,DISTRICTS!B$2:C$626,2,FALSE)</f>
        <v>FUENCARRAL-EL PARDO</v>
      </c>
      <c r="H830" s="16" t="str">
        <f>IFERROR(VLOOKUP(G830,'areas for question 4'!A$2:B$10,2,FALSE),"")</f>
        <v>North</v>
      </c>
      <c r="I830" t="s">
        <v>1444</v>
      </c>
      <c r="J830" t="s">
        <v>1450</v>
      </c>
      <c r="K830" t="s">
        <v>1456</v>
      </c>
      <c r="L830" t="s">
        <v>1473</v>
      </c>
      <c r="M830" t="s">
        <v>1477</v>
      </c>
      <c r="N830" s="18">
        <v>6</v>
      </c>
    </row>
    <row r="831" spans="1:14" x14ac:dyDescent="0.25">
      <c r="A831" t="s">
        <v>605</v>
      </c>
      <c r="B831" s="7">
        <v>43626</v>
      </c>
      <c r="C831" s="4">
        <v>0.40625</v>
      </c>
      <c r="D831" s="15">
        <f t="shared" si="24"/>
        <v>9</v>
      </c>
      <c r="E831" s="15" t="str">
        <f t="shared" si="25"/>
        <v>Before 15</v>
      </c>
      <c r="F831" t="s">
        <v>606</v>
      </c>
      <c r="G831" s="16" t="str">
        <f>VLOOKUP(F831,DISTRICTS!B$2:C$626,2,FALSE)</f>
        <v>ARGANZUELA</v>
      </c>
      <c r="H831" s="16" t="str">
        <f>IFERROR(VLOOKUP(G831,'areas for question 4'!A$2:B$10,2,FALSE),"")</f>
        <v/>
      </c>
      <c r="I831" t="s">
        <v>1444</v>
      </c>
      <c r="J831" t="s">
        <v>1450</v>
      </c>
      <c r="K831" t="s">
        <v>1456</v>
      </c>
      <c r="L831" t="s">
        <v>1473</v>
      </c>
      <c r="M831" t="s">
        <v>1478</v>
      </c>
      <c r="N831" s="18" t="s">
        <v>34</v>
      </c>
    </row>
    <row r="832" spans="1:14" x14ac:dyDescent="0.25">
      <c r="A832" t="s">
        <v>616</v>
      </c>
      <c r="B832" s="7">
        <v>43628</v>
      </c>
      <c r="C832" s="4">
        <v>0.77083333333333337</v>
      </c>
      <c r="D832" s="15">
        <f t="shared" si="24"/>
        <v>18</v>
      </c>
      <c r="E832" s="15" t="str">
        <f t="shared" si="25"/>
        <v>After 15</v>
      </c>
      <c r="F832" t="s">
        <v>617</v>
      </c>
      <c r="G832" s="16" t="str">
        <f>VLOOKUP(F832,DISTRICTS!B$2:C$626,2,FALSE)</f>
        <v>MONCLOA-ARAVACA</v>
      </c>
      <c r="H832" s="16" t="str">
        <f>IFERROR(VLOOKUP(G832,'areas for question 4'!A$2:B$10,2,FALSE),"")</f>
        <v/>
      </c>
      <c r="I832" t="s">
        <v>1444</v>
      </c>
      <c r="J832" t="s">
        <v>1450</v>
      </c>
      <c r="K832" t="s">
        <v>1456</v>
      </c>
      <c r="L832" t="s">
        <v>1473</v>
      </c>
      <c r="M832" t="s">
        <v>1477</v>
      </c>
      <c r="N832" s="18">
        <v>6</v>
      </c>
    </row>
    <row r="833" spans="1:14" x14ac:dyDescent="0.25">
      <c r="A833" t="s">
        <v>664</v>
      </c>
      <c r="B833" s="7">
        <v>43637</v>
      </c>
      <c r="C833" s="4">
        <v>0.54513888888888895</v>
      </c>
      <c r="D833" s="15">
        <f t="shared" si="24"/>
        <v>13</v>
      </c>
      <c r="E833" s="15" t="str">
        <f t="shared" si="25"/>
        <v>Before 15</v>
      </c>
      <c r="F833" t="s">
        <v>665</v>
      </c>
      <c r="G833" s="16" t="str">
        <f>VLOOKUP(F833,DISTRICTS!B$2:C$626,2,FALSE)</f>
        <v>ARGANZUELA</v>
      </c>
      <c r="H833" s="16" t="str">
        <f>IFERROR(VLOOKUP(G833,'areas for question 4'!A$2:B$10,2,FALSE),"")</f>
        <v/>
      </c>
      <c r="I833" t="s">
        <v>1444</v>
      </c>
      <c r="J833" t="s">
        <v>1450</v>
      </c>
      <c r="K833" t="s">
        <v>1458</v>
      </c>
      <c r="L833" t="s">
        <v>1473</v>
      </c>
      <c r="M833" t="s">
        <v>1478</v>
      </c>
      <c r="N833" s="18">
        <v>14</v>
      </c>
    </row>
    <row r="834" spans="1:14" x14ac:dyDescent="0.25">
      <c r="A834" t="s">
        <v>747</v>
      </c>
      <c r="B834" s="7">
        <v>43652</v>
      </c>
      <c r="C834" s="4">
        <v>0.3888888888888889</v>
      </c>
      <c r="D834" s="15">
        <f t="shared" si="24"/>
        <v>9</v>
      </c>
      <c r="E834" s="15" t="str">
        <f t="shared" si="25"/>
        <v>Before 15</v>
      </c>
      <c r="F834" t="s">
        <v>748</v>
      </c>
      <c r="G834" s="16" t="str">
        <f>VLOOKUP(F834,DISTRICTS!B$2:C$626,2,FALSE)</f>
        <v>CARABANCHEL</v>
      </c>
      <c r="H834" s="16" t="str">
        <f>IFERROR(VLOOKUP(G834,'areas for question 4'!A$2:B$10,2,FALSE),"")</f>
        <v/>
      </c>
      <c r="I834" t="s">
        <v>1446</v>
      </c>
      <c r="J834" t="s">
        <v>1450</v>
      </c>
      <c r="K834" t="s">
        <v>1456</v>
      </c>
      <c r="L834" t="s">
        <v>1473</v>
      </c>
      <c r="M834" t="s">
        <v>1477</v>
      </c>
      <c r="N834" s="18">
        <v>6</v>
      </c>
    </row>
    <row r="835" spans="1:14" x14ac:dyDescent="0.25">
      <c r="A835" t="s">
        <v>827</v>
      </c>
      <c r="B835" s="7">
        <v>43671</v>
      </c>
      <c r="C835" s="4">
        <v>0.46180555555555558</v>
      </c>
      <c r="D835" s="15">
        <f t="shared" ref="D835:D892" si="26">HOUR(C835)</f>
        <v>11</v>
      </c>
      <c r="E835" s="15" t="str">
        <f t="shared" ref="E835:E892" si="27">IF(D835&lt;15,"Before 15","After 15")</f>
        <v>Before 15</v>
      </c>
      <c r="F835" t="s">
        <v>828</v>
      </c>
      <c r="G835" s="16" t="str">
        <f>VLOOKUP(F835,DISTRICTS!B$2:C$626,2,FALSE)</f>
        <v>SAN BLAS-CANILLEJAS</v>
      </c>
      <c r="H835" s="16" t="str">
        <f>IFERROR(VLOOKUP(G835,'areas for question 4'!A$2:B$10,2,FALSE),"")</f>
        <v>East</v>
      </c>
      <c r="I835" t="s">
        <v>1444</v>
      </c>
      <c r="J835" t="s">
        <v>1450</v>
      </c>
      <c r="K835" t="s">
        <v>1456</v>
      </c>
      <c r="L835" t="s">
        <v>1473</v>
      </c>
      <c r="M835" t="s">
        <v>1477</v>
      </c>
      <c r="N835" s="18" t="s">
        <v>34</v>
      </c>
    </row>
    <row r="836" spans="1:14" x14ac:dyDescent="0.25">
      <c r="A836" t="s">
        <v>924</v>
      </c>
      <c r="B836" s="7">
        <v>43705</v>
      </c>
      <c r="C836" s="4">
        <v>0.4513888888888889</v>
      </c>
      <c r="D836" s="15">
        <f t="shared" si="26"/>
        <v>10</v>
      </c>
      <c r="E836" s="15" t="str">
        <f t="shared" si="27"/>
        <v>Before 15</v>
      </c>
      <c r="F836" t="s">
        <v>925</v>
      </c>
      <c r="G836" s="16" t="str">
        <f>VLOOKUP(F836,DISTRICTS!B$2:C$626,2,FALSE)</f>
        <v>MORATALAZ</v>
      </c>
      <c r="H836" s="16" t="str">
        <f>IFERROR(VLOOKUP(G836,'areas for question 4'!A$2:B$10,2,FALSE),"")</f>
        <v>East</v>
      </c>
      <c r="I836" t="s">
        <v>1446</v>
      </c>
      <c r="J836" t="s">
        <v>1450</v>
      </c>
      <c r="K836" t="s">
        <v>1456</v>
      </c>
      <c r="L836" t="s">
        <v>1473</v>
      </c>
      <c r="M836" t="s">
        <v>1477</v>
      </c>
      <c r="N836" s="18">
        <v>7</v>
      </c>
    </row>
    <row r="837" spans="1:14" x14ac:dyDescent="0.25">
      <c r="A837" t="s">
        <v>1034</v>
      </c>
      <c r="B837" s="7">
        <v>43726</v>
      </c>
      <c r="C837" s="4">
        <v>0.63888888888888895</v>
      </c>
      <c r="D837" s="15">
        <f t="shared" si="26"/>
        <v>15</v>
      </c>
      <c r="E837" s="15" t="str">
        <f t="shared" si="27"/>
        <v>After 15</v>
      </c>
      <c r="F837" t="s">
        <v>488</v>
      </c>
      <c r="G837" s="16" t="str">
        <f>VLOOKUP(F837,DISTRICTS!B$2:C$626,2,FALSE)</f>
        <v>CENTRO</v>
      </c>
      <c r="H837" s="16" t="str">
        <f>IFERROR(VLOOKUP(G837,'areas for question 4'!A$2:B$10,2,FALSE),"")</f>
        <v/>
      </c>
      <c r="I837" t="s">
        <v>1443</v>
      </c>
      <c r="J837" t="s">
        <v>1450</v>
      </c>
      <c r="K837" t="s">
        <v>1458</v>
      </c>
      <c r="L837" t="s">
        <v>1473</v>
      </c>
      <c r="M837" t="s">
        <v>1477</v>
      </c>
      <c r="N837" s="18">
        <v>2</v>
      </c>
    </row>
    <row r="838" spans="1:14" x14ac:dyDescent="0.25">
      <c r="A838" t="s">
        <v>1043</v>
      </c>
      <c r="B838" s="7">
        <v>43727</v>
      </c>
      <c r="C838" s="4">
        <v>0.44444444444444442</v>
      </c>
      <c r="D838" s="15">
        <f t="shared" si="26"/>
        <v>10</v>
      </c>
      <c r="E838" s="15" t="str">
        <f t="shared" si="27"/>
        <v>Before 15</v>
      </c>
      <c r="F838" t="s">
        <v>481</v>
      </c>
      <c r="G838" s="16" t="str">
        <f>VLOOKUP(F838,DISTRICTS!B$2:C$626,2,FALSE)</f>
        <v>ARGANZUELA</v>
      </c>
      <c r="H838" s="16" t="str">
        <f>IFERROR(VLOOKUP(G838,'areas for question 4'!A$2:B$10,2,FALSE),"")</f>
        <v/>
      </c>
      <c r="I838" t="s">
        <v>1443</v>
      </c>
      <c r="J838" t="s">
        <v>1450</v>
      </c>
      <c r="K838" t="s">
        <v>1458</v>
      </c>
      <c r="L838" t="s">
        <v>1473</v>
      </c>
      <c r="M838" t="s">
        <v>1478</v>
      </c>
      <c r="N838" s="18" t="s">
        <v>34</v>
      </c>
    </row>
    <row r="839" spans="1:14" x14ac:dyDescent="0.25">
      <c r="A839" t="s">
        <v>1165</v>
      </c>
      <c r="B839" s="7">
        <v>43746</v>
      </c>
      <c r="C839" s="4">
        <v>0.50555555555555554</v>
      </c>
      <c r="D839" s="15">
        <f t="shared" si="26"/>
        <v>12</v>
      </c>
      <c r="E839" s="15" t="str">
        <f t="shared" si="27"/>
        <v>Before 15</v>
      </c>
      <c r="F839" t="s">
        <v>1166</v>
      </c>
      <c r="G839" s="16" t="str">
        <f>VLOOKUP(F839,DISTRICTS!B$2:C$626,2,FALSE)</f>
        <v>ARGANZUELA</v>
      </c>
      <c r="H839" s="16" t="str">
        <f>IFERROR(VLOOKUP(G839,'areas for question 4'!A$2:B$10,2,FALSE),"")</f>
        <v/>
      </c>
      <c r="I839" t="s">
        <v>1446</v>
      </c>
      <c r="J839" t="s">
        <v>1450</v>
      </c>
      <c r="K839" t="s">
        <v>1456</v>
      </c>
      <c r="L839" t="s">
        <v>1473</v>
      </c>
      <c r="M839" t="s">
        <v>1477</v>
      </c>
      <c r="N839" s="18">
        <v>3</v>
      </c>
    </row>
    <row r="840" spans="1:14" x14ac:dyDescent="0.25">
      <c r="A840" t="s">
        <v>1359</v>
      </c>
      <c r="B840" s="7">
        <v>43803</v>
      </c>
      <c r="C840" s="4">
        <v>0.88194444444444453</v>
      </c>
      <c r="D840" s="15">
        <f t="shared" si="26"/>
        <v>21</v>
      </c>
      <c r="E840" s="15" t="str">
        <f t="shared" si="27"/>
        <v>After 15</v>
      </c>
      <c r="F840" t="s">
        <v>1360</v>
      </c>
      <c r="G840" s="16" t="str">
        <f>VLOOKUP(F840,DISTRICTS!B$2:C$626,2,FALSE)</f>
        <v>CHAMARTÍN</v>
      </c>
      <c r="H840" s="16" t="str">
        <f>IFERROR(VLOOKUP(G840,'areas for question 4'!A$2:B$10,2,FALSE),"")</f>
        <v>North</v>
      </c>
      <c r="I840" t="s">
        <v>1446</v>
      </c>
      <c r="J840" t="s">
        <v>1450</v>
      </c>
      <c r="K840" t="s">
        <v>1456</v>
      </c>
      <c r="L840" t="s">
        <v>1473</v>
      </c>
      <c r="M840" t="s">
        <v>1478</v>
      </c>
      <c r="N840" s="18">
        <v>7</v>
      </c>
    </row>
    <row r="841" spans="1:14" x14ac:dyDescent="0.25">
      <c r="A841" t="s">
        <v>1413</v>
      </c>
      <c r="B841" s="7">
        <v>43820</v>
      </c>
      <c r="C841" s="4">
        <v>0.50694444444444442</v>
      </c>
      <c r="D841" s="15">
        <f t="shared" si="26"/>
        <v>12</v>
      </c>
      <c r="E841" s="15" t="str">
        <f t="shared" si="27"/>
        <v>Before 15</v>
      </c>
      <c r="F841" t="s">
        <v>1414</v>
      </c>
      <c r="G841" s="16" t="str">
        <f>VLOOKUP(F841,DISTRICTS!B$2:C$626,2,FALSE)</f>
        <v>TETUÁN</v>
      </c>
      <c r="H841" s="16" t="str">
        <f>IFERROR(VLOOKUP(G841,'areas for question 4'!A$2:B$10,2,FALSE),"")</f>
        <v>North</v>
      </c>
      <c r="I841" t="s">
        <v>1443</v>
      </c>
      <c r="J841" t="s">
        <v>1450</v>
      </c>
      <c r="K841" t="s">
        <v>1458</v>
      </c>
      <c r="L841" t="s">
        <v>1473</v>
      </c>
      <c r="M841" t="s">
        <v>1478</v>
      </c>
      <c r="N841" s="18">
        <v>2</v>
      </c>
    </row>
    <row r="842" spans="1:14" x14ac:dyDescent="0.25">
      <c r="A842" t="s">
        <v>1419</v>
      </c>
      <c r="B842" s="7">
        <v>43825</v>
      </c>
      <c r="C842" s="4">
        <v>0.47291666666666665</v>
      </c>
      <c r="D842" s="15">
        <f t="shared" si="26"/>
        <v>11</v>
      </c>
      <c r="E842" s="15" t="str">
        <f t="shared" si="27"/>
        <v>Before 15</v>
      </c>
      <c r="F842" t="s">
        <v>1420</v>
      </c>
      <c r="G842" s="16" t="str">
        <f>VLOOKUP(F842,DISTRICTS!B$2:C$626,2,FALSE)</f>
        <v>CENTRO</v>
      </c>
      <c r="H842" s="16" t="str">
        <f>IFERROR(VLOOKUP(G842,'areas for question 4'!A$2:B$10,2,FALSE),"")</f>
        <v/>
      </c>
      <c r="I842" t="s">
        <v>1444</v>
      </c>
      <c r="J842" t="s">
        <v>1450</v>
      </c>
      <c r="K842" t="s">
        <v>1456</v>
      </c>
      <c r="L842" t="s">
        <v>1473</v>
      </c>
      <c r="M842" t="s">
        <v>1477</v>
      </c>
      <c r="N842" s="18">
        <v>5</v>
      </c>
    </row>
    <row r="843" spans="1:14" x14ac:dyDescent="0.25">
      <c r="A843" s="5" t="s">
        <v>3</v>
      </c>
      <c r="B843" s="7">
        <v>43467</v>
      </c>
      <c r="C843" s="4">
        <v>0.86458333333333337</v>
      </c>
      <c r="D843" s="15">
        <f t="shared" si="26"/>
        <v>20</v>
      </c>
      <c r="E843" s="15" t="str">
        <f t="shared" si="27"/>
        <v>After 15</v>
      </c>
      <c r="F843" t="s">
        <v>4</v>
      </c>
      <c r="G843" s="16" t="str">
        <f>VLOOKUP(F843,DISTRICTS!B$2:C$626,2,FALSE)</f>
        <v>HORTALEZA</v>
      </c>
      <c r="H843" s="16" t="str">
        <f>IFERROR(VLOOKUP(G843,'areas for question 4'!A$2:B$10,2,FALSE),"")</f>
        <v/>
      </c>
      <c r="I843" t="s">
        <v>1446</v>
      </c>
      <c r="J843" t="s">
        <v>1450</v>
      </c>
      <c r="K843" t="s">
        <v>1456</v>
      </c>
      <c r="L843" t="s">
        <v>1474</v>
      </c>
      <c r="M843" s="5" t="s">
        <v>1477</v>
      </c>
      <c r="N843" s="18">
        <v>3</v>
      </c>
    </row>
    <row r="844" spans="1:14" x14ac:dyDescent="0.25">
      <c r="A844" t="s">
        <v>116</v>
      </c>
      <c r="B844" s="7">
        <v>43498</v>
      </c>
      <c r="C844" s="4">
        <v>0.46319444444444446</v>
      </c>
      <c r="D844" s="15">
        <f t="shared" si="26"/>
        <v>11</v>
      </c>
      <c r="E844" s="15" t="str">
        <f t="shared" si="27"/>
        <v>Before 15</v>
      </c>
      <c r="F844" t="s">
        <v>117</v>
      </c>
      <c r="G844" s="16" t="str">
        <f>VLOOKUP(F844,DISTRICTS!B$2:C$626,2,FALSE)</f>
        <v>USERA</v>
      </c>
      <c r="H844" s="16" t="str">
        <f>IFERROR(VLOOKUP(G844,'areas for question 4'!A$2:B$10,2,FALSE),"")</f>
        <v/>
      </c>
      <c r="I844" t="s">
        <v>1443</v>
      </c>
      <c r="J844" t="s">
        <v>1450</v>
      </c>
      <c r="K844" t="s">
        <v>1458</v>
      </c>
      <c r="L844" t="s">
        <v>1474</v>
      </c>
      <c r="M844" t="s">
        <v>1478</v>
      </c>
      <c r="N844" s="18">
        <v>7</v>
      </c>
    </row>
    <row r="845" spans="1:14" x14ac:dyDescent="0.25">
      <c r="A845" t="s">
        <v>249</v>
      </c>
      <c r="B845" s="7">
        <v>43536</v>
      </c>
      <c r="C845" s="4">
        <v>0.41666666666666669</v>
      </c>
      <c r="D845" s="15">
        <f t="shared" si="26"/>
        <v>10</v>
      </c>
      <c r="E845" s="15" t="str">
        <f t="shared" si="27"/>
        <v>Before 15</v>
      </c>
      <c r="F845" t="s">
        <v>250</v>
      </c>
      <c r="G845" s="16" t="str">
        <f>VLOOKUP(F845,DISTRICTS!B$2:C$626,2,FALSE)</f>
        <v>PUENTE DE VALLECAS</v>
      </c>
      <c r="H845" s="16" t="str">
        <f>IFERROR(VLOOKUP(G845,'areas for question 4'!A$2:B$10,2,FALSE),"")</f>
        <v/>
      </c>
      <c r="I845" t="s">
        <v>1444</v>
      </c>
      <c r="J845" t="s">
        <v>1450</v>
      </c>
      <c r="K845" t="s">
        <v>1456</v>
      </c>
      <c r="L845" t="s">
        <v>1474</v>
      </c>
      <c r="M845" t="s">
        <v>1477</v>
      </c>
      <c r="N845" s="18">
        <v>6</v>
      </c>
    </row>
    <row r="846" spans="1:14" x14ac:dyDescent="0.25">
      <c r="A846" t="s">
        <v>332</v>
      </c>
      <c r="B846" s="7">
        <v>43554</v>
      </c>
      <c r="C846" s="4">
        <v>0.56597222222222221</v>
      </c>
      <c r="D846" s="15">
        <f t="shared" si="26"/>
        <v>13</v>
      </c>
      <c r="E846" s="15" t="str">
        <f t="shared" si="27"/>
        <v>Before 15</v>
      </c>
      <c r="F846" t="s">
        <v>333</v>
      </c>
      <c r="G846" s="16" t="str">
        <f>VLOOKUP(F846,DISTRICTS!B$2:C$626,2,FALSE)</f>
        <v>ARGANZUELA</v>
      </c>
      <c r="H846" s="16" t="str">
        <f>IFERROR(VLOOKUP(G846,'areas for question 4'!A$2:B$10,2,FALSE),"")</f>
        <v/>
      </c>
      <c r="I846" t="s">
        <v>1447</v>
      </c>
      <c r="J846" t="s">
        <v>1450</v>
      </c>
      <c r="K846" t="s">
        <v>1456</v>
      </c>
      <c r="L846" t="s">
        <v>1474</v>
      </c>
      <c r="M846" t="s">
        <v>1477</v>
      </c>
      <c r="N846" s="18">
        <v>7</v>
      </c>
    </row>
    <row r="847" spans="1:14" x14ac:dyDescent="0.25">
      <c r="A847" t="s">
        <v>371</v>
      </c>
      <c r="B847" s="7">
        <v>43565</v>
      </c>
      <c r="C847" s="4">
        <v>0.3576388888888889</v>
      </c>
      <c r="D847" s="15">
        <f t="shared" si="26"/>
        <v>8</v>
      </c>
      <c r="E847" s="15" t="str">
        <f t="shared" si="27"/>
        <v>Before 15</v>
      </c>
      <c r="F847" t="s">
        <v>372</v>
      </c>
      <c r="G847" s="16" t="str">
        <f>VLOOKUP(F847,DISTRICTS!B$2:C$626,2,FALSE)</f>
        <v>RETIRO</v>
      </c>
      <c r="H847" s="16" t="str">
        <f>IFERROR(VLOOKUP(G847,'areas for question 4'!A$2:B$10,2,FALSE),"")</f>
        <v/>
      </c>
      <c r="I847" t="s">
        <v>1443</v>
      </c>
      <c r="J847" t="s">
        <v>1450</v>
      </c>
      <c r="K847" t="s">
        <v>1458</v>
      </c>
      <c r="L847" t="s">
        <v>1474</v>
      </c>
      <c r="M847" t="s">
        <v>1478</v>
      </c>
      <c r="N847" s="18">
        <v>7</v>
      </c>
    </row>
    <row r="848" spans="1:14" x14ac:dyDescent="0.25">
      <c r="A848" t="s">
        <v>537</v>
      </c>
      <c r="B848" s="7">
        <v>43613</v>
      </c>
      <c r="C848" s="4">
        <v>0.52083333333333337</v>
      </c>
      <c r="D848" s="15">
        <f t="shared" si="26"/>
        <v>12</v>
      </c>
      <c r="E848" s="15" t="str">
        <f t="shared" si="27"/>
        <v>Before 15</v>
      </c>
      <c r="F848" t="s">
        <v>538</v>
      </c>
      <c r="G848" s="16" t="str">
        <f>VLOOKUP(F848,DISTRICTS!B$2:C$626,2,FALSE)</f>
        <v>CENTRO</v>
      </c>
      <c r="H848" s="16" t="str">
        <f>IFERROR(VLOOKUP(G848,'areas for question 4'!A$2:B$10,2,FALSE),"")</f>
        <v/>
      </c>
      <c r="I848" t="s">
        <v>1443</v>
      </c>
      <c r="J848" t="s">
        <v>1450</v>
      </c>
      <c r="K848" t="s">
        <v>1458</v>
      </c>
      <c r="L848" t="s">
        <v>1474</v>
      </c>
      <c r="M848" t="s">
        <v>1478</v>
      </c>
      <c r="N848" s="18">
        <v>7</v>
      </c>
    </row>
    <row r="849" spans="1:14" x14ac:dyDescent="0.25">
      <c r="A849" t="s">
        <v>689</v>
      </c>
      <c r="B849" s="7">
        <v>43643</v>
      </c>
      <c r="C849" s="4">
        <v>0.35972222222222222</v>
      </c>
      <c r="D849" s="15">
        <f t="shared" si="26"/>
        <v>8</v>
      </c>
      <c r="E849" s="15" t="str">
        <f t="shared" si="27"/>
        <v>Before 15</v>
      </c>
      <c r="F849" t="s">
        <v>690</v>
      </c>
      <c r="G849" s="16" t="str">
        <f>VLOOKUP(F849,DISTRICTS!B$2:C$626,2,FALSE)</f>
        <v>FUENCARRAL-EL PARDO</v>
      </c>
      <c r="H849" s="16" t="str">
        <f>IFERROR(VLOOKUP(G849,'areas for question 4'!A$2:B$10,2,FALSE),"")</f>
        <v>North</v>
      </c>
      <c r="I849" t="s">
        <v>1447</v>
      </c>
      <c r="J849" t="s">
        <v>1450</v>
      </c>
      <c r="K849" t="s">
        <v>1456</v>
      </c>
      <c r="L849" t="s">
        <v>1474</v>
      </c>
      <c r="M849" t="s">
        <v>1477</v>
      </c>
      <c r="N849" s="18">
        <v>7</v>
      </c>
    </row>
    <row r="850" spans="1:14" x14ac:dyDescent="0.25">
      <c r="A850" t="s">
        <v>869</v>
      </c>
      <c r="B850" s="7">
        <v>43683</v>
      </c>
      <c r="C850" s="4">
        <v>0.47916666666666669</v>
      </c>
      <c r="D850" s="15">
        <f t="shared" si="26"/>
        <v>11</v>
      </c>
      <c r="E850" s="15" t="str">
        <f t="shared" si="27"/>
        <v>Before 15</v>
      </c>
      <c r="F850" t="s">
        <v>870</v>
      </c>
      <c r="G850" s="16" t="str">
        <f>VLOOKUP(F850,DISTRICTS!B$2:C$626,2,FALSE)</f>
        <v>VILLAVERDE</v>
      </c>
      <c r="H850" s="16" t="str">
        <f>IFERROR(VLOOKUP(G850,'areas for question 4'!A$2:B$10,2,FALSE),"")</f>
        <v/>
      </c>
      <c r="I850" t="s">
        <v>1444</v>
      </c>
      <c r="J850" t="s">
        <v>1450</v>
      </c>
      <c r="K850" t="s">
        <v>1456</v>
      </c>
      <c r="L850" t="s">
        <v>1474</v>
      </c>
      <c r="M850" t="s">
        <v>1477</v>
      </c>
      <c r="N850" s="18">
        <v>5</v>
      </c>
    </row>
    <row r="851" spans="1:14" x14ac:dyDescent="0.25">
      <c r="A851" t="s">
        <v>1012</v>
      </c>
      <c r="B851" s="7">
        <v>43722</v>
      </c>
      <c r="C851" s="4">
        <v>0.49305555555555558</v>
      </c>
      <c r="D851" s="15">
        <f t="shared" si="26"/>
        <v>11</v>
      </c>
      <c r="E851" s="15" t="str">
        <f t="shared" si="27"/>
        <v>Before 15</v>
      </c>
      <c r="F851" t="s">
        <v>1013</v>
      </c>
      <c r="G851" s="16" t="str">
        <f>VLOOKUP(F851,DISTRICTS!B$2:C$626,2,FALSE)</f>
        <v>VILLA DE VALLECAS</v>
      </c>
      <c r="H851" s="16" t="str">
        <f>IFERROR(VLOOKUP(G851,'areas for question 4'!A$2:B$10,2,FALSE),"")</f>
        <v/>
      </c>
      <c r="I851" t="s">
        <v>1444</v>
      </c>
      <c r="J851" t="s">
        <v>1454</v>
      </c>
      <c r="K851" t="s">
        <v>1456</v>
      </c>
      <c r="L851" t="s">
        <v>1474</v>
      </c>
      <c r="M851" t="s">
        <v>1477</v>
      </c>
      <c r="N851" s="18">
        <v>7</v>
      </c>
    </row>
    <row r="852" spans="1:14" x14ac:dyDescent="0.25">
      <c r="A852" t="s">
        <v>1014</v>
      </c>
      <c r="B852" s="7">
        <v>43722</v>
      </c>
      <c r="C852" s="4">
        <v>0.47916666666666669</v>
      </c>
      <c r="D852" s="15">
        <f t="shared" si="26"/>
        <v>11</v>
      </c>
      <c r="E852" s="15" t="str">
        <f t="shared" si="27"/>
        <v>Before 15</v>
      </c>
      <c r="F852" t="s">
        <v>1015</v>
      </c>
      <c r="G852" s="16" t="str">
        <f>VLOOKUP(F852,DISTRICTS!B$2:C$626,2,FALSE)</f>
        <v>RETIRO</v>
      </c>
      <c r="H852" s="16" t="str">
        <f>IFERROR(VLOOKUP(G852,'areas for question 4'!A$2:B$10,2,FALSE),"")</f>
        <v/>
      </c>
      <c r="I852" t="s">
        <v>1443</v>
      </c>
      <c r="J852" t="s">
        <v>1450</v>
      </c>
      <c r="K852" t="s">
        <v>1458</v>
      </c>
      <c r="L852" t="s">
        <v>1474</v>
      </c>
      <c r="M852" t="s">
        <v>1478</v>
      </c>
      <c r="N852" s="18">
        <v>6</v>
      </c>
    </row>
    <row r="853" spans="1:14" x14ac:dyDescent="0.25">
      <c r="A853" t="s">
        <v>1060</v>
      </c>
      <c r="B853" s="7">
        <v>43731</v>
      </c>
      <c r="C853" s="4">
        <v>0.73263888888888884</v>
      </c>
      <c r="D853" s="15">
        <f t="shared" si="26"/>
        <v>17</v>
      </c>
      <c r="E853" s="15" t="str">
        <f t="shared" si="27"/>
        <v>After 15</v>
      </c>
      <c r="F853" t="s">
        <v>1061</v>
      </c>
      <c r="G853" s="16" t="str">
        <f>VLOOKUP(F853,DISTRICTS!B$2:C$626,2,FALSE)</f>
        <v>CENTRO</v>
      </c>
      <c r="H853" s="16" t="str">
        <f>IFERROR(VLOOKUP(G853,'areas for question 4'!A$2:B$10,2,FALSE),"")</f>
        <v/>
      </c>
      <c r="I853" t="s">
        <v>1443</v>
      </c>
      <c r="J853" t="s">
        <v>1450</v>
      </c>
      <c r="K853" t="s">
        <v>1458</v>
      </c>
      <c r="L853" t="s">
        <v>1474</v>
      </c>
      <c r="M853" t="s">
        <v>1478</v>
      </c>
      <c r="N853" s="18">
        <v>7</v>
      </c>
    </row>
    <row r="854" spans="1:14" x14ac:dyDescent="0.25">
      <c r="A854" t="s">
        <v>1074</v>
      </c>
      <c r="B854" s="7">
        <v>43735</v>
      </c>
      <c r="C854" s="4">
        <v>0.83680555555555547</v>
      </c>
      <c r="D854" s="15">
        <f t="shared" si="26"/>
        <v>20</v>
      </c>
      <c r="E854" s="15" t="str">
        <f t="shared" si="27"/>
        <v>After 15</v>
      </c>
      <c r="F854" t="s">
        <v>262</v>
      </c>
      <c r="G854" s="16" t="str">
        <f>VLOOKUP(F854,DISTRICTS!B$2:C$626,2,FALSE)</f>
        <v>RETIRO</v>
      </c>
      <c r="H854" s="16" t="str">
        <f>IFERROR(VLOOKUP(G854,'areas for question 4'!A$2:B$10,2,FALSE),"")</f>
        <v/>
      </c>
      <c r="I854" t="s">
        <v>1443</v>
      </c>
      <c r="J854" t="s">
        <v>1450</v>
      </c>
      <c r="K854" t="s">
        <v>1458</v>
      </c>
      <c r="L854" t="s">
        <v>1474</v>
      </c>
      <c r="M854" t="s">
        <v>1478</v>
      </c>
      <c r="N854" s="18">
        <v>6</v>
      </c>
    </row>
    <row r="855" spans="1:14" x14ac:dyDescent="0.25">
      <c r="A855" t="s">
        <v>1232</v>
      </c>
      <c r="B855" s="7">
        <v>43761</v>
      </c>
      <c r="C855" s="4">
        <v>0.46527777777777773</v>
      </c>
      <c r="D855" s="15">
        <f t="shared" si="26"/>
        <v>11</v>
      </c>
      <c r="E855" s="15" t="str">
        <f t="shared" si="27"/>
        <v>Before 15</v>
      </c>
      <c r="F855" t="s">
        <v>1233</v>
      </c>
      <c r="G855" s="16" t="str">
        <f>VLOOKUP(F855,DISTRICTS!B$2:C$626,2,FALSE)</f>
        <v>CHAMBERÍ</v>
      </c>
      <c r="H855" s="16" t="str">
        <f>IFERROR(VLOOKUP(G855,'areas for question 4'!A$2:B$10,2,FALSE),"")</f>
        <v>North</v>
      </c>
      <c r="I855" t="s">
        <v>1444</v>
      </c>
      <c r="J855" t="s">
        <v>1452</v>
      </c>
      <c r="K855" t="s">
        <v>1458</v>
      </c>
      <c r="L855" t="s">
        <v>1474</v>
      </c>
      <c r="M855" t="s">
        <v>1478</v>
      </c>
      <c r="N855" s="18">
        <v>7</v>
      </c>
    </row>
    <row r="856" spans="1:14" x14ac:dyDescent="0.25">
      <c r="A856" t="s">
        <v>1261</v>
      </c>
      <c r="B856" s="7">
        <v>43773</v>
      </c>
      <c r="C856" s="4">
        <v>0.65902777777777777</v>
      </c>
      <c r="D856" s="15">
        <f t="shared" si="26"/>
        <v>15</v>
      </c>
      <c r="E856" s="15" t="str">
        <f t="shared" si="27"/>
        <v>After 15</v>
      </c>
      <c r="F856" t="s">
        <v>1262</v>
      </c>
      <c r="G856" s="16" t="str">
        <f>VLOOKUP(F856,DISTRICTS!B$2:C$626,2,FALSE)</f>
        <v>MORATALAZ</v>
      </c>
      <c r="H856" s="16" t="str">
        <f>IFERROR(VLOOKUP(G856,'areas for question 4'!A$2:B$10,2,FALSE),"")</f>
        <v>East</v>
      </c>
      <c r="I856" t="s">
        <v>1444</v>
      </c>
      <c r="J856" t="s">
        <v>1450</v>
      </c>
      <c r="K856" t="s">
        <v>1456</v>
      </c>
      <c r="L856" t="s">
        <v>1474</v>
      </c>
      <c r="M856" t="s">
        <v>1478</v>
      </c>
      <c r="N856" s="18">
        <v>1</v>
      </c>
    </row>
    <row r="857" spans="1:14" x14ac:dyDescent="0.25">
      <c r="A857" t="s">
        <v>1263</v>
      </c>
      <c r="B857" s="7">
        <v>43774</v>
      </c>
      <c r="C857" s="4">
        <v>0.54861111111111105</v>
      </c>
      <c r="D857" s="15">
        <f t="shared" si="26"/>
        <v>13</v>
      </c>
      <c r="E857" s="15" t="str">
        <f t="shared" si="27"/>
        <v>Before 15</v>
      </c>
      <c r="F857" t="s">
        <v>1264</v>
      </c>
      <c r="G857" s="16" t="str">
        <f>VLOOKUP(F857,DISTRICTS!B$2:C$626,2,FALSE)</f>
        <v>SAN BLAS-CANILLEJAS</v>
      </c>
      <c r="H857" s="16" t="str">
        <f>IFERROR(VLOOKUP(G857,'areas for question 4'!A$2:B$10,2,FALSE),"")</f>
        <v>East</v>
      </c>
      <c r="I857" t="s">
        <v>1444</v>
      </c>
      <c r="J857" t="s">
        <v>1450</v>
      </c>
      <c r="K857" t="s">
        <v>1456</v>
      </c>
      <c r="L857" t="s">
        <v>1474</v>
      </c>
      <c r="M857" t="s">
        <v>1477</v>
      </c>
      <c r="N857" s="18">
        <v>7</v>
      </c>
    </row>
    <row r="858" spans="1:14" x14ac:dyDescent="0.25">
      <c r="A858" t="s">
        <v>1337</v>
      </c>
      <c r="B858" s="7">
        <v>43794</v>
      </c>
      <c r="C858" s="4">
        <v>0.52083333333333337</v>
      </c>
      <c r="D858" s="15">
        <f t="shared" si="26"/>
        <v>12</v>
      </c>
      <c r="E858" s="15" t="str">
        <f t="shared" si="27"/>
        <v>Before 15</v>
      </c>
      <c r="F858" t="s">
        <v>1338</v>
      </c>
      <c r="G858" s="16" t="str">
        <f>VLOOKUP(F858,DISTRICTS!B$2:C$626,2,FALSE)</f>
        <v>MONCLOA-ARAVACA</v>
      </c>
      <c r="H858" s="16" t="str">
        <f>IFERROR(VLOOKUP(G858,'areas for question 4'!A$2:B$10,2,FALSE),"")</f>
        <v/>
      </c>
      <c r="I858" t="s">
        <v>1446</v>
      </c>
      <c r="J858" t="s">
        <v>1450</v>
      </c>
      <c r="K858" t="s">
        <v>1456</v>
      </c>
      <c r="L858" t="s">
        <v>1474</v>
      </c>
      <c r="M858" t="s">
        <v>1477</v>
      </c>
      <c r="N858" s="18">
        <v>7</v>
      </c>
    </row>
    <row r="859" spans="1:14" x14ac:dyDescent="0.25">
      <c r="A859" t="s">
        <v>381</v>
      </c>
      <c r="B859" s="7">
        <v>43567</v>
      </c>
      <c r="C859" s="4">
        <v>0.59375</v>
      </c>
      <c r="D859" s="15">
        <f t="shared" si="26"/>
        <v>14</v>
      </c>
      <c r="E859" s="15" t="str">
        <f t="shared" si="27"/>
        <v>Before 15</v>
      </c>
      <c r="F859" t="s">
        <v>382</v>
      </c>
      <c r="G859" s="16" t="str">
        <f>VLOOKUP(F859,DISTRICTS!B$2:C$626,2,FALSE)</f>
        <v>CENTRO</v>
      </c>
      <c r="H859" s="16" t="str">
        <f>IFERROR(VLOOKUP(G859,'areas for question 4'!A$2:B$10,2,FALSE),"")</f>
        <v/>
      </c>
      <c r="I859" t="s">
        <v>1444</v>
      </c>
      <c r="J859" t="s">
        <v>1450</v>
      </c>
      <c r="K859" t="s">
        <v>1458</v>
      </c>
      <c r="L859" t="s">
        <v>1475</v>
      </c>
      <c r="M859" t="s">
        <v>1477</v>
      </c>
      <c r="N859" s="18">
        <v>14</v>
      </c>
    </row>
    <row r="860" spans="1:14" x14ac:dyDescent="0.25">
      <c r="A860" t="s">
        <v>552</v>
      </c>
      <c r="B860" s="7">
        <v>43616</v>
      </c>
      <c r="C860" s="4">
        <v>0.71180555555555547</v>
      </c>
      <c r="D860" s="15">
        <f t="shared" si="26"/>
        <v>17</v>
      </c>
      <c r="E860" s="15" t="str">
        <f t="shared" si="27"/>
        <v>After 15</v>
      </c>
      <c r="F860" t="s">
        <v>156</v>
      </c>
      <c r="G860" s="16" t="str">
        <f>VLOOKUP(F860,DISTRICTS!B$2:C$626,2,FALSE)</f>
        <v>CHAMBERÍ</v>
      </c>
      <c r="H860" s="16" t="str">
        <f>IFERROR(VLOOKUP(G860,'areas for question 4'!A$2:B$10,2,FALSE),"")</f>
        <v>North</v>
      </c>
      <c r="I860" t="s">
        <v>1443</v>
      </c>
      <c r="J860" t="s">
        <v>1450</v>
      </c>
      <c r="K860" t="s">
        <v>1456</v>
      </c>
      <c r="L860" t="s">
        <v>1475</v>
      </c>
      <c r="M860" t="s">
        <v>34</v>
      </c>
      <c r="N860" s="18" t="s">
        <v>34</v>
      </c>
    </row>
    <row r="861" spans="1:14" x14ac:dyDescent="0.25">
      <c r="A861" t="s">
        <v>620</v>
      </c>
      <c r="B861" s="7">
        <v>43629</v>
      </c>
      <c r="C861" s="4">
        <v>0.89930555555555547</v>
      </c>
      <c r="D861" s="15">
        <f t="shared" si="26"/>
        <v>21</v>
      </c>
      <c r="E861" s="15" t="str">
        <f t="shared" si="27"/>
        <v>After 15</v>
      </c>
      <c r="F861" t="s">
        <v>621</v>
      </c>
      <c r="G861" s="16" t="str">
        <f>VLOOKUP(F861,DISTRICTS!B$2:C$626,2,FALSE)</f>
        <v>CENTRO</v>
      </c>
      <c r="H861" s="16" t="str">
        <f>IFERROR(VLOOKUP(G861,'areas for question 4'!A$2:B$10,2,FALSE),"")</f>
        <v/>
      </c>
      <c r="I861" t="s">
        <v>1443</v>
      </c>
      <c r="J861" t="s">
        <v>1450</v>
      </c>
      <c r="K861" t="s">
        <v>1456</v>
      </c>
      <c r="L861" t="s">
        <v>1475</v>
      </c>
      <c r="M861" t="s">
        <v>34</v>
      </c>
      <c r="N861" s="18" t="s">
        <v>34</v>
      </c>
    </row>
    <row r="862" spans="1:14" x14ac:dyDescent="0.25">
      <c r="A862" t="s">
        <v>656</v>
      </c>
      <c r="B862" s="7">
        <v>43635</v>
      </c>
      <c r="C862" s="4">
        <v>0.4375</v>
      </c>
      <c r="D862" s="15">
        <f t="shared" si="26"/>
        <v>10</v>
      </c>
      <c r="E862" s="15" t="str">
        <f t="shared" si="27"/>
        <v>Before 15</v>
      </c>
      <c r="F862" t="s">
        <v>657</v>
      </c>
      <c r="G862" s="16" t="str">
        <f>VLOOKUP(F862,DISTRICTS!B$2:C$626,2,FALSE)</f>
        <v>FUENCARRAL-EL PARDO</v>
      </c>
      <c r="H862" s="16" t="str">
        <f>IFERROR(VLOOKUP(G862,'areas for question 4'!A$2:B$10,2,FALSE),"")</f>
        <v>North</v>
      </c>
      <c r="I862" t="s">
        <v>1445</v>
      </c>
      <c r="J862" t="s">
        <v>1450</v>
      </c>
      <c r="K862" t="s">
        <v>1456</v>
      </c>
      <c r="L862" t="s">
        <v>1475</v>
      </c>
      <c r="M862" t="s">
        <v>34</v>
      </c>
      <c r="N862" s="18" t="s">
        <v>34</v>
      </c>
    </row>
    <row r="863" spans="1:14" x14ac:dyDescent="0.25">
      <c r="A863" t="s">
        <v>660</v>
      </c>
      <c r="B863" s="7">
        <v>43636</v>
      </c>
      <c r="C863" s="4">
        <v>0.7270833333333333</v>
      </c>
      <c r="D863" s="15">
        <f t="shared" si="26"/>
        <v>17</v>
      </c>
      <c r="E863" s="15" t="str">
        <f t="shared" si="27"/>
        <v>After 15</v>
      </c>
      <c r="F863" t="s">
        <v>661</v>
      </c>
      <c r="G863" s="16" t="str">
        <f>VLOOKUP(F863,DISTRICTS!B$2:C$626,2,FALSE)</f>
        <v>CIUDAD LINEAL</v>
      </c>
      <c r="H863" s="16" t="str">
        <f>IFERROR(VLOOKUP(G863,'areas for question 4'!A$2:B$10,2,FALSE),"")</f>
        <v>East</v>
      </c>
      <c r="I863" t="s">
        <v>1445</v>
      </c>
      <c r="J863" t="s">
        <v>1450</v>
      </c>
      <c r="K863" t="s">
        <v>1456</v>
      </c>
      <c r="L863" t="s">
        <v>1475</v>
      </c>
      <c r="M863" t="s">
        <v>34</v>
      </c>
      <c r="N863" s="18" t="s">
        <v>34</v>
      </c>
    </row>
    <row r="864" spans="1:14" x14ac:dyDescent="0.25">
      <c r="A864" t="s">
        <v>691</v>
      </c>
      <c r="B864" s="7">
        <v>43644</v>
      </c>
      <c r="C864" s="4">
        <v>0.95833333333333337</v>
      </c>
      <c r="D864" s="15">
        <f t="shared" si="26"/>
        <v>23</v>
      </c>
      <c r="E864" s="15" t="str">
        <f t="shared" si="27"/>
        <v>After 15</v>
      </c>
      <c r="F864" t="s">
        <v>692</v>
      </c>
      <c r="G864" s="16" t="str">
        <f>VLOOKUP(F864,DISTRICTS!B$2:C$626,2,FALSE)</f>
        <v>USERA</v>
      </c>
      <c r="H864" s="16" t="str">
        <f>IFERROR(VLOOKUP(G864,'areas for question 4'!A$2:B$10,2,FALSE),"")</f>
        <v/>
      </c>
      <c r="I864" t="s">
        <v>1443</v>
      </c>
      <c r="J864" t="s">
        <v>1450</v>
      </c>
      <c r="K864" t="s">
        <v>1456</v>
      </c>
      <c r="L864" t="s">
        <v>1475</v>
      </c>
      <c r="M864" t="s">
        <v>34</v>
      </c>
      <c r="N864" s="18" t="s">
        <v>34</v>
      </c>
    </row>
    <row r="865" spans="1:14" x14ac:dyDescent="0.25">
      <c r="A865" t="s">
        <v>735</v>
      </c>
      <c r="B865" s="7">
        <v>43650</v>
      </c>
      <c r="C865" s="4">
        <v>5.5555555555555552E-2</v>
      </c>
      <c r="D865" s="15">
        <f t="shared" si="26"/>
        <v>1</v>
      </c>
      <c r="E865" s="15" t="str">
        <f t="shared" si="27"/>
        <v>Before 15</v>
      </c>
      <c r="F865" t="s">
        <v>736</v>
      </c>
      <c r="G865" s="16" t="str">
        <f>VLOOKUP(F865,DISTRICTS!B$2:C$626,2,FALSE)</f>
        <v>CENTRO</v>
      </c>
      <c r="H865" s="16" t="str">
        <f>IFERROR(VLOOKUP(G865,'areas for question 4'!A$2:B$10,2,FALSE),"")</f>
        <v/>
      </c>
      <c r="I865" t="s">
        <v>1447</v>
      </c>
      <c r="K865" t="s">
        <v>1456</v>
      </c>
      <c r="L865" t="s">
        <v>1475</v>
      </c>
      <c r="M865" t="s">
        <v>34</v>
      </c>
      <c r="N865" s="18" t="s">
        <v>34</v>
      </c>
    </row>
    <row r="866" spans="1:14" x14ac:dyDescent="0.25">
      <c r="A866" t="s">
        <v>791</v>
      </c>
      <c r="B866" s="7">
        <v>43663</v>
      </c>
      <c r="C866" s="4">
        <v>0.84027777777777779</v>
      </c>
      <c r="D866" s="15">
        <f t="shared" si="26"/>
        <v>20</v>
      </c>
      <c r="E866" s="15" t="str">
        <f t="shared" si="27"/>
        <v>After 15</v>
      </c>
      <c r="F866" t="s">
        <v>792</v>
      </c>
      <c r="G866" s="16" t="str">
        <f>VLOOKUP(F866,DISTRICTS!B$2:C$626,2,FALSE)</f>
        <v>LATINA</v>
      </c>
      <c r="H866" s="16" t="str">
        <f>IFERROR(VLOOKUP(G866,'areas for question 4'!A$2:B$10,2,FALSE),"")</f>
        <v/>
      </c>
      <c r="I866" t="s">
        <v>1443</v>
      </c>
      <c r="J866" t="s">
        <v>1450</v>
      </c>
      <c r="K866" t="s">
        <v>1456</v>
      </c>
      <c r="L866" t="s">
        <v>1475</v>
      </c>
      <c r="M866" t="s">
        <v>34</v>
      </c>
      <c r="N866" s="18" t="s">
        <v>34</v>
      </c>
    </row>
    <row r="867" spans="1:14" x14ac:dyDescent="0.25">
      <c r="A867" t="s">
        <v>865</v>
      </c>
      <c r="B867" s="7">
        <v>43682</v>
      </c>
      <c r="C867" s="4">
        <v>0.68958333333333333</v>
      </c>
      <c r="D867" s="15">
        <f t="shared" si="26"/>
        <v>16</v>
      </c>
      <c r="E867" s="15" t="str">
        <f t="shared" si="27"/>
        <v>After 15</v>
      </c>
      <c r="F867" t="s">
        <v>866</v>
      </c>
      <c r="G867" s="16" t="str">
        <f>VLOOKUP(F867,DISTRICTS!B$2:C$626,2,FALSE)</f>
        <v>CHAMARTÍN</v>
      </c>
      <c r="H867" s="16" t="str">
        <f>IFERROR(VLOOKUP(G867,'areas for question 4'!A$2:B$10,2,FALSE),"")</f>
        <v>North</v>
      </c>
      <c r="I867" t="s">
        <v>1444</v>
      </c>
      <c r="J867" t="s">
        <v>1450</v>
      </c>
      <c r="K867" t="s">
        <v>1456</v>
      </c>
      <c r="L867" t="s">
        <v>1475</v>
      </c>
      <c r="M867" t="s">
        <v>34</v>
      </c>
      <c r="N867" s="18" t="s">
        <v>34</v>
      </c>
    </row>
    <row r="868" spans="1:14" x14ac:dyDescent="0.25">
      <c r="A868" t="s">
        <v>928</v>
      </c>
      <c r="B868" s="7">
        <v>43706</v>
      </c>
      <c r="C868" s="4">
        <v>0.61458333333333337</v>
      </c>
      <c r="D868" s="15">
        <f t="shared" si="26"/>
        <v>14</v>
      </c>
      <c r="E868" s="15" t="str">
        <f t="shared" si="27"/>
        <v>Before 15</v>
      </c>
      <c r="F868" t="s">
        <v>929</v>
      </c>
      <c r="G868" s="16" t="str">
        <f>VLOOKUP(F868,DISTRICTS!B$2:C$626,2,FALSE)</f>
        <v>VILLAVERDE</v>
      </c>
      <c r="H868" s="16" t="str">
        <f>IFERROR(VLOOKUP(G868,'areas for question 4'!A$2:B$10,2,FALSE),"")</f>
        <v/>
      </c>
      <c r="I868" t="s">
        <v>1443</v>
      </c>
      <c r="J868" t="s">
        <v>1450</v>
      </c>
      <c r="K868" t="s">
        <v>1456</v>
      </c>
      <c r="L868" t="s">
        <v>1475</v>
      </c>
      <c r="M868" t="s">
        <v>34</v>
      </c>
      <c r="N868" s="18" t="s">
        <v>34</v>
      </c>
    </row>
    <row r="869" spans="1:14" x14ac:dyDescent="0.25">
      <c r="A869" t="s">
        <v>1054</v>
      </c>
      <c r="B869" s="7">
        <v>43731</v>
      </c>
      <c r="C869" s="4">
        <v>0.88541666666666663</v>
      </c>
      <c r="D869" s="15">
        <f t="shared" si="26"/>
        <v>21</v>
      </c>
      <c r="E869" s="15" t="str">
        <f t="shared" si="27"/>
        <v>After 15</v>
      </c>
      <c r="F869" t="s">
        <v>1055</v>
      </c>
      <c r="G869" s="16" t="str">
        <f>VLOOKUP(F869,DISTRICTS!B$2:C$626,2,FALSE)</f>
        <v>ARGANZUELA</v>
      </c>
      <c r="H869" s="16" t="str">
        <f>IFERROR(VLOOKUP(G869,'areas for question 4'!A$2:B$10,2,FALSE),"")</f>
        <v/>
      </c>
      <c r="I869" t="s">
        <v>1446</v>
      </c>
      <c r="J869" t="s">
        <v>1450</v>
      </c>
      <c r="K869" t="s">
        <v>1456</v>
      </c>
      <c r="L869" t="s">
        <v>1475</v>
      </c>
      <c r="M869" t="s">
        <v>34</v>
      </c>
      <c r="N869" s="18" t="s">
        <v>34</v>
      </c>
    </row>
    <row r="870" spans="1:14" x14ac:dyDescent="0.25">
      <c r="A870" t="s">
        <v>1071</v>
      </c>
      <c r="B870" s="7">
        <v>43734</v>
      </c>
      <c r="C870" s="4">
        <v>0.3923611111111111</v>
      </c>
      <c r="D870" s="15">
        <f t="shared" si="26"/>
        <v>9</v>
      </c>
      <c r="E870" s="15" t="str">
        <f t="shared" si="27"/>
        <v>Before 15</v>
      </c>
      <c r="F870" t="s">
        <v>1072</v>
      </c>
      <c r="G870" s="16" t="str">
        <f>VLOOKUP(F870,DISTRICTS!B$2:C$626,2,FALSE)</f>
        <v>TETUÁN</v>
      </c>
      <c r="H870" s="16" t="str">
        <f>IFERROR(VLOOKUP(G870,'areas for question 4'!A$2:B$10,2,FALSE),"")</f>
        <v>North</v>
      </c>
      <c r="I870" t="s">
        <v>1446</v>
      </c>
      <c r="J870" t="s">
        <v>1450</v>
      </c>
      <c r="K870" t="s">
        <v>1456</v>
      </c>
      <c r="L870" t="s">
        <v>1475</v>
      </c>
      <c r="M870" t="s">
        <v>34</v>
      </c>
      <c r="N870" s="18" t="s">
        <v>34</v>
      </c>
    </row>
    <row r="871" spans="1:14" x14ac:dyDescent="0.25">
      <c r="A871" t="s">
        <v>1224</v>
      </c>
      <c r="B871" s="7">
        <v>43760</v>
      </c>
      <c r="C871" s="4">
        <v>0.83333333333333337</v>
      </c>
      <c r="D871" s="15">
        <f t="shared" si="26"/>
        <v>20</v>
      </c>
      <c r="E871" s="15" t="str">
        <f t="shared" si="27"/>
        <v>After 15</v>
      </c>
      <c r="F871" t="s">
        <v>148</v>
      </c>
      <c r="G871" s="16" t="str">
        <f>VLOOKUP(F871,DISTRICTS!B$2:C$626,2,FALSE)</f>
        <v>CENTRO</v>
      </c>
      <c r="H871" s="16" t="str">
        <f>IFERROR(VLOOKUP(G871,'areas for question 4'!A$2:B$10,2,FALSE),"")</f>
        <v/>
      </c>
      <c r="I871" t="s">
        <v>1441</v>
      </c>
      <c r="J871" t="s">
        <v>1452</v>
      </c>
      <c r="K871" t="s">
        <v>1456</v>
      </c>
      <c r="L871" t="s">
        <v>1475</v>
      </c>
      <c r="M871" t="s">
        <v>34</v>
      </c>
      <c r="N871" s="18" t="s">
        <v>34</v>
      </c>
    </row>
    <row r="872" spans="1:14" x14ac:dyDescent="0.25">
      <c r="A872" t="s">
        <v>1242</v>
      </c>
      <c r="B872" s="7">
        <v>43765</v>
      </c>
      <c r="C872" s="4">
        <v>0.92708333333333337</v>
      </c>
      <c r="D872" s="15">
        <f t="shared" si="26"/>
        <v>22</v>
      </c>
      <c r="E872" s="15" t="str">
        <f t="shared" si="27"/>
        <v>After 15</v>
      </c>
      <c r="F872" t="s">
        <v>866</v>
      </c>
      <c r="G872" s="16" t="str">
        <f>VLOOKUP(F872,DISTRICTS!B$2:C$626,2,FALSE)</f>
        <v>CHAMARTÍN</v>
      </c>
      <c r="H872" s="16" t="str">
        <f>IFERROR(VLOOKUP(G872,'areas for question 4'!A$2:B$10,2,FALSE),"")</f>
        <v>North</v>
      </c>
      <c r="I872" t="s">
        <v>1444</v>
      </c>
      <c r="J872" t="s">
        <v>1450</v>
      </c>
      <c r="K872" t="s">
        <v>1456</v>
      </c>
      <c r="L872" t="s">
        <v>1475</v>
      </c>
      <c r="M872" t="s">
        <v>34</v>
      </c>
      <c r="N872" s="18" t="s">
        <v>34</v>
      </c>
    </row>
    <row r="873" spans="1:14" x14ac:dyDescent="0.25">
      <c r="A873" t="s">
        <v>1244</v>
      </c>
      <c r="B873" s="7">
        <v>43765</v>
      </c>
      <c r="C873" s="4">
        <v>2.6388888888888889E-2</v>
      </c>
      <c r="D873" s="15">
        <f t="shared" si="26"/>
        <v>0</v>
      </c>
      <c r="E873" s="15" t="str">
        <f t="shared" si="27"/>
        <v>Before 15</v>
      </c>
      <c r="F873" t="s">
        <v>1245</v>
      </c>
      <c r="G873" s="16" t="str">
        <f>VLOOKUP(F873,DISTRICTS!B$2:C$626,2,FALSE)</f>
        <v>CHAMBERÍ</v>
      </c>
      <c r="H873" s="16" t="str">
        <f>IFERROR(VLOOKUP(G873,'areas for question 4'!A$2:B$10,2,FALSE),"")</f>
        <v>North</v>
      </c>
      <c r="I873" t="s">
        <v>1443</v>
      </c>
      <c r="J873" t="s">
        <v>1450</v>
      </c>
      <c r="K873" t="s">
        <v>1456</v>
      </c>
      <c r="L873" t="s">
        <v>1475</v>
      </c>
      <c r="M873" t="s">
        <v>1477</v>
      </c>
      <c r="N873" s="18" t="s">
        <v>34</v>
      </c>
    </row>
    <row r="874" spans="1:14" x14ac:dyDescent="0.25">
      <c r="A874" t="s">
        <v>1397</v>
      </c>
      <c r="B874" s="7">
        <v>43817</v>
      </c>
      <c r="C874" s="4">
        <v>0.625</v>
      </c>
      <c r="D874" s="15">
        <f t="shared" si="26"/>
        <v>15</v>
      </c>
      <c r="E874" s="15" t="str">
        <f t="shared" si="27"/>
        <v>After 15</v>
      </c>
      <c r="F874" t="s">
        <v>1398</v>
      </c>
      <c r="G874" s="16" t="str">
        <f>VLOOKUP(F874,DISTRICTS!B$2:C$626,2,FALSE)</f>
        <v>CHAMBERÍ</v>
      </c>
      <c r="H874" s="16" t="str">
        <f>IFERROR(VLOOKUP(G874,'areas for question 4'!A$2:B$10,2,FALSE),"")</f>
        <v>North</v>
      </c>
      <c r="I874" t="s">
        <v>1449</v>
      </c>
      <c r="K874" t="s">
        <v>1456</v>
      </c>
      <c r="L874" t="s">
        <v>1475</v>
      </c>
      <c r="M874" t="s">
        <v>1477</v>
      </c>
      <c r="N874" s="18" t="s">
        <v>34</v>
      </c>
    </row>
    <row r="875" spans="1:14" x14ac:dyDescent="0.25">
      <c r="A875" t="s">
        <v>1413</v>
      </c>
      <c r="B875" s="7">
        <v>43820</v>
      </c>
      <c r="C875" s="4">
        <v>0.50694444444444442</v>
      </c>
      <c r="D875" s="15">
        <f t="shared" si="26"/>
        <v>12</v>
      </c>
      <c r="E875" s="15" t="str">
        <f t="shared" si="27"/>
        <v>Before 15</v>
      </c>
      <c r="F875" t="s">
        <v>1414</v>
      </c>
      <c r="G875" s="16" t="str">
        <f>VLOOKUP(F875,DISTRICTS!B$2:C$626,2,FALSE)</f>
        <v>TETUÁN</v>
      </c>
      <c r="H875" s="16" t="str">
        <f>IFERROR(VLOOKUP(G875,'areas for question 4'!A$2:B$10,2,FALSE),"")</f>
        <v>North</v>
      </c>
      <c r="I875" t="s">
        <v>1443</v>
      </c>
      <c r="J875" t="s">
        <v>1450</v>
      </c>
      <c r="K875" t="s">
        <v>1456</v>
      </c>
      <c r="L875" t="s">
        <v>1475</v>
      </c>
      <c r="M875" t="s">
        <v>34</v>
      </c>
      <c r="N875" s="18">
        <v>2</v>
      </c>
    </row>
    <row r="876" spans="1:14" x14ac:dyDescent="0.25">
      <c r="A876" t="s">
        <v>1427</v>
      </c>
      <c r="B876" s="7">
        <v>43828</v>
      </c>
      <c r="C876" s="4">
        <v>0.64583333333333337</v>
      </c>
      <c r="D876" s="15">
        <f t="shared" si="26"/>
        <v>15</v>
      </c>
      <c r="E876" s="15" t="str">
        <f t="shared" si="27"/>
        <v>After 15</v>
      </c>
      <c r="F876" t="s">
        <v>1428</v>
      </c>
      <c r="G876" s="16" t="str">
        <f>VLOOKUP(F876,DISTRICTS!B$2:C$626,2,FALSE)</f>
        <v>ARGANZUELA</v>
      </c>
      <c r="H876" s="16" t="str">
        <f>IFERROR(VLOOKUP(G876,'areas for question 4'!A$2:B$10,2,FALSE),"")</f>
        <v/>
      </c>
      <c r="I876" t="s">
        <v>1446</v>
      </c>
      <c r="K876" t="s">
        <v>1456</v>
      </c>
      <c r="L876" t="s">
        <v>1475</v>
      </c>
      <c r="M876" t="s">
        <v>34</v>
      </c>
      <c r="N876" s="18" t="s">
        <v>34</v>
      </c>
    </row>
    <row r="877" spans="1:14" x14ac:dyDescent="0.25">
      <c r="A877" t="s">
        <v>289</v>
      </c>
      <c r="B877" s="7">
        <v>43544</v>
      </c>
      <c r="C877" s="4">
        <v>0.4375</v>
      </c>
      <c r="D877" s="15">
        <f t="shared" si="26"/>
        <v>10</v>
      </c>
      <c r="E877" s="15" t="str">
        <f t="shared" si="27"/>
        <v>Before 15</v>
      </c>
      <c r="F877" t="s">
        <v>290</v>
      </c>
      <c r="G877" s="16" t="str">
        <f>VLOOKUP(F877,DISTRICTS!B$2:C$626,2,FALSE)</f>
        <v>CHAMARTÍN</v>
      </c>
      <c r="H877" s="16" t="str">
        <f>IFERROR(VLOOKUP(G877,'areas for question 4'!A$2:B$10,2,FALSE),"")</f>
        <v>North</v>
      </c>
      <c r="I877" t="s">
        <v>1443</v>
      </c>
      <c r="J877" t="s">
        <v>1450</v>
      </c>
      <c r="K877" t="s">
        <v>1458</v>
      </c>
      <c r="L877" t="s">
        <v>1476</v>
      </c>
      <c r="M877" t="s">
        <v>1478</v>
      </c>
      <c r="N877" s="18">
        <v>7</v>
      </c>
    </row>
    <row r="878" spans="1:14" x14ac:dyDescent="0.25">
      <c r="A878" t="s">
        <v>459</v>
      </c>
      <c r="B878" s="7">
        <v>43598</v>
      </c>
      <c r="C878" s="4">
        <v>0.63541666666666663</v>
      </c>
      <c r="D878" s="15">
        <f t="shared" si="26"/>
        <v>15</v>
      </c>
      <c r="E878" s="15" t="str">
        <f t="shared" si="27"/>
        <v>After 15</v>
      </c>
      <c r="F878" t="s">
        <v>460</v>
      </c>
      <c r="G878" s="16" t="str">
        <f>VLOOKUP(F878,DISTRICTS!B$2:C$626,2,FALSE)</f>
        <v>MORATALAZ</v>
      </c>
      <c r="H878" s="16" t="str">
        <f>IFERROR(VLOOKUP(G878,'areas for question 4'!A$2:B$10,2,FALSE),"")</f>
        <v>East</v>
      </c>
      <c r="I878" t="s">
        <v>1441</v>
      </c>
      <c r="J878" t="s">
        <v>1450</v>
      </c>
      <c r="K878" t="s">
        <v>1456</v>
      </c>
      <c r="L878" t="s">
        <v>1476</v>
      </c>
      <c r="M878" t="s">
        <v>1477</v>
      </c>
      <c r="N878" s="18">
        <v>1</v>
      </c>
    </row>
    <row r="879" spans="1:14" x14ac:dyDescent="0.25">
      <c r="A879" t="s">
        <v>494</v>
      </c>
      <c r="B879" s="7">
        <v>43605</v>
      </c>
      <c r="C879" s="4">
        <v>0.60416666666666663</v>
      </c>
      <c r="D879" s="15">
        <f t="shared" si="26"/>
        <v>14</v>
      </c>
      <c r="E879" s="15" t="str">
        <f t="shared" si="27"/>
        <v>Before 15</v>
      </c>
      <c r="F879" t="s">
        <v>495</v>
      </c>
      <c r="G879" s="16" t="str">
        <f>VLOOKUP(F879,DISTRICTS!B$2:C$626,2,FALSE)</f>
        <v>VILLAVERDE</v>
      </c>
      <c r="H879" s="16" t="str">
        <f>IFERROR(VLOOKUP(G879,'areas for question 4'!A$2:B$10,2,FALSE),"")</f>
        <v/>
      </c>
      <c r="I879" t="s">
        <v>1443</v>
      </c>
      <c r="J879" t="s">
        <v>1450</v>
      </c>
      <c r="K879" t="s">
        <v>1458</v>
      </c>
      <c r="L879" t="s">
        <v>1476</v>
      </c>
      <c r="M879" t="s">
        <v>1477</v>
      </c>
      <c r="N879" s="18">
        <v>5</v>
      </c>
    </row>
    <row r="880" spans="1:14" x14ac:dyDescent="0.25">
      <c r="A880" t="s">
        <v>530</v>
      </c>
      <c r="B880" s="7">
        <v>43612</v>
      </c>
      <c r="C880" s="4">
        <v>0.69930555555555562</v>
      </c>
      <c r="D880" s="15">
        <f t="shared" si="26"/>
        <v>16</v>
      </c>
      <c r="E880" s="15" t="str">
        <f t="shared" si="27"/>
        <v>After 15</v>
      </c>
      <c r="F880" t="s">
        <v>531</v>
      </c>
      <c r="G880" s="16" t="str">
        <f>VLOOKUP(F880,DISTRICTS!B$2:C$626,2,FALSE)</f>
        <v>HORTALEZA</v>
      </c>
      <c r="H880" s="16" t="str">
        <f>IFERROR(VLOOKUP(G880,'areas for question 4'!A$2:B$10,2,FALSE),"")</f>
        <v/>
      </c>
      <c r="I880" t="s">
        <v>1443</v>
      </c>
      <c r="J880" t="s">
        <v>1450</v>
      </c>
      <c r="K880" t="s">
        <v>1458</v>
      </c>
      <c r="L880" t="s">
        <v>1476</v>
      </c>
      <c r="M880" t="s">
        <v>1478</v>
      </c>
      <c r="N880" s="18">
        <v>7</v>
      </c>
    </row>
    <row r="881" spans="1:14" x14ac:dyDescent="0.25">
      <c r="A881" t="s">
        <v>530</v>
      </c>
      <c r="B881" s="7">
        <v>43612</v>
      </c>
      <c r="C881" s="4">
        <v>0.69930555555555562</v>
      </c>
      <c r="D881" s="15">
        <f t="shared" si="26"/>
        <v>16</v>
      </c>
      <c r="E881" s="15" t="str">
        <f t="shared" si="27"/>
        <v>After 15</v>
      </c>
      <c r="F881" t="s">
        <v>531</v>
      </c>
      <c r="G881" s="16" t="str">
        <f>VLOOKUP(F881,DISTRICTS!B$2:C$626,2,FALSE)</f>
        <v>HORTALEZA</v>
      </c>
      <c r="H881" s="16" t="str">
        <f>IFERROR(VLOOKUP(G881,'areas for question 4'!A$2:B$10,2,FALSE),"")</f>
        <v/>
      </c>
      <c r="I881" t="s">
        <v>1443</v>
      </c>
      <c r="J881" t="s">
        <v>1450</v>
      </c>
      <c r="K881" t="s">
        <v>1458</v>
      </c>
      <c r="L881" t="s">
        <v>1476</v>
      </c>
      <c r="M881" t="s">
        <v>1478</v>
      </c>
      <c r="N881" s="18">
        <v>7</v>
      </c>
    </row>
    <row r="882" spans="1:14" x14ac:dyDescent="0.25">
      <c r="A882" t="s">
        <v>539</v>
      </c>
      <c r="B882" s="7">
        <v>43613</v>
      </c>
      <c r="C882" s="4">
        <v>0.43055555555555558</v>
      </c>
      <c r="D882" s="15">
        <f t="shared" si="26"/>
        <v>10</v>
      </c>
      <c r="E882" s="15" t="str">
        <f t="shared" si="27"/>
        <v>Before 15</v>
      </c>
      <c r="F882" t="s">
        <v>540</v>
      </c>
      <c r="G882" s="16" t="str">
        <f>VLOOKUP(F882,DISTRICTS!B$2:C$626,2,FALSE)</f>
        <v>LATINA</v>
      </c>
      <c r="H882" s="16" t="str">
        <f>IFERROR(VLOOKUP(G882,'areas for question 4'!A$2:B$10,2,FALSE),"")</f>
        <v/>
      </c>
      <c r="I882" t="s">
        <v>1446</v>
      </c>
      <c r="J882" t="s">
        <v>1450</v>
      </c>
      <c r="K882" t="s">
        <v>1456</v>
      </c>
      <c r="L882" t="s">
        <v>1476</v>
      </c>
      <c r="M882" t="s">
        <v>1477</v>
      </c>
      <c r="N882" s="18">
        <v>7</v>
      </c>
    </row>
    <row r="883" spans="1:14" x14ac:dyDescent="0.25">
      <c r="A883" t="s">
        <v>691</v>
      </c>
      <c r="B883" s="7">
        <v>43644</v>
      </c>
      <c r="C883" s="4">
        <v>0.95833333333333337</v>
      </c>
      <c r="D883" s="15">
        <f t="shared" si="26"/>
        <v>23</v>
      </c>
      <c r="E883" s="15" t="str">
        <f t="shared" si="27"/>
        <v>After 15</v>
      </c>
      <c r="F883" t="s">
        <v>692</v>
      </c>
      <c r="G883" s="16" t="str">
        <f>VLOOKUP(F883,DISTRICTS!B$2:C$626,2,FALSE)</f>
        <v>USERA</v>
      </c>
      <c r="H883" s="16" t="str">
        <f>IFERROR(VLOOKUP(G883,'areas for question 4'!A$2:B$10,2,FALSE),"")</f>
        <v/>
      </c>
      <c r="I883" t="s">
        <v>1443</v>
      </c>
      <c r="J883" t="s">
        <v>1450</v>
      </c>
      <c r="K883" t="s">
        <v>1458</v>
      </c>
      <c r="L883" t="s">
        <v>1476</v>
      </c>
      <c r="M883" t="s">
        <v>1478</v>
      </c>
      <c r="N883" s="18">
        <v>1</v>
      </c>
    </row>
    <row r="884" spans="1:14" x14ac:dyDescent="0.25">
      <c r="A884" t="s">
        <v>794</v>
      </c>
      <c r="B884" s="7">
        <v>43663</v>
      </c>
      <c r="C884" s="4">
        <v>0.48819444444444443</v>
      </c>
      <c r="D884" s="15">
        <f t="shared" si="26"/>
        <v>11</v>
      </c>
      <c r="E884" s="15" t="str">
        <f t="shared" si="27"/>
        <v>Before 15</v>
      </c>
      <c r="F884" t="s">
        <v>795</v>
      </c>
      <c r="G884" s="16" t="str">
        <f>VLOOKUP(F884,DISTRICTS!B$2:C$626,2,FALSE)</f>
        <v>PUENTE DE VALLECAS</v>
      </c>
      <c r="H884" s="16" t="str">
        <f>IFERROR(VLOOKUP(G884,'areas for question 4'!A$2:B$10,2,FALSE),"")</f>
        <v/>
      </c>
      <c r="I884" t="s">
        <v>1447</v>
      </c>
      <c r="J884" t="s">
        <v>1450</v>
      </c>
      <c r="K884" t="s">
        <v>1456</v>
      </c>
      <c r="L884" t="s">
        <v>1476</v>
      </c>
      <c r="M884" t="s">
        <v>1477</v>
      </c>
      <c r="N884" s="18">
        <v>7</v>
      </c>
    </row>
    <row r="885" spans="1:14" x14ac:dyDescent="0.25">
      <c r="A885" t="s">
        <v>867</v>
      </c>
      <c r="B885" s="7">
        <v>43682</v>
      </c>
      <c r="C885" s="4">
        <v>0.52430555555555558</v>
      </c>
      <c r="D885" s="15">
        <f t="shared" si="26"/>
        <v>12</v>
      </c>
      <c r="E885" s="15" t="str">
        <f t="shared" si="27"/>
        <v>Before 15</v>
      </c>
      <c r="F885" t="s">
        <v>868</v>
      </c>
      <c r="G885" s="16" t="str">
        <f>VLOOKUP(F885,DISTRICTS!B$2:C$626,2,FALSE)</f>
        <v>RETIRO</v>
      </c>
      <c r="H885" s="16" t="str">
        <f>IFERROR(VLOOKUP(G885,'areas for question 4'!A$2:B$10,2,FALSE),"")</f>
        <v/>
      </c>
      <c r="I885" t="s">
        <v>1443</v>
      </c>
      <c r="J885" t="s">
        <v>1450</v>
      </c>
      <c r="K885" t="s">
        <v>1458</v>
      </c>
      <c r="L885" t="s">
        <v>1476</v>
      </c>
      <c r="M885" t="s">
        <v>1477</v>
      </c>
      <c r="N885" s="18">
        <v>6</v>
      </c>
    </row>
    <row r="886" spans="1:14" x14ac:dyDescent="0.25">
      <c r="A886" t="s">
        <v>878</v>
      </c>
      <c r="B886" s="7">
        <v>43685</v>
      </c>
      <c r="C886" s="4">
        <v>0.89583333333333337</v>
      </c>
      <c r="D886" s="15">
        <f t="shared" si="26"/>
        <v>21</v>
      </c>
      <c r="E886" s="15" t="str">
        <f t="shared" si="27"/>
        <v>After 15</v>
      </c>
      <c r="F886" t="s">
        <v>879</v>
      </c>
      <c r="G886" s="16" t="str">
        <f>VLOOKUP(F886,DISTRICTS!B$2:C$626,2,FALSE)</f>
        <v>LATINA</v>
      </c>
      <c r="H886" s="16" t="str">
        <f>IFERROR(VLOOKUP(G886,'areas for question 4'!A$2:B$10,2,FALSE),"")</f>
        <v/>
      </c>
      <c r="I886" t="s">
        <v>1444</v>
      </c>
      <c r="J886" t="s">
        <v>1450</v>
      </c>
      <c r="K886" t="s">
        <v>1456</v>
      </c>
      <c r="L886" t="s">
        <v>1476</v>
      </c>
      <c r="M886" t="s">
        <v>1477</v>
      </c>
      <c r="N886" s="18">
        <v>2</v>
      </c>
    </row>
    <row r="887" spans="1:14" x14ac:dyDescent="0.25">
      <c r="A887" t="s">
        <v>981</v>
      </c>
      <c r="B887" s="7">
        <v>43717</v>
      </c>
      <c r="C887" s="4">
        <v>0.77430555555555547</v>
      </c>
      <c r="D887" s="15">
        <f t="shared" si="26"/>
        <v>18</v>
      </c>
      <c r="E887" s="15" t="str">
        <f t="shared" si="27"/>
        <v>After 15</v>
      </c>
      <c r="F887" t="s">
        <v>982</v>
      </c>
      <c r="G887" s="16" t="str">
        <f>VLOOKUP(F887,DISTRICTS!B$2:C$626,2,FALSE)</f>
        <v>CENTRO</v>
      </c>
      <c r="H887" s="16" t="str">
        <f>IFERROR(VLOOKUP(G887,'areas for question 4'!A$2:B$10,2,FALSE),"")</f>
        <v/>
      </c>
      <c r="I887" t="s">
        <v>1443</v>
      </c>
      <c r="J887" t="s">
        <v>1450</v>
      </c>
      <c r="K887" t="s">
        <v>1458</v>
      </c>
      <c r="L887" t="s">
        <v>1476</v>
      </c>
      <c r="M887" t="s">
        <v>1477</v>
      </c>
      <c r="N887" s="18">
        <v>2</v>
      </c>
    </row>
    <row r="888" spans="1:14" x14ac:dyDescent="0.25">
      <c r="A888" t="s">
        <v>1005</v>
      </c>
      <c r="B888" s="7">
        <v>43720</v>
      </c>
      <c r="C888" s="4">
        <v>0.50277777777777777</v>
      </c>
      <c r="D888" s="15">
        <f t="shared" si="26"/>
        <v>12</v>
      </c>
      <c r="E888" s="15" t="str">
        <f t="shared" si="27"/>
        <v>Before 15</v>
      </c>
      <c r="F888" t="s">
        <v>1006</v>
      </c>
      <c r="G888" s="16" t="str">
        <f>VLOOKUP(F888,DISTRICTS!B$2:C$626,2,FALSE)</f>
        <v>CIUDAD LINEAL</v>
      </c>
      <c r="H888" s="16" t="str">
        <f>IFERROR(VLOOKUP(G888,'areas for question 4'!A$2:B$10,2,FALSE),"")</f>
        <v>East</v>
      </c>
      <c r="I888" t="s">
        <v>1443</v>
      </c>
      <c r="J888" t="s">
        <v>1450</v>
      </c>
      <c r="K888" t="s">
        <v>1458</v>
      </c>
      <c r="L888" t="s">
        <v>1476</v>
      </c>
      <c r="M888" t="s">
        <v>1478</v>
      </c>
      <c r="N888" s="18">
        <v>2</v>
      </c>
    </row>
    <row r="889" spans="1:14" x14ac:dyDescent="0.25">
      <c r="A889" t="s">
        <v>1007</v>
      </c>
      <c r="B889" s="7">
        <v>43720</v>
      </c>
      <c r="C889" s="4">
        <v>0.45833333333333331</v>
      </c>
      <c r="D889" s="15">
        <f t="shared" si="26"/>
        <v>11</v>
      </c>
      <c r="E889" s="15" t="str">
        <f t="shared" si="27"/>
        <v>Before 15</v>
      </c>
      <c r="F889" t="s">
        <v>1008</v>
      </c>
      <c r="G889" s="16" t="str">
        <f>VLOOKUP(F889,DISTRICTS!B$2:C$626,2,FALSE)</f>
        <v>HORTALEZA</v>
      </c>
      <c r="H889" s="16" t="str">
        <f>IFERROR(VLOOKUP(G889,'areas for question 4'!A$2:B$10,2,FALSE),"")</f>
        <v/>
      </c>
      <c r="I889" t="s">
        <v>1443</v>
      </c>
      <c r="J889" t="s">
        <v>1450</v>
      </c>
      <c r="K889" t="s">
        <v>1458</v>
      </c>
      <c r="L889" t="s">
        <v>1476</v>
      </c>
      <c r="M889" t="s">
        <v>1478</v>
      </c>
      <c r="N889" s="18">
        <v>1</v>
      </c>
    </row>
    <row r="890" spans="1:14" x14ac:dyDescent="0.25">
      <c r="A890" t="s">
        <v>1025</v>
      </c>
      <c r="B890" s="7">
        <v>43725</v>
      </c>
      <c r="C890" s="4">
        <v>0.83680555555555547</v>
      </c>
      <c r="D890" s="15">
        <f t="shared" si="26"/>
        <v>20</v>
      </c>
      <c r="E890" s="15" t="str">
        <f t="shared" si="27"/>
        <v>After 15</v>
      </c>
      <c r="F890" t="s">
        <v>1026</v>
      </c>
      <c r="G890" s="16" t="str">
        <f>VLOOKUP(F890,DISTRICTS!B$2:C$626,2,FALSE)</f>
        <v>MORATALAZ</v>
      </c>
      <c r="H890" s="16" t="str">
        <f>IFERROR(VLOOKUP(G890,'areas for question 4'!A$2:B$10,2,FALSE),"")</f>
        <v>East</v>
      </c>
      <c r="I890" t="s">
        <v>1443</v>
      </c>
      <c r="J890" t="s">
        <v>1450</v>
      </c>
      <c r="K890" t="s">
        <v>1458</v>
      </c>
      <c r="L890" t="s">
        <v>1476</v>
      </c>
      <c r="M890" t="s">
        <v>1477</v>
      </c>
      <c r="N890" s="18">
        <v>7</v>
      </c>
    </row>
    <row r="891" spans="1:14" x14ac:dyDescent="0.25">
      <c r="A891" t="s">
        <v>1039</v>
      </c>
      <c r="B891" s="7">
        <v>43727</v>
      </c>
      <c r="C891" s="4">
        <v>0.72569444444444453</v>
      </c>
      <c r="D891" s="15">
        <f t="shared" si="26"/>
        <v>17</v>
      </c>
      <c r="E891" s="15" t="str">
        <f t="shared" si="27"/>
        <v>After 15</v>
      </c>
      <c r="F891" t="s">
        <v>1040</v>
      </c>
      <c r="G891" s="16" t="str">
        <f>VLOOKUP(F891,DISTRICTS!B$2:C$626,2,FALSE)</f>
        <v>CENTRO</v>
      </c>
      <c r="H891" s="16" t="str">
        <f>IFERROR(VLOOKUP(G891,'areas for question 4'!A$2:B$10,2,FALSE),"")</f>
        <v/>
      </c>
      <c r="I891" t="s">
        <v>1447</v>
      </c>
      <c r="J891" t="s">
        <v>1450</v>
      </c>
      <c r="K891" t="s">
        <v>1456</v>
      </c>
      <c r="L891" t="s">
        <v>1476</v>
      </c>
      <c r="M891" t="s">
        <v>1478</v>
      </c>
      <c r="N891" s="18">
        <v>7</v>
      </c>
    </row>
    <row r="892" spans="1:14" x14ac:dyDescent="0.25">
      <c r="A892" t="s">
        <v>1390</v>
      </c>
      <c r="B892" s="7">
        <v>43815</v>
      </c>
      <c r="C892" s="4">
        <v>0.47569444444444442</v>
      </c>
      <c r="D892" s="15">
        <f t="shared" si="26"/>
        <v>11</v>
      </c>
      <c r="E892" s="15" t="str">
        <f t="shared" si="27"/>
        <v>Before 15</v>
      </c>
      <c r="F892" t="s">
        <v>1391</v>
      </c>
      <c r="G892" s="16" t="str">
        <f>VLOOKUP(F892,DISTRICTS!B$2:C$626,2,FALSE)</f>
        <v>MONCLOA-ARAVACA</v>
      </c>
      <c r="H892" s="16" t="str">
        <f>IFERROR(VLOOKUP(G892,'areas for question 4'!A$2:B$10,2,FALSE),"")</f>
        <v/>
      </c>
      <c r="I892" t="s">
        <v>1443</v>
      </c>
      <c r="J892" t="s">
        <v>1450</v>
      </c>
      <c r="K892" t="s">
        <v>1458</v>
      </c>
      <c r="L892" t="s">
        <v>1476</v>
      </c>
      <c r="M892" t="s">
        <v>1477</v>
      </c>
      <c r="N892" s="18">
        <v>6</v>
      </c>
    </row>
  </sheetData>
  <sortState xmlns:xlrd2="http://schemas.microsoft.com/office/spreadsheetml/2017/richdata2" ref="A2:P892">
    <sortCondition ref="L2:L892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C173-755B-40C2-81FB-283052BE8F1F}">
  <dimension ref="A2:E16"/>
  <sheetViews>
    <sheetView zoomScale="145" zoomScaleNormal="145" workbookViewId="0"/>
  </sheetViews>
  <sheetFormatPr defaultRowHeight="15" x14ac:dyDescent="0.25"/>
  <cols>
    <col min="1" max="1" width="12.7109375" bestFit="1" customWidth="1"/>
    <col min="2" max="2" width="10" bestFit="1" customWidth="1"/>
    <col min="3" max="3" width="7.85546875" bestFit="1" customWidth="1"/>
    <col min="4" max="5" width="10.7109375" bestFit="1" customWidth="1"/>
  </cols>
  <sheetData>
    <row r="2" spans="1:5" x14ac:dyDescent="0.25">
      <c r="A2" s="8" t="s">
        <v>1511</v>
      </c>
      <c r="B2" s="8" t="s">
        <v>1512</v>
      </c>
    </row>
    <row r="3" spans="1:5" x14ac:dyDescent="0.25">
      <c r="A3" s="8" t="s">
        <v>1513</v>
      </c>
      <c r="B3" s="2" t="s">
        <v>1478</v>
      </c>
      <c r="C3" s="2" t="s">
        <v>1477</v>
      </c>
    </row>
    <row r="4" spans="1:5" x14ac:dyDescent="0.25">
      <c r="A4" s="9" t="s">
        <v>1482</v>
      </c>
      <c r="B4" s="13"/>
      <c r="C4" s="13"/>
    </row>
    <row r="5" spans="1:5" x14ac:dyDescent="0.25">
      <c r="A5" s="9" t="s">
        <v>1483</v>
      </c>
      <c r="B5" s="13">
        <v>1.2857142857142858</v>
      </c>
      <c r="C5" s="13">
        <v>-0.16666666666666666</v>
      </c>
      <c r="E5" s="11" t="s">
        <v>1517</v>
      </c>
    </row>
    <row r="6" spans="1:5" x14ac:dyDescent="0.25">
      <c r="A6" s="9" t="s">
        <v>1484</v>
      </c>
      <c r="B6" s="13">
        <v>0.375</v>
      </c>
      <c r="C6" s="13">
        <v>0.7142857142857143</v>
      </c>
    </row>
    <row r="7" spans="1:5" x14ac:dyDescent="0.25">
      <c r="A7" s="9" t="s">
        <v>1485</v>
      </c>
      <c r="B7" s="13">
        <v>-0.54545454545454541</v>
      </c>
      <c r="C7" s="13">
        <v>-0.36666666666666664</v>
      </c>
    </row>
    <row r="8" spans="1:5" x14ac:dyDescent="0.25">
      <c r="A8" s="9" t="s">
        <v>1486</v>
      </c>
      <c r="B8" s="13">
        <v>1.6</v>
      </c>
      <c r="C8" s="13">
        <v>0.71052631578947367</v>
      </c>
    </row>
    <row r="9" spans="1:5" x14ac:dyDescent="0.25">
      <c r="A9" s="9" t="s">
        <v>1487</v>
      </c>
      <c r="B9" s="13">
        <v>-0.15384615384615385</v>
      </c>
      <c r="C9" s="13">
        <v>0.12307692307692308</v>
      </c>
    </row>
    <row r="10" spans="1:5" x14ac:dyDescent="0.25">
      <c r="A10" s="9" t="s">
        <v>1488</v>
      </c>
      <c r="B10" s="13">
        <v>0</v>
      </c>
      <c r="C10" s="13">
        <v>-0.12328767123287671</v>
      </c>
    </row>
    <row r="11" spans="1:5" x14ac:dyDescent="0.25">
      <c r="A11" s="9" t="s">
        <v>1489</v>
      </c>
      <c r="B11" s="13">
        <v>-0.45454545454545453</v>
      </c>
      <c r="C11" s="13">
        <v>-0.3125</v>
      </c>
    </row>
    <row r="12" spans="1:5" x14ac:dyDescent="0.25">
      <c r="A12" s="9" t="s">
        <v>1490</v>
      </c>
      <c r="B12" s="13">
        <v>1.25</v>
      </c>
      <c r="C12" s="13">
        <v>0.90909090909090906</v>
      </c>
    </row>
    <row r="13" spans="1:5" x14ac:dyDescent="0.25">
      <c r="A13" s="9" t="s">
        <v>1491</v>
      </c>
      <c r="B13" s="13">
        <v>3.7037037037037035E-2</v>
      </c>
      <c r="C13" s="13">
        <v>-0.15476190476190477</v>
      </c>
    </row>
    <row r="14" spans="1:5" x14ac:dyDescent="0.25">
      <c r="A14" s="9" t="s">
        <v>1492</v>
      </c>
      <c r="B14" s="13">
        <v>-0.32142857142857145</v>
      </c>
      <c r="C14" s="13">
        <v>-0.40845070422535212</v>
      </c>
    </row>
    <row r="15" spans="1:5" x14ac:dyDescent="0.25">
      <c r="A15" s="9" t="s">
        <v>1493</v>
      </c>
      <c r="B15" s="13">
        <v>-0.26315789473684209</v>
      </c>
      <c r="C15" s="13">
        <v>-0.21428571428571427</v>
      </c>
    </row>
    <row r="16" spans="1:5" x14ac:dyDescent="0.25">
      <c r="A16" s="9" t="s">
        <v>1481</v>
      </c>
      <c r="B16" s="10"/>
      <c r="C16" s="10"/>
    </row>
  </sheetData>
  <conditionalFormatting pivot="1" sqref="B5 B6 B7 B8 B9 B10 B11 B12 B13 B14 B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5 C6 C7 C8 C9 C10 C11 C12 C13 C14 C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8929-7391-4595-90DF-CD02753953EF}">
  <dimension ref="A1:H16"/>
  <sheetViews>
    <sheetView zoomScale="130" zoomScaleNormal="130" workbookViewId="0">
      <selection activeCell="B14" sqref="B14"/>
    </sheetView>
  </sheetViews>
  <sheetFormatPr defaultRowHeight="15" x14ac:dyDescent="0.25"/>
  <cols>
    <col min="1" max="1" width="23" bestFit="1" customWidth="1"/>
    <col min="2" max="2" width="23.140625" bestFit="1" customWidth="1"/>
    <col min="3" max="3" width="5.85546875" bestFit="1" customWidth="1"/>
    <col min="4" max="4" width="16.5703125" bestFit="1" customWidth="1"/>
    <col min="5" max="5" width="15.140625" bestFit="1" customWidth="1"/>
    <col min="6" max="6" width="15" bestFit="1" customWidth="1"/>
    <col min="7" max="7" width="6.140625" bestFit="1" customWidth="1"/>
    <col min="8" max="8" width="6.28515625" bestFit="1" customWidth="1"/>
    <col min="9" max="9" width="5.7109375" bestFit="1" customWidth="1"/>
    <col min="10" max="10" width="5.85546875" bestFit="1" customWidth="1"/>
  </cols>
  <sheetData>
    <row r="1" spans="1:8" x14ac:dyDescent="0.25">
      <c r="A1" s="8" t="s">
        <v>1479</v>
      </c>
      <c r="B1" t="s">
        <v>1495</v>
      </c>
    </row>
    <row r="3" spans="1:8" x14ac:dyDescent="0.25">
      <c r="A3" s="8" t="s">
        <v>1510</v>
      </c>
      <c r="B3" s="8" t="s">
        <v>1515</v>
      </c>
    </row>
    <row r="4" spans="1:8" x14ac:dyDescent="0.25">
      <c r="A4" s="8" t="s">
        <v>1514</v>
      </c>
      <c r="B4" s="2" t="s">
        <v>1445</v>
      </c>
      <c r="C4" s="2" t="s">
        <v>1444</v>
      </c>
      <c r="D4" s="2" t="s">
        <v>1446</v>
      </c>
      <c r="E4" s="2" t="s">
        <v>1443</v>
      </c>
      <c r="F4" s="2" t="s">
        <v>1447</v>
      </c>
      <c r="G4" s="2" t="s">
        <v>1449</v>
      </c>
      <c r="H4" s="2" t="s">
        <v>1441</v>
      </c>
    </row>
    <row r="5" spans="1:8" x14ac:dyDescent="0.25">
      <c r="A5" s="9" t="s">
        <v>1496</v>
      </c>
      <c r="B5" s="12">
        <v>0.5</v>
      </c>
      <c r="C5" s="12">
        <v>0.15384615384615385</v>
      </c>
      <c r="D5" s="12">
        <v>0.29411764705882354</v>
      </c>
      <c r="E5" s="12">
        <v>0.2857142857142857</v>
      </c>
      <c r="F5" s="12">
        <v>0.2857142857142857</v>
      </c>
      <c r="G5" s="12">
        <v>0</v>
      </c>
      <c r="H5" s="12">
        <v>0.1111111111111111</v>
      </c>
    </row>
    <row r="6" spans="1:8" x14ac:dyDescent="0.25">
      <c r="A6" s="9" t="s">
        <v>1497</v>
      </c>
      <c r="B6" s="12">
        <v>0.25</v>
      </c>
      <c r="C6" s="12">
        <v>0.23076923076923078</v>
      </c>
      <c r="D6" s="12">
        <v>0.29411764705882354</v>
      </c>
      <c r="E6" s="12">
        <v>0.14285714285714285</v>
      </c>
      <c r="F6" s="12">
        <v>0</v>
      </c>
      <c r="G6" s="12">
        <v>0</v>
      </c>
      <c r="H6" s="12">
        <v>0.22222222222222221</v>
      </c>
    </row>
    <row r="7" spans="1:8" x14ac:dyDescent="0.25">
      <c r="A7" s="9" t="s">
        <v>1498</v>
      </c>
      <c r="B7" s="12">
        <v>0.25</v>
      </c>
      <c r="C7" s="12">
        <v>0.23076923076923078</v>
      </c>
      <c r="D7" s="12">
        <v>0.11764705882352941</v>
      </c>
      <c r="E7" s="12">
        <v>9.5238095238095233E-2</v>
      </c>
      <c r="F7" s="12">
        <v>0.2857142857142857</v>
      </c>
      <c r="G7" s="12">
        <v>0</v>
      </c>
      <c r="H7" s="12">
        <v>0.22222222222222221</v>
      </c>
    </row>
    <row r="8" spans="1:8" x14ac:dyDescent="0.25">
      <c r="A8" s="9" t="s">
        <v>1499</v>
      </c>
      <c r="B8" s="12">
        <v>0</v>
      </c>
      <c r="C8" s="12">
        <v>0.30769230769230771</v>
      </c>
      <c r="D8" s="12">
        <v>0.11764705882352941</v>
      </c>
      <c r="E8" s="12">
        <v>0.14285714285714285</v>
      </c>
      <c r="F8" s="12">
        <v>0</v>
      </c>
      <c r="G8" s="12">
        <v>1</v>
      </c>
      <c r="H8" s="12">
        <v>0.1111111111111111</v>
      </c>
    </row>
    <row r="9" spans="1:8" x14ac:dyDescent="0.25">
      <c r="A9" s="9" t="s">
        <v>1500</v>
      </c>
      <c r="B9" s="12">
        <v>0</v>
      </c>
      <c r="C9" s="12">
        <v>7.6923076923076927E-2</v>
      </c>
      <c r="D9" s="12">
        <v>0</v>
      </c>
      <c r="E9" s="12">
        <v>0.19047619047619047</v>
      </c>
      <c r="F9" s="12">
        <v>0.2857142857142857</v>
      </c>
      <c r="G9" s="12">
        <v>0</v>
      </c>
      <c r="H9" s="12">
        <v>0.22222222222222221</v>
      </c>
    </row>
    <row r="10" spans="1:8" x14ac:dyDescent="0.25">
      <c r="A10" s="9" t="s">
        <v>1501</v>
      </c>
      <c r="B10" s="12">
        <v>0</v>
      </c>
      <c r="C10" s="12">
        <v>0</v>
      </c>
      <c r="D10" s="12">
        <v>0.17647058823529413</v>
      </c>
      <c r="E10" s="12">
        <v>0.14285714285714285</v>
      </c>
      <c r="F10" s="12">
        <v>0.14285714285714285</v>
      </c>
      <c r="G10" s="12">
        <v>0</v>
      </c>
      <c r="H10" s="12">
        <v>0.1111111111111111</v>
      </c>
    </row>
    <row r="11" spans="1:8" x14ac:dyDescent="0.25">
      <c r="A11" s="9" t="s">
        <v>1481</v>
      </c>
      <c r="B11" s="12">
        <v>1</v>
      </c>
      <c r="C11" s="12">
        <v>1</v>
      </c>
      <c r="D11" s="12">
        <v>1</v>
      </c>
      <c r="E11" s="12">
        <v>1</v>
      </c>
      <c r="F11" s="12">
        <v>1</v>
      </c>
      <c r="G11" s="12">
        <v>1</v>
      </c>
      <c r="H11" s="12">
        <v>1</v>
      </c>
    </row>
    <row r="13" spans="1:8" x14ac:dyDescent="0.25">
      <c r="B13" s="11" t="s">
        <v>1521</v>
      </c>
    </row>
    <row r="14" spans="1:8" x14ac:dyDescent="0.25">
      <c r="B14" s="11"/>
    </row>
    <row r="15" spans="1:8" x14ac:dyDescent="0.25">
      <c r="B15" s="11" t="s">
        <v>1502</v>
      </c>
    </row>
    <row r="16" spans="1:8" x14ac:dyDescent="0.25">
      <c r="B16" s="11" t="s">
        <v>1503</v>
      </c>
    </row>
  </sheetData>
  <conditionalFormatting pivot="1" sqref="B5:H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5091-8F47-439B-943F-19F901941CA9}">
  <dimension ref="A2:F25"/>
  <sheetViews>
    <sheetView zoomScale="130" zoomScaleNormal="130" workbookViewId="0">
      <selection activeCell="B9" sqref="B9"/>
    </sheetView>
  </sheetViews>
  <sheetFormatPr defaultRowHeight="15" x14ac:dyDescent="0.25"/>
  <cols>
    <col min="1" max="1" width="22.28515625" bestFit="1" customWidth="1"/>
    <col min="2" max="2" width="20.5703125" bestFit="1" customWidth="1"/>
    <col min="3" max="3" width="8.28515625" bestFit="1" customWidth="1"/>
    <col min="4" max="4" width="5" bestFit="1" customWidth="1"/>
    <col min="5" max="5" width="4.5703125" customWidth="1"/>
    <col min="6" max="6" width="10.7109375" bestFit="1" customWidth="1"/>
  </cols>
  <sheetData>
    <row r="2" spans="1:6" x14ac:dyDescent="0.25">
      <c r="A2" s="8" t="s">
        <v>1510</v>
      </c>
      <c r="B2" s="8" t="s">
        <v>1509</v>
      </c>
    </row>
    <row r="3" spans="1:6" x14ac:dyDescent="0.25">
      <c r="A3" s="8" t="s">
        <v>1480</v>
      </c>
      <c r="B3" t="s">
        <v>1518</v>
      </c>
      <c r="C3" t="s">
        <v>1519</v>
      </c>
    </row>
    <row r="4" spans="1:6" x14ac:dyDescent="0.25">
      <c r="A4" s="9" t="s">
        <v>25</v>
      </c>
      <c r="B4" s="12">
        <v>0.46753246753246752</v>
      </c>
      <c r="C4" s="12">
        <v>0.53246753246753242</v>
      </c>
      <c r="E4" s="12"/>
      <c r="F4" s="3"/>
    </row>
    <row r="5" spans="1:6" x14ac:dyDescent="0.25">
      <c r="A5" s="9" t="s">
        <v>195</v>
      </c>
      <c r="B5" s="12">
        <v>0.46153846153846156</v>
      </c>
      <c r="C5" s="12">
        <v>0.53846153846153844</v>
      </c>
      <c r="E5" s="12"/>
    </row>
    <row r="6" spans="1:6" x14ac:dyDescent="0.25">
      <c r="A6" s="9" t="s">
        <v>30</v>
      </c>
      <c r="B6" s="12">
        <v>0.46666666666666667</v>
      </c>
      <c r="C6" s="12">
        <v>0.53333333333333333</v>
      </c>
      <c r="E6" s="12"/>
    </row>
    <row r="7" spans="1:6" x14ac:dyDescent="0.25">
      <c r="A7" s="9" t="s">
        <v>33</v>
      </c>
      <c r="B7" s="12">
        <v>0.40384615384615385</v>
      </c>
      <c r="C7" s="12">
        <v>0.59615384615384615</v>
      </c>
      <c r="E7" s="12"/>
    </row>
    <row r="8" spans="1:6" x14ac:dyDescent="0.25">
      <c r="A8" s="9" t="s">
        <v>16</v>
      </c>
      <c r="B8" s="12">
        <v>0.44230769230769229</v>
      </c>
      <c r="C8" s="12">
        <v>0.55769230769230771</v>
      </c>
      <c r="E8" s="12"/>
    </row>
    <row r="9" spans="1:6" x14ac:dyDescent="0.25">
      <c r="A9" s="9" t="s">
        <v>52</v>
      </c>
      <c r="B9" s="12">
        <v>0.33846153846153848</v>
      </c>
      <c r="C9" s="12">
        <v>0.66153846153846152</v>
      </c>
      <c r="E9" s="12"/>
    </row>
    <row r="10" spans="1:6" x14ac:dyDescent="0.25">
      <c r="A10" s="9" t="s">
        <v>57</v>
      </c>
      <c r="B10" s="12">
        <v>0.42307692307692307</v>
      </c>
      <c r="C10" s="12">
        <v>0.57692307692307687</v>
      </c>
      <c r="E10" s="12"/>
    </row>
    <row r="11" spans="1:6" x14ac:dyDescent="0.25">
      <c r="A11" s="9" t="s">
        <v>22</v>
      </c>
      <c r="B11" s="12">
        <v>0.67346938775510201</v>
      </c>
      <c r="C11" s="12">
        <v>0.32653061224489793</v>
      </c>
      <c r="E11" s="12"/>
    </row>
    <row r="12" spans="1:6" x14ac:dyDescent="0.25">
      <c r="A12" s="9" t="s">
        <v>5</v>
      </c>
      <c r="B12" s="12">
        <v>0.33333333333333331</v>
      </c>
      <c r="C12" s="12">
        <v>0.66666666666666663</v>
      </c>
      <c r="E12" s="12"/>
    </row>
    <row r="13" spans="1:6" x14ac:dyDescent="0.25">
      <c r="A13" s="9" t="s">
        <v>41</v>
      </c>
      <c r="B13" s="12">
        <v>0.43333333333333335</v>
      </c>
      <c r="C13" s="12">
        <v>0.56666666666666665</v>
      </c>
      <c r="E13" s="12"/>
    </row>
    <row r="14" spans="1:6" x14ac:dyDescent="0.25">
      <c r="A14" s="9" t="s">
        <v>13</v>
      </c>
      <c r="B14" s="12">
        <v>0.37777777777777777</v>
      </c>
      <c r="C14" s="12">
        <v>0.62222222222222223</v>
      </c>
      <c r="E14" s="12"/>
    </row>
    <row r="15" spans="1:6" x14ac:dyDescent="0.25">
      <c r="A15" s="9" t="s">
        <v>19</v>
      </c>
      <c r="B15" s="12">
        <v>0.40740740740740738</v>
      </c>
      <c r="C15" s="12">
        <v>0.59259259259259256</v>
      </c>
      <c r="E15" s="12"/>
    </row>
    <row r="16" spans="1:6" x14ac:dyDescent="0.25">
      <c r="A16" s="9" t="s">
        <v>87</v>
      </c>
      <c r="B16" s="12">
        <v>0.5714285714285714</v>
      </c>
      <c r="C16" s="12">
        <v>0.42857142857142855</v>
      </c>
      <c r="E16" s="12"/>
    </row>
    <row r="17" spans="1:5" x14ac:dyDescent="0.25">
      <c r="A17" s="9" t="s">
        <v>70</v>
      </c>
      <c r="B17" s="12">
        <v>0.50847457627118642</v>
      </c>
      <c r="C17" s="12">
        <v>0.49152542372881358</v>
      </c>
      <c r="E17" s="12"/>
    </row>
    <row r="18" spans="1:5" x14ac:dyDescent="0.25">
      <c r="A18" s="9" t="s">
        <v>2</v>
      </c>
      <c r="B18" s="12">
        <v>0.32653061224489793</v>
      </c>
      <c r="C18" s="12">
        <v>0.67346938775510201</v>
      </c>
      <c r="E18" s="12"/>
    </row>
    <row r="19" spans="1:5" x14ac:dyDescent="0.25">
      <c r="A19" s="9" t="s">
        <v>73</v>
      </c>
      <c r="B19" s="12">
        <v>0.42105263157894735</v>
      </c>
      <c r="C19" s="12">
        <v>0.57894736842105265</v>
      </c>
      <c r="E19" s="12"/>
    </row>
    <row r="20" spans="1:5" x14ac:dyDescent="0.25">
      <c r="A20" s="9" t="s">
        <v>92</v>
      </c>
      <c r="B20" s="12">
        <v>0.56818181818181823</v>
      </c>
      <c r="C20" s="12">
        <v>0.43181818181818182</v>
      </c>
      <c r="E20" s="12"/>
    </row>
    <row r="21" spans="1:5" x14ac:dyDescent="0.25">
      <c r="A21" s="9" t="s">
        <v>118</v>
      </c>
      <c r="B21" s="12">
        <v>0.5357142857142857</v>
      </c>
      <c r="C21" s="12">
        <v>0.4642857142857143</v>
      </c>
      <c r="E21" s="12"/>
    </row>
    <row r="22" spans="1:5" x14ac:dyDescent="0.25">
      <c r="A22" s="9" t="s">
        <v>76</v>
      </c>
      <c r="B22" s="12">
        <v>0.75</v>
      </c>
      <c r="C22" s="12">
        <v>0.25</v>
      </c>
      <c r="E22" s="12"/>
    </row>
    <row r="23" spans="1:5" x14ac:dyDescent="0.25">
      <c r="A23" s="9" t="s">
        <v>8</v>
      </c>
      <c r="B23" s="12">
        <v>0.68421052631578949</v>
      </c>
      <c r="C23" s="12">
        <v>0.31578947368421051</v>
      </c>
      <c r="E23" s="12"/>
    </row>
    <row r="24" spans="1:5" x14ac:dyDescent="0.25">
      <c r="A24" s="9" t="s">
        <v>248</v>
      </c>
      <c r="B24" s="12">
        <v>0.76470588235294112</v>
      </c>
      <c r="C24" s="12">
        <v>0.23529411764705882</v>
      </c>
      <c r="E24" s="12"/>
    </row>
    <row r="25" spans="1:5" x14ac:dyDescent="0.25">
      <c r="A25" s="9" t="s">
        <v>1481</v>
      </c>
      <c r="B25" s="12">
        <v>0.46179775280898877</v>
      </c>
      <c r="C25" s="12">
        <v>0.53820224719101128</v>
      </c>
      <c r="E25" s="12"/>
    </row>
  </sheetData>
  <conditionalFormatting pivot="1" sqref="B4:C4">
    <cfRule type="top10" dxfId="62" priority="21" rank="1"/>
  </conditionalFormatting>
  <conditionalFormatting pivot="1" sqref="B5:C5">
    <cfRule type="top10" dxfId="61" priority="20" rank="1"/>
  </conditionalFormatting>
  <conditionalFormatting pivot="1" sqref="B6:C6">
    <cfRule type="top10" dxfId="60" priority="19" rank="1"/>
  </conditionalFormatting>
  <conditionalFormatting pivot="1" sqref="B7:C7">
    <cfRule type="top10" dxfId="59" priority="18" rank="1"/>
  </conditionalFormatting>
  <conditionalFormatting pivot="1" sqref="B8:C8">
    <cfRule type="top10" dxfId="58" priority="17" rank="1"/>
  </conditionalFormatting>
  <conditionalFormatting pivot="1" sqref="B9:C9">
    <cfRule type="top10" dxfId="57" priority="16" rank="1"/>
  </conditionalFormatting>
  <conditionalFormatting pivot="1" sqref="B10:C10">
    <cfRule type="top10" dxfId="56" priority="15" rank="1"/>
  </conditionalFormatting>
  <conditionalFormatting pivot="1" sqref="B11:C11">
    <cfRule type="top10" dxfId="55" priority="14" rank="1"/>
  </conditionalFormatting>
  <conditionalFormatting pivot="1" sqref="B12:C12">
    <cfRule type="top10" dxfId="54" priority="13" rank="1"/>
  </conditionalFormatting>
  <conditionalFormatting pivot="1" sqref="B13:C13">
    <cfRule type="top10" dxfId="53" priority="12" rank="1"/>
  </conditionalFormatting>
  <conditionalFormatting pivot="1" sqref="B14:C14">
    <cfRule type="top10" dxfId="52" priority="11" rank="1"/>
  </conditionalFormatting>
  <conditionalFormatting pivot="1" sqref="B15:C15">
    <cfRule type="top10" dxfId="51" priority="10" rank="1"/>
  </conditionalFormatting>
  <conditionalFormatting pivot="1" sqref="B16:C16">
    <cfRule type="top10" dxfId="50" priority="9" rank="1"/>
  </conditionalFormatting>
  <conditionalFormatting pivot="1" sqref="B17:C17">
    <cfRule type="top10" dxfId="49" priority="8" rank="1"/>
  </conditionalFormatting>
  <conditionalFormatting pivot="1" sqref="B18:C18">
    <cfRule type="top10" dxfId="48" priority="7" rank="1"/>
  </conditionalFormatting>
  <conditionalFormatting pivot="1" sqref="B19:C19">
    <cfRule type="top10" dxfId="47" priority="6" rank="1"/>
  </conditionalFormatting>
  <conditionalFormatting pivot="1" sqref="B20:C20">
    <cfRule type="top10" dxfId="46" priority="5" rank="1"/>
  </conditionalFormatting>
  <conditionalFormatting pivot="1" sqref="B21:C21">
    <cfRule type="top10" dxfId="45" priority="4" rank="1"/>
  </conditionalFormatting>
  <conditionalFormatting pivot="1" sqref="B22:C22">
    <cfRule type="top10" dxfId="44" priority="3" rank="1"/>
  </conditionalFormatting>
  <conditionalFormatting pivot="1" sqref="B23:C23">
    <cfRule type="top10" dxfId="43" priority="2" rank="1"/>
  </conditionalFormatting>
  <conditionalFormatting pivot="1" sqref="B24:C24">
    <cfRule type="top10" dxfId="42" priority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8691-A17F-4042-86B7-F814077CC28C}">
  <dimension ref="A1:B10"/>
  <sheetViews>
    <sheetView zoomScale="145" zoomScaleNormal="145" workbookViewId="0"/>
  </sheetViews>
  <sheetFormatPr defaultRowHeight="15" x14ac:dyDescent="0.25"/>
  <cols>
    <col min="1" max="1" width="22.28515625" bestFit="1" customWidth="1"/>
    <col min="2" max="2" width="6.140625" bestFit="1" customWidth="1"/>
  </cols>
  <sheetData>
    <row r="1" spans="1:2" x14ac:dyDescent="0.25">
      <c r="A1" s="1" t="s">
        <v>1479</v>
      </c>
      <c r="B1" s="3" t="s">
        <v>1507</v>
      </c>
    </row>
    <row r="2" spans="1:2" x14ac:dyDescent="0.25">
      <c r="A2" s="2" t="s">
        <v>57</v>
      </c>
      <c r="B2" s="2" t="s">
        <v>1506</v>
      </c>
    </row>
    <row r="3" spans="1:2" x14ac:dyDescent="0.25">
      <c r="A3" s="2" t="s">
        <v>19</v>
      </c>
      <c r="B3" s="2" t="s">
        <v>1506</v>
      </c>
    </row>
    <row r="4" spans="1:2" x14ac:dyDescent="0.25">
      <c r="A4" s="2" t="s">
        <v>73</v>
      </c>
      <c r="B4" s="2" t="s">
        <v>1506</v>
      </c>
    </row>
    <row r="5" spans="1:2" x14ac:dyDescent="0.25">
      <c r="A5" s="2" t="s">
        <v>76</v>
      </c>
      <c r="B5" s="2" t="s">
        <v>1506</v>
      </c>
    </row>
    <row r="6" spans="1:2" x14ac:dyDescent="0.25">
      <c r="A6" s="2" t="s">
        <v>195</v>
      </c>
      <c r="B6" s="2" t="s">
        <v>1506</v>
      </c>
    </row>
    <row r="7" spans="1:2" x14ac:dyDescent="0.25">
      <c r="A7" s="2" t="s">
        <v>16</v>
      </c>
      <c r="B7" s="2" t="s">
        <v>1505</v>
      </c>
    </row>
    <row r="8" spans="1:2" x14ac:dyDescent="0.25">
      <c r="A8" s="2" t="s">
        <v>22</v>
      </c>
      <c r="B8" s="2" t="s">
        <v>1505</v>
      </c>
    </row>
    <row r="9" spans="1:2" x14ac:dyDescent="0.25">
      <c r="A9" s="2" t="s">
        <v>92</v>
      </c>
      <c r="B9" s="2" t="s">
        <v>1505</v>
      </c>
    </row>
    <row r="10" spans="1:2" x14ac:dyDescent="0.25">
      <c r="A10" s="2" t="s">
        <v>52</v>
      </c>
      <c r="B10" s="2" t="s">
        <v>1505</v>
      </c>
    </row>
  </sheetData>
  <sortState xmlns:xlrd2="http://schemas.microsoft.com/office/spreadsheetml/2017/richdata2" ref="A2:B10">
    <sortCondition ref="B2:B1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5331-4B4A-43DC-B22E-EF8DCC3E5561}">
  <dimension ref="A3:E10"/>
  <sheetViews>
    <sheetView zoomScale="145" zoomScaleNormal="145" workbookViewId="0">
      <selection activeCell="B7" sqref="B7"/>
    </sheetView>
  </sheetViews>
  <sheetFormatPr defaultRowHeight="15" x14ac:dyDescent="0.25"/>
  <cols>
    <col min="1" max="1" width="18.7109375" bestFit="1" customWidth="1"/>
    <col min="2" max="2" width="16.28515625" bestFit="1" customWidth="1"/>
    <col min="3" max="4" width="6.140625" bestFit="1" customWidth="1"/>
    <col min="5" max="5" width="5.7109375" bestFit="1" customWidth="1"/>
    <col min="6" max="6" width="18.7109375" bestFit="1" customWidth="1"/>
    <col min="7" max="7" width="20.5703125" bestFit="1" customWidth="1"/>
    <col min="8" max="8" width="18.7109375" bestFit="1" customWidth="1"/>
    <col min="9" max="9" width="20.5703125" bestFit="1" customWidth="1"/>
  </cols>
  <sheetData>
    <row r="3" spans="1:5" x14ac:dyDescent="0.25">
      <c r="A3" s="8" t="s">
        <v>1522</v>
      </c>
      <c r="B3" s="8" t="s">
        <v>1494</v>
      </c>
    </row>
    <row r="4" spans="1:5" x14ac:dyDescent="0.25">
      <c r="A4" s="8" t="s">
        <v>1480</v>
      </c>
      <c r="B4" t="s">
        <v>1506</v>
      </c>
      <c r="C4" t="s">
        <v>1505</v>
      </c>
    </row>
    <row r="5" spans="1:5" x14ac:dyDescent="0.25">
      <c r="A5" s="9" t="s">
        <v>1450</v>
      </c>
      <c r="B5" s="19">
        <v>6.4285714285714288</v>
      </c>
      <c r="C5" s="19">
        <v>6.3090909090909095</v>
      </c>
    </row>
    <row r="6" spans="1:5" x14ac:dyDescent="0.25">
      <c r="A6" s="17" t="s">
        <v>1454</v>
      </c>
      <c r="B6" s="20">
        <v>4.333333333333333</v>
      </c>
      <c r="C6" s="20">
        <v>5.5</v>
      </c>
      <c r="E6" s="11" t="s">
        <v>1520</v>
      </c>
    </row>
    <row r="7" spans="1:5" x14ac:dyDescent="0.25">
      <c r="A7" s="17" t="s">
        <v>1451</v>
      </c>
      <c r="B7" s="20">
        <v>7</v>
      </c>
      <c r="C7" s="21"/>
    </row>
    <row r="8" spans="1:5" x14ac:dyDescent="0.25">
      <c r="A8" s="17" t="s">
        <v>1453</v>
      </c>
      <c r="B8" s="20">
        <v>7</v>
      </c>
      <c r="C8" s="21"/>
    </row>
    <row r="9" spans="1:5" x14ac:dyDescent="0.25">
      <c r="A9" s="17" t="s">
        <v>1452</v>
      </c>
      <c r="B9" s="20">
        <v>4.8</v>
      </c>
      <c r="C9" s="20">
        <v>6.2666666666666666</v>
      </c>
    </row>
    <row r="10" spans="1:5" x14ac:dyDescent="0.25">
      <c r="A10" s="9" t="s">
        <v>1481</v>
      </c>
      <c r="B10" s="19">
        <v>6.2758620689655169</v>
      </c>
      <c r="C10" s="19">
        <v>6.2880434782608692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626"/>
  <sheetViews>
    <sheetView showGridLines="0" zoomScale="130" zoomScaleNormal="130" zoomScalePageLayoutView="153" workbookViewId="0">
      <selection activeCell="C2" sqref="C2"/>
    </sheetView>
  </sheetViews>
  <sheetFormatPr defaultColWidth="10.85546875" defaultRowHeight="15" x14ac:dyDescent="0.25"/>
  <cols>
    <col min="1" max="1" width="20.85546875" bestFit="1" customWidth="1"/>
    <col min="2" max="2" width="69.85546875" bestFit="1" customWidth="1"/>
    <col min="3" max="3" width="20.85546875" bestFit="1" customWidth="1"/>
  </cols>
  <sheetData>
    <row r="1" spans="2:3" x14ac:dyDescent="0.25">
      <c r="B1" s="6" t="s">
        <v>1434</v>
      </c>
      <c r="C1" s="3" t="s">
        <v>1479</v>
      </c>
    </row>
    <row r="2" spans="2:3" x14ac:dyDescent="0.25">
      <c r="B2" t="s">
        <v>1273</v>
      </c>
      <c r="C2" t="s">
        <v>25</v>
      </c>
    </row>
    <row r="3" spans="2:3" x14ac:dyDescent="0.25">
      <c r="B3" t="s">
        <v>946</v>
      </c>
      <c r="C3" t="s">
        <v>25</v>
      </c>
    </row>
    <row r="4" spans="2:3" x14ac:dyDescent="0.25">
      <c r="B4" t="s">
        <v>659</v>
      </c>
      <c r="C4" t="s">
        <v>25</v>
      </c>
    </row>
    <row r="5" spans="2:3" x14ac:dyDescent="0.25">
      <c r="B5" t="s">
        <v>1383</v>
      </c>
      <c r="C5" t="s">
        <v>25</v>
      </c>
    </row>
    <row r="6" spans="2:3" x14ac:dyDescent="0.25">
      <c r="B6" t="s">
        <v>610</v>
      </c>
      <c r="C6" t="s">
        <v>25</v>
      </c>
    </row>
    <row r="7" spans="2:3" x14ac:dyDescent="0.25">
      <c r="B7" t="s">
        <v>1201</v>
      </c>
      <c r="C7" t="s">
        <v>25</v>
      </c>
    </row>
    <row r="8" spans="2:3" x14ac:dyDescent="0.25">
      <c r="B8" t="s">
        <v>333</v>
      </c>
      <c r="C8" t="s">
        <v>25</v>
      </c>
    </row>
    <row r="9" spans="2:3" x14ac:dyDescent="0.25">
      <c r="B9" t="s">
        <v>838</v>
      </c>
      <c r="C9" t="s">
        <v>25</v>
      </c>
    </row>
    <row r="10" spans="2:3" x14ac:dyDescent="0.25">
      <c r="B10" t="s">
        <v>1378</v>
      </c>
      <c r="C10" t="s">
        <v>25</v>
      </c>
    </row>
    <row r="11" spans="2:3" x14ac:dyDescent="0.25">
      <c r="B11" t="s">
        <v>101</v>
      </c>
      <c r="C11" t="s">
        <v>25</v>
      </c>
    </row>
    <row r="12" spans="2:3" x14ac:dyDescent="0.25">
      <c r="B12" t="s">
        <v>357</v>
      </c>
      <c r="C12" t="s">
        <v>25</v>
      </c>
    </row>
    <row r="13" spans="2:3" x14ac:dyDescent="0.25">
      <c r="B13" t="s">
        <v>184</v>
      </c>
      <c r="C13" t="s">
        <v>25</v>
      </c>
    </row>
    <row r="14" spans="2:3" x14ac:dyDescent="0.25">
      <c r="B14" t="s">
        <v>24</v>
      </c>
      <c r="C14" t="s">
        <v>25</v>
      </c>
    </row>
    <row r="15" spans="2:3" x14ac:dyDescent="0.25">
      <c r="B15" t="s">
        <v>470</v>
      </c>
      <c r="C15" t="s">
        <v>25</v>
      </c>
    </row>
    <row r="16" spans="2:3" x14ac:dyDescent="0.25">
      <c r="B16" t="s">
        <v>303</v>
      </c>
      <c r="C16" t="s">
        <v>25</v>
      </c>
    </row>
    <row r="17" spans="2:3" x14ac:dyDescent="0.25">
      <c r="B17" t="s">
        <v>606</v>
      </c>
      <c r="C17" t="s">
        <v>25</v>
      </c>
    </row>
    <row r="18" spans="2:3" x14ac:dyDescent="0.25">
      <c r="B18" t="s">
        <v>595</v>
      </c>
      <c r="C18" t="s">
        <v>25</v>
      </c>
    </row>
    <row r="19" spans="2:3" x14ac:dyDescent="0.25">
      <c r="B19" t="s">
        <v>474</v>
      </c>
      <c r="C19" t="s">
        <v>25</v>
      </c>
    </row>
    <row r="20" spans="2:3" x14ac:dyDescent="0.25">
      <c r="B20" t="s">
        <v>757</v>
      </c>
      <c r="C20" t="s">
        <v>25</v>
      </c>
    </row>
    <row r="21" spans="2:3" x14ac:dyDescent="0.25">
      <c r="B21" t="s">
        <v>647</v>
      </c>
      <c r="C21" t="s">
        <v>25</v>
      </c>
    </row>
    <row r="22" spans="2:3" x14ac:dyDescent="0.25">
      <c r="B22" t="s">
        <v>1291</v>
      </c>
      <c r="C22" t="s">
        <v>25</v>
      </c>
    </row>
    <row r="23" spans="2:3" x14ac:dyDescent="0.25">
      <c r="B23" t="s">
        <v>1111</v>
      </c>
      <c r="C23" t="s">
        <v>25</v>
      </c>
    </row>
    <row r="24" spans="2:3" x14ac:dyDescent="0.25">
      <c r="B24" t="s">
        <v>1324</v>
      </c>
      <c r="C24" t="s">
        <v>25</v>
      </c>
    </row>
    <row r="25" spans="2:3" x14ac:dyDescent="0.25">
      <c r="B25" t="s">
        <v>688</v>
      </c>
      <c r="C25" t="s">
        <v>25</v>
      </c>
    </row>
    <row r="26" spans="2:3" x14ac:dyDescent="0.25">
      <c r="B26" t="s">
        <v>1155</v>
      </c>
      <c r="C26" t="s">
        <v>25</v>
      </c>
    </row>
    <row r="27" spans="2:3" x14ac:dyDescent="0.25">
      <c r="B27" t="s">
        <v>481</v>
      </c>
      <c r="C27" t="s">
        <v>25</v>
      </c>
    </row>
    <row r="28" spans="2:3" x14ac:dyDescent="0.25">
      <c r="B28" t="s">
        <v>1428</v>
      </c>
      <c r="C28" t="s">
        <v>25</v>
      </c>
    </row>
    <row r="29" spans="2:3" x14ac:dyDescent="0.25">
      <c r="B29" t="s">
        <v>168</v>
      </c>
      <c r="C29" t="s">
        <v>25</v>
      </c>
    </row>
    <row r="30" spans="2:3" x14ac:dyDescent="0.25">
      <c r="B30" t="s">
        <v>1299</v>
      </c>
      <c r="C30" t="s">
        <v>25</v>
      </c>
    </row>
    <row r="31" spans="2:3" x14ac:dyDescent="0.25">
      <c r="B31" t="s">
        <v>340</v>
      </c>
      <c r="C31" t="s">
        <v>25</v>
      </c>
    </row>
    <row r="32" spans="2:3" x14ac:dyDescent="0.25">
      <c r="B32" t="s">
        <v>425</v>
      </c>
      <c r="C32" t="s">
        <v>25</v>
      </c>
    </row>
    <row r="33" spans="2:3" x14ac:dyDescent="0.25">
      <c r="B33" t="s">
        <v>1293</v>
      </c>
      <c r="C33" t="s">
        <v>25</v>
      </c>
    </row>
    <row r="34" spans="2:3" x14ac:dyDescent="0.25">
      <c r="B34" t="s">
        <v>1303</v>
      </c>
      <c r="C34" t="s">
        <v>25</v>
      </c>
    </row>
    <row r="35" spans="2:3" x14ac:dyDescent="0.25">
      <c r="B35" t="s">
        <v>1145</v>
      </c>
      <c r="C35" t="s">
        <v>25</v>
      </c>
    </row>
    <row r="36" spans="2:3" x14ac:dyDescent="0.25">
      <c r="B36" t="s">
        <v>665</v>
      </c>
      <c r="C36" t="s">
        <v>25</v>
      </c>
    </row>
    <row r="37" spans="2:3" x14ac:dyDescent="0.25">
      <c r="B37" t="s">
        <v>36</v>
      </c>
      <c r="C37" t="s">
        <v>25</v>
      </c>
    </row>
    <row r="38" spans="2:3" x14ac:dyDescent="0.25">
      <c r="B38" t="s">
        <v>1385</v>
      </c>
      <c r="C38" t="s">
        <v>25</v>
      </c>
    </row>
    <row r="39" spans="2:3" x14ac:dyDescent="0.25">
      <c r="B39" t="s">
        <v>208</v>
      </c>
      <c r="C39" t="s">
        <v>25</v>
      </c>
    </row>
    <row r="40" spans="2:3" x14ac:dyDescent="0.25">
      <c r="B40" t="s">
        <v>675</v>
      </c>
      <c r="C40" t="s">
        <v>25</v>
      </c>
    </row>
    <row r="41" spans="2:3" x14ac:dyDescent="0.25">
      <c r="B41" t="s">
        <v>922</v>
      </c>
      <c r="C41" t="s">
        <v>25</v>
      </c>
    </row>
    <row r="42" spans="2:3" x14ac:dyDescent="0.25">
      <c r="B42" t="s">
        <v>1076</v>
      </c>
      <c r="C42" t="s">
        <v>25</v>
      </c>
    </row>
    <row r="43" spans="2:3" x14ac:dyDescent="0.25">
      <c r="B43" t="s">
        <v>850</v>
      </c>
      <c r="C43" t="s">
        <v>25</v>
      </c>
    </row>
    <row r="44" spans="2:3" x14ac:dyDescent="0.25">
      <c r="B44" t="s">
        <v>1356</v>
      </c>
      <c r="C44" t="s">
        <v>25</v>
      </c>
    </row>
    <row r="45" spans="2:3" x14ac:dyDescent="0.25">
      <c r="B45" t="s">
        <v>631</v>
      </c>
      <c r="C45" t="s">
        <v>25</v>
      </c>
    </row>
    <row r="46" spans="2:3" x14ac:dyDescent="0.25">
      <c r="B46" t="s">
        <v>1028</v>
      </c>
      <c r="C46" t="s">
        <v>25</v>
      </c>
    </row>
    <row r="47" spans="2:3" x14ac:dyDescent="0.25">
      <c r="B47" t="s">
        <v>1166</v>
      </c>
      <c r="C47" t="s">
        <v>25</v>
      </c>
    </row>
    <row r="48" spans="2:3" x14ac:dyDescent="0.25">
      <c r="B48" t="s">
        <v>507</v>
      </c>
      <c r="C48" t="s">
        <v>25</v>
      </c>
    </row>
    <row r="49" spans="2:3" x14ac:dyDescent="0.25">
      <c r="B49" t="s">
        <v>1055</v>
      </c>
      <c r="C49" t="s">
        <v>25</v>
      </c>
    </row>
    <row r="50" spans="2:3" x14ac:dyDescent="0.25">
      <c r="B50" t="s">
        <v>204</v>
      </c>
      <c r="C50" t="s">
        <v>25</v>
      </c>
    </row>
    <row r="51" spans="2:3" x14ac:dyDescent="0.25">
      <c r="B51" t="s">
        <v>344</v>
      </c>
      <c r="C51" t="s">
        <v>25</v>
      </c>
    </row>
    <row r="52" spans="2:3" x14ac:dyDescent="0.25">
      <c r="B52" t="s">
        <v>1367</v>
      </c>
      <c r="C52" t="s">
        <v>195</v>
      </c>
    </row>
    <row r="53" spans="2:3" x14ac:dyDescent="0.25">
      <c r="B53" t="s">
        <v>492</v>
      </c>
      <c r="C53" t="s">
        <v>195</v>
      </c>
    </row>
    <row r="54" spans="2:3" x14ac:dyDescent="0.25">
      <c r="B54" t="s">
        <v>229</v>
      </c>
      <c r="C54" t="s">
        <v>195</v>
      </c>
    </row>
    <row r="55" spans="2:3" x14ac:dyDescent="0.25">
      <c r="B55" t="s">
        <v>846</v>
      </c>
      <c r="C55" t="s">
        <v>195</v>
      </c>
    </row>
    <row r="56" spans="2:3" x14ac:dyDescent="0.25">
      <c r="B56" t="s">
        <v>873</v>
      </c>
      <c r="C56" t="s">
        <v>195</v>
      </c>
    </row>
    <row r="57" spans="2:3" x14ac:dyDescent="0.25">
      <c r="B57" t="s">
        <v>738</v>
      </c>
      <c r="C57" t="s">
        <v>195</v>
      </c>
    </row>
    <row r="58" spans="2:3" x14ac:dyDescent="0.25">
      <c r="B58" t="s">
        <v>221</v>
      </c>
      <c r="C58" t="s">
        <v>195</v>
      </c>
    </row>
    <row r="59" spans="2:3" x14ac:dyDescent="0.25">
      <c r="B59" t="s">
        <v>1336</v>
      </c>
      <c r="C59" t="s">
        <v>195</v>
      </c>
    </row>
    <row r="60" spans="2:3" x14ac:dyDescent="0.25">
      <c r="B60" t="s">
        <v>940</v>
      </c>
      <c r="C60" t="s">
        <v>195</v>
      </c>
    </row>
    <row r="61" spans="2:3" x14ac:dyDescent="0.25">
      <c r="B61" t="s">
        <v>335</v>
      </c>
      <c r="C61" t="s">
        <v>195</v>
      </c>
    </row>
    <row r="62" spans="2:3" x14ac:dyDescent="0.25">
      <c r="B62" t="s">
        <v>194</v>
      </c>
      <c r="C62" t="s">
        <v>195</v>
      </c>
    </row>
    <row r="63" spans="2:3" x14ac:dyDescent="0.25">
      <c r="B63" t="s">
        <v>397</v>
      </c>
      <c r="C63" t="s">
        <v>195</v>
      </c>
    </row>
    <row r="64" spans="2:3" x14ac:dyDescent="0.25">
      <c r="B64" t="s">
        <v>889</v>
      </c>
      <c r="C64" t="s">
        <v>30</v>
      </c>
    </row>
    <row r="65" spans="2:3" x14ac:dyDescent="0.25">
      <c r="B65" t="s">
        <v>942</v>
      </c>
      <c r="C65" t="s">
        <v>30</v>
      </c>
    </row>
    <row r="66" spans="2:3" x14ac:dyDescent="0.25">
      <c r="B66" t="s">
        <v>105</v>
      </c>
      <c r="C66" t="s">
        <v>30</v>
      </c>
    </row>
    <row r="67" spans="2:3" x14ac:dyDescent="0.25">
      <c r="B67" t="s">
        <v>774</v>
      </c>
      <c r="C67" t="s">
        <v>30</v>
      </c>
    </row>
    <row r="68" spans="2:3" x14ac:dyDescent="0.25">
      <c r="B68" t="s">
        <v>1136</v>
      </c>
      <c r="C68" t="s">
        <v>30</v>
      </c>
    </row>
    <row r="69" spans="2:3" x14ac:dyDescent="0.25">
      <c r="B69" t="s">
        <v>442</v>
      </c>
      <c r="C69" t="s">
        <v>30</v>
      </c>
    </row>
    <row r="70" spans="2:3" x14ac:dyDescent="0.25">
      <c r="B70" t="s">
        <v>912</v>
      </c>
      <c r="C70" t="s">
        <v>30</v>
      </c>
    </row>
    <row r="71" spans="2:3" x14ac:dyDescent="0.25">
      <c r="B71" t="s">
        <v>172</v>
      </c>
      <c r="C71" t="s">
        <v>30</v>
      </c>
    </row>
    <row r="72" spans="2:3" x14ac:dyDescent="0.25">
      <c r="B72" t="s">
        <v>1231</v>
      </c>
      <c r="C72" t="s">
        <v>30</v>
      </c>
    </row>
    <row r="73" spans="2:3" x14ac:dyDescent="0.25">
      <c r="B73" t="s">
        <v>45</v>
      </c>
      <c r="C73" t="s">
        <v>30</v>
      </c>
    </row>
    <row r="74" spans="2:3" x14ac:dyDescent="0.25">
      <c r="B74" t="s">
        <v>1422</v>
      </c>
      <c r="C74" t="s">
        <v>30</v>
      </c>
    </row>
    <row r="75" spans="2:3" x14ac:dyDescent="0.25">
      <c r="B75" t="s">
        <v>29</v>
      </c>
      <c r="C75" t="s">
        <v>30</v>
      </c>
    </row>
    <row r="76" spans="2:3" x14ac:dyDescent="0.25">
      <c r="B76" t="s">
        <v>1082</v>
      </c>
      <c r="C76" t="s">
        <v>30</v>
      </c>
    </row>
    <row r="77" spans="2:3" x14ac:dyDescent="0.25">
      <c r="B77" t="s">
        <v>1119</v>
      </c>
      <c r="C77" t="s">
        <v>30</v>
      </c>
    </row>
    <row r="78" spans="2:3" x14ac:dyDescent="0.25">
      <c r="B78" t="s">
        <v>362</v>
      </c>
      <c r="C78" t="s">
        <v>30</v>
      </c>
    </row>
    <row r="79" spans="2:3" x14ac:dyDescent="0.25">
      <c r="B79" t="s">
        <v>180</v>
      </c>
      <c r="C79" t="s">
        <v>30</v>
      </c>
    </row>
    <row r="80" spans="2:3" x14ac:dyDescent="0.25">
      <c r="B80" t="s">
        <v>780</v>
      </c>
      <c r="C80" t="s">
        <v>30</v>
      </c>
    </row>
    <row r="81" spans="2:3" x14ac:dyDescent="0.25">
      <c r="B81" t="s">
        <v>43</v>
      </c>
      <c r="C81" t="s">
        <v>30</v>
      </c>
    </row>
    <row r="82" spans="2:3" x14ac:dyDescent="0.25">
      <c r="B82" t="s">
        <v>1295</v>
      </c>
      <c r="C82" t="s">
        <v>30</v>
      </c>
    </row>
    <row r="83" spans="2:3" x14ac:dyDescent="0.25">
      <c r="B83" t="s">
        <v>166</v>
      </c>
      <c r="C83" t="s">
        <v>30</v>
      </c>
    </row>
    <row r="84" spans="2:3" x14ac:dyDescent="0.25">
      <c r="B84" t="s">
        <v>875</v>
      </c>
      <c r="C84" t="s">
        <v>30</v>
      </c>
    </row>
    <row r="85" spans="2:3" x14ac:dyDescent="0.25">
      <c r="B85" t="s">
        <v>589</v>
      </c>
      <c r="C85" t="s">
        <v>30</v>
      </c>
    </row>
    <row r="86" spans="2:3" x14ac:dyDescent="0.25">
      <c r="B86" t="s">
        <v>107</v>
      </c>
      <c r="C86" t="s">
        <v>30</v>
      </c>
    </row>
    <row r="87" spans="2:3" x14ac:dyDescent="0.25">
      <c r="B87" t="s">
        <v>567</v>
      </c>
      <c r="C87" t="s">
        <v>30</v>
      </c>
    </row>
    <row r="88" spans="2:3" x14ac:dyDescent="0.25">
      <c r="B88" t="s">
        <v>584</v>
      </c>
      <c r="C88" t="s">
        <v>30</v>
      </c>
    </row>
    <row r="89" spans="2:3" x14ac:dyDescent="0.25">
      <c r="B89" t="s">
        <v>806</v>
      </c>
      <c r="C89" t="s">
        <v>30</v>
      </c>
    </row>
    <row r="90" spans="2:3" x14ac:dyDescent="0.25">
      <c r="B90" t="s">
        <v>748</v>
      </c>
      <c r="C90" t="s">
        <v>30</v>
      </c>
    </row>
    <row r="91" spans="2:3" x14ac:dyDescent="0.25">
      <c r="B91" t="s">
        <v>299</v>
      </c>
      <c r="C91" t="s">
        <v>30</v>
      </c>
    </row>
    <row r="92" spans="2:3" x14ac:dyDescent="0.25">
      <c r="B92" t="s">
        <v>446</v>
      </c>
      <c r="C92" t="s">
        <v>30</v>
      </c>
    </row>
    <row r="93" spans="2:3" x14ac:dyDescent="0.25">
      <c r="B93" t="s">
        <v>980</v>
      </c>
      <c r="C93" t="s">
        <v>30</v>
      </c>
    </row>
    <row r="94" spans="2:3" x14ac:dyDescent="0.25">
      <c r="B94" t="s">
        <v>574</v>
      </c>
      <c r="C94" t="s">
        <v>30</v>
      </c>
    </row>
    <row r="95" spans="2:3" x14ac:dyDescent="0.25">
      <c r="B95" t="s">
        <v>511</v>
      </c>
      <c r="C95" t="s">
        <v>30</v>
      </c>
    </row>
    <row r="96" spans="2:3" x14ac:dyDescent="0.25">
      <c r="B96" t="s">
        <v>1316</v>
      </c>
      <c r="C96" t="s">
        <v>33</v>
      </c>
    </row>
    <row r="97" spans="2:3" x14ac:dyDescent="0.25">
      <c r="B97" t="s">
        <v>321</v>
      </c>
      <c r="C97" t="s">
        <v>33</v>
      </c>
    </row>
    <row r="98" spans="2:3" x14ac:dyDescent="0.25">
      <c r="B98" t="s">
        <v>99</v>
      </c>
      <c r="C98" t="s">
        <v>33</v>
      </c>
    </row>
    <row r="99" spans="2:3" x14ac:dyDescent="0.25">
      <c r="B99" t="s">
        <v>970</v>
      </c>
      <c r="C99" t="s">
        <v>33</v>
      </c>
    </row>
    <row r="100" spans="2:3" x14ac:dyDescent="0.25">
      <c r="B100" t="s">
        <v>65</v>
      </c>
      <c r="C100" t="s">
        <v>33</v>
      </c>
    </row>
    <row r="101" spans="2:3" x14ac:dyDescent="0.25">
      <c r="B101" t="s">
        <v>788</v>
      </c>
      <c r="C101" t="s">
        <v>33</v>
      </c>
    </row>
    <row r="102" spans="2:3" x14ac:dyDescent="0.25">
      <c r="B102" t="s">
        <v>178</v>
      </c>
      <c r="C102" t="s">
        <v>33</v>
      </c>
    </row>
    <row r="103" spans="2:3" x14ac:dyDescent="0.25">
      <c r="B103" t="s">
        <v>543</v>
      </c>
      <c r="C103" t="s">
        <v>33</v>
      </c>
    </row>
    <row r="104" spans="2:3" x14ac:dyDescent="0.25">
      <c r="B104" t="s">
        <v>920</v>
      </c>
      <c r="C104" t="s">
        <v>33</v>
      </c>
    </row>
    <row r="105" spans="2:3" x14ac:dyDescent="0.25">
      <c r="B105" t="s">
        <v>538</v>
      </c>
      <c r="C105" t="s">
        <v>33</v>
      </c>
    </row>
    <row r="106" spans="2:3" x14ac:dyDescent="0.25">
      <c r="B106" t="s">
        <v>476</v>
      </c>
      <c r="C106" t="s">
        <v>33</v>
      </c>
    </row>
    <row r="107" spans="2:3" x14ac:dyDescent="0.25">
      <c r="B107" t="s">
        <v>382</v>
      </c>
      <c r="C107" t="s">
        <v>33</v>
      </c>
    </row>
    <row r="108" spans="2:3" x14ac:dyDescent="0.25">
      <c r="B108" t="s">
        <v>1420</v>
      </c>
      <c r="C108" t="s">
        <v>33</v>
      </c>
    </row>
    <row r="109" spans="2:3" x14ac:dyDescent="0.25">
      <c r="B109" t="s">
        <v>1404</v>
      </c>
      <c r="C109" t="s">
        <v>33</v>
      </c>
    </row>
    <row r="110" spans="2:3" x14ac:dyDescent="0.25">
      <c r="B110" t="s">
        <v>1416</v>
      </c>
      <c r="C110" t="s">
        <v>33</v>
      </c>
    </row>
    <row r="111" spans="2:3" x14ac:dyDescent="0.25">
      <c r="B111" t="s">
        <v>736</v>
      </c>
      <c r="C111" t="s">
        <v>33</v>
      </c>
    </row>
    <row r="112" spans="2:3" x14ac:dyDescent="0.25">
      <c r="B112" t="s">
        <v>957</v>
      </c>
      <c r="C112" t="s">
        <v>33</v>
      </c>
    </row>
    <row r="113" spans="2:3" x14ac:dyDescent="0.25">
      <c r="B113" t="s">
        <v>999</v>
      </c>
      <c r="C113" t="s">
        <v>33</v>
      </c>
    </row>
    <row r="114" spans="2:3" x14ac:dyDescent="0.25">
      <c r="B114" t="s">
        <v>1127</v>
      </c>
      <c r="C114" t="s">
        <v>33</v>
      </c>
    </row>
    <row r="115" spans="2:3" x14ac:dyDescent="0.25">
      <c r="B115" t="s">
        <v>186</v>
      </c>
      <c r="C115" t="s">
        <v>33</v>
      </c>
    </row>
    <row r="116" spans="2:3" x14ac:dyDescent="0.25">
      <c r="B116" t="s">
        <v>59</v>
      </c>
      <c r="C116" t="s">
        <v>33</v>
      </c>
    </row>
    <row r="117" spans="2:3" x14ac:dyDescent="0.25">
      <c r="B117" t="s">
        <v>810</v>
      </c>
      <c r="C117" t="s">
        <v>33</v>
      </c>
    </row>
    <row r="118" spans="2:3" x14ac:dyDescent="0.25">
      <c r="B118" t="s">
        <v>720</v>
      </c>
      <c r="C118" t="s">
        <v>33</v>
      </c>
    </row>
    <row r="119" spans="2:3" x14ac:dyDescent="0.25">
      <c r="B119" t="s">
        <v>78</v>
      </c>
      <c r="C119" t="s">
        <v>33</v>
      </c>
    </row>
    <row r="120" spans="2:3" x14ac:dyDescent="0.25">
      <c r="B120" t="s">
        <v>32</v>
      </c>
      <c r="C120" t="s">
        <v>33</v>
      </c>
    </row>
    <row r="121" spans="2:3" x14ac:dyDescent="0.25">
      <c r="B121" t="s">
        <v>126</v>
      </c>
      <c r="C121" t="s">
        <v>33</v>
      </c>
    </row>
    <row r="122" spans="2:3" x14ac:dyDescent="0.25">
      <c r="B122" t="s">
        <v>790</v>
      </c>
      <c r="C122" t="s">
        <v>33</v>
      </c>
    </row>
    <row r="123" spans="2:3" x14ac:dyDescent="0.25">
      <c r="B123" t="s">
        <v>1426</v>
      </c>
      <c r="C123" t="s">
        <v>33</v>
      </c>
    </row>
    <row r="124" spans="2:3" x14ac:dyDescent="0.25">
      <c r="B124" t="s">
        <v>38</v>
      </c>
      <c r="C124" t="s">
        <v>33</v>
      </c>
    </row>
    <row r="125" spans="2:3" x14ac:dyDescent="0.25">
      <c r="B125" t="s">
        <v>353</v>
      </c>
      <c r="C125" t="s">
        <v>33</v>
      </c>
    </row>
    <row r="126" spans="2:3" x14ac:dyDescent="0.25">
      <c r="B126" t="s">
        <v>1040</v>
      </c>
      <c r="C126" t="s">
        <v>33</v>
      </c>
    </row>
    <row r="127" spans="2:3" x14ac:dyDescent="0.25">
      <c r="B127" t="s">
        <v>301</v>
      </c>
      <c r="C127" t="s">
        <v>33</v>
      </c>
    </row>
    <row r="128" spans="2:3" x14ac:dyDescent="0.25">
      <c r="B128" t="s">
        <v>466</v>
      </c>
      <c r="C128" t="s">
        <v>33</v>
      </c>
    </row>
    <row r="129" spans="2:3" x14ac:dyDescent="0.25">
      <c r="B129" t="s">
        <v>621</v>
      </c>
      <c r="C129" t="s">
        <v>33</v>
      </c>
    </row>
    <row r="130" spans="2:3" x14ac:dyDescent="0.25">
      <c r="B130" t="s">
        <v>1010</v>
      </c>
      <c r="C130" t="s">
        <v>33</v>
      </c>
    </row>
    <row r="131" spans="2:3" x14ac:dyDescent="0.25">
      <c r="B131" t="s">
        <v>268</v>
      </c>
      <c r="C131" t="s">
        <v>33</v>
      </c>
    </row>
    <row r="132" spans="2:3" x14ac:dyDescent="0.25">
      <c r="B132" t="s">
        <v>936</v>
      </c>
      <c r="C132" t="s">
        <v>33</v>
      </c>
    </row>
    <row r="133" spans="2:3" x14ac:dyDescent="0.25">
      <c r="B133" t="s">
        <v>1412</v>
      </c>
      <c r="C133" t="s">
        <v>33</v>
      </c>
    </row>
    <row r="134" spans="2:3" x14ac:dyDescent="0.25">
      <c r="B134" t="s">
        <v>488</v>
      </c>
      <c r="C134" t="s">
        <v>33</v>
      </c>
    </row>
    <row r="135" spans="2:3" x14ac:dyDescent="0.25">
      <c r="B135" t="s">
        <v>858</v>
      </c>
      <c r="C135" t="s">
        <v>33</v>
      </c>
    </row>
    <row r="136" spans="2:3" x14ac:dyDescent="0.25">
      <c r="B136" t="s">
        <v>525</v>
      </c>
      <c r="C136" t="s">
        <v>33</v>
      </c>
    </row>
    <row r="137" spans="2:3" x14ac:dyDescent="0.25">
      <c r="B137" t="s">
        <v>138</v>
      </c>
      <c r="C137" t="s">
        <v>33</v>
      </c>
    </row>
    <row r="138" spans="2:3" x14ac:dyDescent="0.25">
      <c r="B138" t="s">
        <v>509</v>
      </c>
      <c r="C138" t="s">
        <v>33</v>
      </c>
    </row>
    <row r="139" spans="2:3" x14ac:dyDescent="0.25">
      <c r="B139" t="s">
        <v>386</v>
      </c>
      <c r="C139" t="s">
        <v>33</v>
      </c>
    </row>
    <row r="140" spans="2:3" x14ac:dyDescent="0.25">
      <c r="B140" t="s">
        <v>1162</v>
      </c>
      <c r="C140" t="s">
        <v>33</v>
      </c>
    </row>
    <row r="141" spans="2:3" x14ac:dyDescent="0.25">
      <c r="B141" t="s">
        <v>1349</v>
      </c>
      <c r="C141" t="s">
        <v>33</v>
      </c>
    </row>
    <row r="142" spans="2:3" x14ac:dyDescent="0.25">
      <c r="B142" t="s">
        <v>699</v>
      </c>
      <c r="C142" t="s">
        <v>33</v>
      </c>
    </row>
    <row r="143" spans="2:3" x14ac:dyDescent="0.25">
      <c r="B143" t="s">
        <v>498</v>
      </c>
      <c r="C143" t="s">
        <v>33</v>
      </c>
    </row>
    <row r="144" spans="2:3" x14ac:dyDescent="0.25">
      <c r="B144" t="s">
        <v>1051</v>
      </c>
      <c r="C144" t="s">
        <v>33</v>
      </c>
    </row>
    <row r="145" spans="2:3" x14ac:dyDescent="0.25">
      <c r="B145" t="s">
        <v>278</v>
      </c>
      <c r="C145" t="s">
        <v>33</v>
      </c>
    </row>
    <row r="146" spans="2:3" x14ac:dyDescent="0.25">
      <c r="B146" t="s">
        <v>1309</v>
      </c>
      <c r="C146" t="s">
        <v>33</v>
      </c>
    </row>
    <row r="147" spans="2:3" x14ac:dyDescent="0.25">
      <c r="B147" t="s">
        <v>421</v>
      </c>
      <c r="C147" t="s">
        <v>33</v>
      </c>
    </row>
    <row r="148" spans="2:3" x14ac:dyDescent="0.25">
      <c r="B148" t="s">
        <v>390</v>
      </c>
      <c r="C148" t="s">
        <v>33</v>
      </c>
    </row>
    <row r="149" spans="2:3" x14ac:dyDescent="0.25">
      <c r="B149" t="s">
        <v>1396</v>
      </c>
      <c r="C149" t="s">
        <v>33</v>
      </c>
    </row>
    <row r="150" spans="2:3" x14ac:dyDescent="0.25">
      <c r="B150" t="s">
        <v>527</v>
      </c>
      <c r="C150" t="s">
        <v>33</v>
      </c>
    </row>
    <row r="151" spans="2:3" x14ac:dyDescent="0.25">
      <c r="B151" t="s">
        <v>728</v>
      </c>
      <c r="C151" t="s">
        <v>33</v>
      </c>
    </row>
    <row r="152" spans="2:3" x14ac:dyDescent="0.25">
      <c r="B152" t="s">
        <v>359</v>
      </c>
      <c r="C152" t="s">
        <v>33</v>
      </c>
    </row>
    <row r="153" spans="2:3" x14ac:dyDescent="0.25">
      <c r="B153" t="s">
        <v>286</v>
      </c>
      <c r="C153" t="s">
        <v>33</v>
      </c>
    </row>
    <row r="154" spans="2:3" x14ac:dyDescent="0.25">
      <c r="B154" t="s">
        <v>1095</v>
      </c>
      <c r="C154" t="s">
        <v>33</v>
      </c>
    </row>
    <row r="155" spans="2:3" x14ac:dyDescent="0.25">
      <c r="B155" t="s">
        <v>840</v>
      </c>
      <c r="C155" t="s">
        <v>33</v>
      </c>
    </row>
    <row r="156" spans="2:3" x14ac:dyDescent="0.25">
      <c r="B156" t="s">
        <v>518</v>
      </c>
      <c r="C156" t="s">
        <v>33</v>
      </c>
    </row>
    <row r="157" spans="2:3" x14ac:dyDescent="0.25">
      <c r="B157" t="s">
        <v>746</v>
      </c>
      <c r="C157" t="s">
        <v>33</v>
      </c>
    </row>
    <row r="158" spans="2:3" x14ac:dyDescent="0.25">
      <c r="B158" t="s">
        <v>280</v>
      </c>
      <c r="C158" t="s">
        <v>33</v>
      </c>
    </row>
    <row r="159" spans="2:3" x14ac:dyDescent="0.25">
      <c r="B159" t="s">
        <v>401</v>
      </c>
      <c r="C159" t="s">
        <v>33</v>
      </c>
    </row>
    <row r="160" spans="2:3" x14ac:dyDescent="0.25">
      <c r="B160" t="s">
        <v>800</v>
      </c>
      <c r="C160" t="s">
        <v>33</v>
      </c>
    </row>
    <row r="161" spans="2:3" x14ac:dyDescent="0.25">
      <c r="B161" t="s">
        <v>804</v>
      </c>
      <c r="C161" t="s">
        <v>33</v>
      </c>
    </row>
    <row r="162" spans="2:3" x14ac:dyDescent="0.25">
      <c r="B162" t="s">
        <v>826</v>
      </c>
      <c r="C162" t="s">
        <v>33</v>
      </c>
    </row>
    <row r="163" spans="2:3" x14ac:dyDescent="0.25">
      <c r="B163" t="s">
        <v>601</v>
      </c>
      <c r="C163" t="s">
        <v>33</v>
      </c>
    </row>
    <row r="164" spans="2:3" x14ac:dyDescent="0.25">
      <c r="B164" t="s">
        <v>1199</v>
      </c>
      <c r="C164" t="s">
        <v>33</v>
      </c>
    </row>
    <row r="165" spans="2:3" x14ac:dyDescent="0.25">
      <c r="B165" t="s">
        <v>639</v>
      </c>
      <c r="C165" t="s">
        <v>33</v>
      </c>
    </row>
    <row r="166" spans="2:3" x14ac:dyDescent="0.25">
      <c r="B166" t="s">
        <v>5</v>
      </c>
      <c r="C166" t="s">
        <v>33</v>
      </c>
    </row>
    <row r="167" spans="2:3" x14ac:dyDescent="0.25">
      <c r="B167" t="s">
        <v>1078</v>
      </c>
      <c r="C167" t="s">
        <v>33</v>
      </c>
    </row>
    <row r="168" spans="2:3" x14ac:dyDescent="0.25">
      <c r="B168" t="s">
        <v>148</v>
      </c>
      <c r="C168" t="s">
        <v>33</v>
      </c>
    </row>
    <row r="169" spans="2:3" x14ac:dyDescent="0.25">
      <c r="B169" t="s">
        <v>629</v>
      </c>
      <c r="C169" t="s">
        <v>33</v>
      </c>
    </row>
    <row r="170" spans="2:3" x14ac:dyDescent="0.25">
      <c r="B170" t="s">
        <v>103</v>
      </c>
      <c r="C170" t="s">
        <v>33</v>
      </c>
    </row>
    <row r="171" spans="2:3" x14ac:dyDescent="0.25">
      <c r="B171" t="s">
        <v>369</v>
      </c>
      <c r="C171" t="s">
        <v>33</v>
      </c>
    </row>
    <row r="172" spans="2:3" x14ac:dyDescent="0.25">
      <c r="B172" t="s">
        <v>982</v>
      </c>
      <c r="C172" t="s">
        <v>33</v>
      </c>
    </row>
    <row r="173" spans="2:3" x14ac:dyDescent="0.25">
      <c r="B173" t="s">
        <v>569</v>
      </c>
      <c r="C173" t="s">
        <v>33</v>
      </c>
    </row>
    <row r="174" spans="2:3" x14ac:dyDescent="0.25">
      <c r="B174" t="s">
        <v>821</v>
      </c>
      <c r="C174" t="s">
        <v>33</v>
      </c>
    </row>
    <row r="175" spans="2:3" x14ac:dyDescent="0.25">
      <c r="B175" t="s">
        <v>315</v>
      </c>
      <c r="C175" t="s">
        <v>33</v>
      </c>
    </row>
    <row r="176" spans="2:3" x14ac:dyDescent="0.25">
      <c r="B176" t="s">
        <v>211</v>
      </c>
      <c r="C176" t="s">
        <v>33</v>
      </c>
    </row>
    <row r="177" spans="2:3" x14ac:dyDescent="0.25">
      <c r="B177" t="s">
        <v>317</v>
      </c>
      <c r="C177" t="s">
        <v>33</v>
      </c>
    </row>
    <row r="178" spans="2:3" x14ac:dyDescent="0.25">
      <c r="B178" t="s">
        <v>1068</v>
      </c>
      <c r="C178" t="s">
        <v>33</v>
      </c>
    </row>
    <row r="179" spans="2:3" x14ac:dyDescent="0.25">
      <c r="B179" t="s">
        <v>243</v>
      </c>
      <c r="C179" t="s">
        <v>33</v>
      </c>
    </row>
    <row r="180" spans="2:3" x14ac:dyDescent="0.25">
      <c r="B180" t="s">
        <v>1184</v>
      </c>
      <c r="C180" t="s">
        <v>33</v>
      </c>
    </row>
    <row r="181" spans="2:3" x14ac:dyDescent="0.25">
      <c r="B181" t="s">
        <v>1061</v>
      </c>
      <c r="C181" t="s">
        <v>33</v>
      </c>
    </row>
    <row r="182" spans="2:3" x14ac:dyDescent="0.25">
      <c r="B182" t="s">
        <v>1131</v>
      </c>
      <c r="C182" t="s">
        <v>33</v>
      </c>
    </row>
    <row r="183" spans="2:3" x14ac:dyDescent="0.25">
      <c r="B183" t="s">
        <v>1280</v>
      </c>
      <c r="C183" t="s">
        <v>33</v>
      </c>
    </row>
    <row r="184" spans="2:3" x14ac:dyDescent="0.25">
      <c r="B184" t="s">
        <v>1410</v>
      </c>
      <c r="C184" t="s">
        <v>33</v>
      </c>
    </row>
    <row r="185" spans="2:3" x14ac:dyDescent="0.25">
      <c r="B185" t="s">
        <v>1289</v>
      </c>
      <c r="C185" t="s">
        <v>33</v>
      </c>
    </row>
    <row r="186" spans="2:3" x14ac:dyDescent="0.25">
      <c r="B186" t="s">
        <v>1018</v>
      </c>
      <c r="C186" t="s">
        <v>33</v>
      </c>
    </row>
    <row r="187" spans="2:3" x14ac:dyDescent="0.25">
      <c r="B187" t="s">
        <v>170</v>
      </c>
      <c r="C187" t="s">
        <v>33</v>
      </c>
    </row>
    <row r="188" spans="2:3" x14ac:dyDescent="0.25">
      <c r="B188" t="s">
        <v>1301</v>
      </c>
      <c r="C188" t="s">
        <v>33</v>
      </c>
    </row>
    <row r="189" spans="2:3" x14ac:dyDescent="0.25">
      <c r="B189" t="s">
        <v>1252</v>
      </c>
      <c r="C189" t="s">
        <v>33</v>
      </c>
    </row>
    <row r="190" spans="2:3" x14ac:dyDescent="0.25">
      <c r="B190" t="s">
        <v>1311</v>
      </c>
      <c r="C190" t="s">
        <v>16</v>
      </c>
    </row>
    <row r="191" spans="2:3" x14ac:dyDescent="0.25">
      <c r="B191" t="s">
        <v>123</v>
      </c>
      <c r="C191" t="s">
        <v>16</v>
      </c>
    </row>
    <row r="192" spans="2:3" x14ac:dyDescent="0.25">
      <c r="B192" t="s">
        <v>1088</v>
      </c>
      <c r="C192" t="s">
        <v>16</v>
      </c>
    </row>
    <row r="193" spans="2:3" x14ac:dyDescent="0.25">
      <c r="B193" t="s">
        <v>1387</v>
      </c>
      <c r="C193" t="s">
        <v>16</v>
      </c>
    </row>
    <row r="194" spans="2:3" x14ac:dyDescent="0.25">
      <c r="B194" t="s">
        <v>1190</v>
      </c>
      <c r="C194" t="s">
        <v>16</v>
      </c>
    </row>
    <row r="195" spans="2:3" x14ac:dyDescent="0.25">
      <c r="B195" t="s">
        <v>1260</v>
      </c>
      <c r="C195" t="s">
        <v>16</v>
      </c>
    </row>
    <row r="196" spans="2:3" x14ac:dyDescent="0.25">
      <c r="B196" t="s">
        <v>311</v>
      </c>
      <c r="C196" t="s">
        <v>16</v>
      </c>
    </row>
    <row r="197" spans="2:3" x14ac:dyDescent="0.25">
      <c r="B197" t="s">
        <v>866</v>
      </c>
      <c r="C197" t="s">
        <v>16</v>
      </c>
    </row>
    <row r="198" spans="2:3" x14ac:dyDescent="0.25">
      <c r="B198" t="s">
        <v>1177</v>
      </c>
      <c r="C198" t="s">
        <v>16</v>
      </c>
    </row>
    <row r="199" spans="2:3" x14ac:dyDescent="0.25">
      <c r="B199" t="s">
        <v>551</v>
      </c>
      <c r="C199" t="s">
        <v>16</v>
      </c>
    </row>
    <row r="200" spans="2:3" x14ac:dyDescent="0.25">
      <c r="B200" t="s">
        <v>15</v>
      </c>
      <c r="C200" t="s">
        <v>16</v>
      </c>
    </row>
    <row r="201" spans="2:3" x14ac:dyDescent="0.25">
      <c r="B201" t="s">
        <v>142</v>
      </c>
      <c r="C201" t="s">
        <v>16</v>
      </c>
    </row>
    <row r="202" spans="2:3" x14ac:dyDescent="0.25">
      <c r="B202" t="s">
        <v>1360</v>
      </c>
      <c r="C202" t="s">
        <v>16</v>
      </c>
    </row>
    <row r="203" spans="2:3" x14ac:dyDescent="0.25">
      <c r="B203" t="s">
        <v>132</v>
      </c>
      <c r="C203" t="s">
        <v>16</v>
      </c>
    </row>
    <row r="204" spans="2:3" x14ac:dyDescent="0.25">
      <c r="B204" t="s">
        <v>763</v>
      </c>
      <c r="C204" t="s">
        <v>16</v>
      </c>
    </row>
    <row r="205" spans="2:3" x14ac:dyDescent="0.25">
      <c r="B205" t="s">
        <v>67</v>
      </c>
      <c r="C205" t="s">
        <v>16</v>
      </c>
    </row>
    <row r="206" spans="2:3" x14ac:dyDescent="0.25">
      <c r="B206" t="s">
        <v>252</v>
      </c>
      <c r="C206" t="s">
        <v>16</v>
      </c>
    </row>
    <row r="207" spans="2:3" x14ac:dyDescent="0.25">
      <c r="B207" t="s">
        <v>883</v>
      </c>
      <c r="C207" t="s">
        <v>16</v>
      </c>
    </row>
    <row r="208" spans="2:3" x14ac:dyDescent="0.25">
      <c r="B208" t="s">
        <v>197</v>
      </c>
      <c r="C208" t="s">
        <v>16</v>
      </c>
    </row>
    <row r="209" spans="2:3" x14ac:dyDescent="0.25">
      <c r="B209" t="s">
        <v>290</v>
      </c>
      <c r="C209" t="s">
        <v>16</v>
      </c>
    </row>
    <row r="210" spans="2:3" x14ac:dyDescent="0.25">
      <c r="B210" t="s">
        <v>270</v>
      </c>
      <c r="C210" t="s">
        <v>16</v>
      </c>
    </row>
    <row r="211" spans="2:3" x14ac:dyDescent="0.25">
      <c r="B211" t="s">
        <v>297</v>
      </c>
      <c r="C211" t="s">
        <v>16</v>
      </c>
    </row>
    <row r="212" spans="2:3" x14ac:dyDescent="0.25">
      <c r="B212" t="s">
        <v>991</v>
      </c>
      <c r="C212" t="s">
        <v>16</v>
      </c>
    </row>
    <row r="213" spans="2:3" x14ac:dyDescent="0.25">
      <c r="B213" t="s">
        <v>964</v>
      </c>
      <c r="C213" t="s">
        <v>52</v>
      </c>
    </row>
    <row r="214" spans="2:3" x14ac:dyDescent="0.25">
      <c r="B214" t="s">
        <v>264</v>
      </c>
      <c r="C214" t="s">
        <v>52</v>
      </c>
    </row>
    <row r="215" spans="2:3" x14ac:dyDescent="0.25">
      <c r="B215" t="s">
        <v>910</v>
      </c>
      <c r="C215" t="s">
        <v>52</v>
      </c>
    </row>
    <row r="216" spans="2:3" x14ac:dyDescent="0.25">
      <c r="B216" t="s">
        <v>752</v>
      </c>
      <c r="C216" t="s">
        <v>52</v>
      </c>
    </row>
    <row r="217" spans="2:3" x14ac:dyDescent="0.25">
      <c r="B217" t="s">
        <v>423</v>
      </c>
      <c r="C217" t="s">
        <v>52</v>
      </c>
    </row>
    <row r="218" spans="2:3" x14ac:dyDescent="0.25">
      <c r="B218" t="s">
        <v>686</v>
      </c>
      <c r="C218" t="s">
        <v>52</v>
      </c>
    </row>
    <row r="219" spans="2:3" x14ac:dyDescent="0.25">
      <c r="B219" t="s">
        <v>1099</v>
      </c>
      <c r="C219" t="s">
        <v>52</v>
      </c>
    </row>
    <row r="220" spans="2:3" x14ac:dyDescent="0.25">
      <c r="B220" t="s">
        <v>1239</v>
      </c>
      <c r="C220" t="s">
        <v>52</v>
      </c>
    </row>
    <row r="221" spans="2:3" x14ac:dyDescent="0.25">
      <c r="B221" t="s">
        <v>663</v>
      </c>
      <c r="C221" t="s">
        <v>52</v>
      </c>
    </row>
    <row r="222" spans="2:3" x14ac:dyDescent="0.25">
      <c r="B222" t="s">
        <v>1233</v>
      </c>
      <c r="C222" t="s">
        <v>52</v>
      </c>
    </row>
    <row r="223" spans="2:3" x14ac:dyDescent="0.25">
      <c r="B223" t="s">
        <v>323</v>
      </c>
      <c r="C223" t="s">
        <v>52</v>
      </c>
    </row>
    <row r="224" spans="2:3" x14ac:dyDescent="0.25">
      <c r="B224" t="s">
        <v>1285</v>
      </c>
      <c r="C224" t="s">
        <v>52</v>
      </c>
    </row>
    <row r="225" spans="2:3" x14ac:dyDescent="0.25">
      <c r="B225" t="s">
        <v>1097</v>
      </c>
      <c r="C225" t="s">
        <v>52</v>
      </c>
    </row>
    <row r="226" spans="2:3" x14ac:dyDescent="0.25">
      <c r="B226" t="s">
        <v>848</v>
      </c>
      <c r="C226" t="s">
        <v>52</v>
      </c>
    </row>
    <row r="227" spans="2:3" x14ac:dyDescent="0.25">
      <c r="B227" t="s">
        <v>483</v>
      </c>
      <c r="C227" t="s">
        <v>52</v>
      </c>
    </row>
    <row r="228" spans="2:3" x14ac:dyDescent="0.25">
      <c r="B228" t="s">
        <v>681</v>
      </c>
      <c r="C228" t="s">
        <v>52</v>
      </c>
    </row>
    <row r="229" spans="2:3" x14ac:dyDescent="0.25">
      <c r="B229" t="s">
        <v>376</v>
      </c>
      <c r="C229" t="s">
        <v>52</v>
      </c>
    </row>
    <row r="230" spans="2:3" x14ac:dyDescent="0.25">
      <c r="B230" t="s">
        <v>146</v>
      </c>
      <c r="C230" t="s">
        <v>52</v>
      </c>
    </row>
    <row r="231" spans="2:3" x14ac:dyDescent="0.25">
      <c r="B231" t="s">
        <v>51</v>
      </c>
      <c r="C231" t="s">
        <v>52</v>
      </c>
    </row>
    <row r="232" spans="2:3" x14ac:dyDescent="0.25">
      <c r="B232" t="s">
        <v>200</v>
      </c>
      <c r="C232" t="s">
        <v>52</v>
      </c>
    </row>
    <row r="233" spans="2:3" x14ac:dyDescent="0.25">
      <c r="B233" t="s">
        <v>1045</v>
      </c>
      <c r="C233" t="s">
        <v>52</v>
      </c>
    </row>
    <row r="234" spans="2:3" x14ac:dyDescent="0.25">
      <c r="B234" t="s">
        <v>1400</v>
      </c>
      <c r="C234" t="s">
        <v>52</v>
      </c>
    </row>
    <row r="235" spans="2:3" x14ac:dyDescent="0.25">
      <c r="B235" t="s">
        <v>213</v>
      </c>
      <c r="C235" t="s">
        <v>52</v>
      </c>
    </row>
    <row r="236" spans="2:3" x14ac:dyDescent="0.25">
      <c r="B236" t="s">
        <v>679</v>
      </c>
      <c r="C236" t="s">
        <v>52</v>
      </c>
    </row>
    <row r="237" spans="2:3" x14ac:dyDescent="0.25">
      <c r="B237" t="s">
        <v>1362</v>
      </c>
      <c r="C237" t="s">
        <v>52</v>
      </c>
    </row>
    <row r="238" spans="2:3" x14ac:dyDescent="0.25">
      <c r="B238" t="s">
        <v>645</v>
      </c>
      <c r="C238" t="s">
        <v>52</v>
      </c>
    </row>
    <row r="239" spans="2:3" x14ac:dyDescent="0.25">
      <c r="B239" t="s">
        <v>1192</v>
      </c>
      <c r="C239" t="s">
        <v>52</v>
      </c>
    </row>
    <row r="240" spans="2:3" x14ac:dyDescent="0.25">
      <c r="B240" t="s">
        <v>156</v>
      </c>
      <c r="C240" t="s">
        <v>52</v>
      </c>
    </row>
    <row r="241" spans="2:3" x14ac:dyDescent="0.25">
      <c r="B241" t="s">
        <v>434</v>
      </c>
      <c r="C241" t="s">
        <v>52</v>
      </c>
    </row>
    <row r="242" spans="2:3" x14ac:dyDescent="0.25">
      <c r="B242" t="s">
        <v>111</v>
      </c>
      <c r="C242" t="s">
        <v>52</v>
      </c>
    </row>
    <row r="243" spans="2:3" x14ac:dyDescent="0.25">
      <c r="B243" t="s">
        <v>134</v>
      </c>
      <c r="C243" t="s">
        <v>52</v>
      </c>
    </row>
    <row r="244" spans="2:3" x14ac:dyDescent="0.25">
      <c r="B244" t="s">
        <v>1380</v>
      </c>
      <c r="C244" t="s">
        <v>52</v>
      </c>
    </row>
    <row r="245" spans="2:3" x14ac:dyDescent="0.25">
      <c r="B245" t="s">
        <v>150</v>
      </c>
      <c r="C245" t="s">
        <v>52</v>
      </c>
    </row>
    <row r="246" spans="2:3" x14ac:dyDescent="0.25">
      <c r="B246" t="s">
        <v>572</v>
      </c>
      <c r="C246" t="s">
        <v>52</v>
      </c>
    </row>
    <row r="247" spans="2:3" x14ac:dyDescent="0.25">
      <c r="B247" t="s">
        <v>1398</v>
      </c>
      <c r="C247" t="s">
        <v>52</v>
      </c>
    </row>
    <row r="248" spans="2:3" x14ac:dyDescent="0.25">
      <c r="B248" t="s">
        <v>641</v>
      </c>
      <c r="C248" t="s">
        <v>52</v>
      </c>
    </row>
    <row r="249" spans="2:3" x14ac:dyDescent="0.25">
      <c r="B249" t="s">
        <v>190</v>
      </c>
      <c r="C249" t="s">
        <v>52</v>
      </c>
    </row>
    <row r="250" spans="2:3" x14ac:dyDescent="0.25">
      <c r="B250" t="s">
        <v>415</v>
      </c>
      <c r="C250" t="s">
        <v>52</v>
      </c>
    </row>
    <row r="251" spans="2:3" x14ac:dyDescent="0.25">
      <c r="B251" t="s">
        <v>1245</v>
      </c>
      <c r="C251" t="s">
        <v>52</v>
      </c>
    </row>
    <row r="252" spans="2:3" x14ac:dyDescent="0.25">
      <c r="B252" t="s">
        <v>1340</v>
      </c>
      <c r="C252" t="s">
        <v>52</v>
      </c>
    </row>
    <row r="253" spans="2:3" x14ac:dyDescent="0.25">
      <c r="B253" t="s">
        <v>61</v>
      </c>
      <c r="C253" t="s">
        <v>52</v>
      </c>
    </row>
    <row r="254" spans="2:3" x14ac:dyDescent="0.25">
      <c r="B254" t="s">
        <v>1351</v>
      </c>
      <c r="C254" t="s">
        <v>52</v>
      </c>
    </row>
    <row r="255" spans="2:3" x14ac:dyDescent="0.25">
      <c r="B255" t="s">
        <v>652</v>
      </c>
      <c r="C255" t="s">
        <v>52</v>
      </c>
    </row>
    <row r="256" spans="2:3" x14ac:dyDescent="0.25">
      <c r="B256" t="s">
        <v>1365</v>
      </c>
      <c r="C256" t="s">
        <v>52</v>
      </c>
    </row>
    <row r="257" spans="2:3" x14ac:dyDescent="0.25">
      <c r="B257" t="s">
        <v>464</v>
      </c>
      <c r="C257" t="s">
        <v>57</v>
      </c>
    </row>
    <row r="258" spans="2:3" x14ac:dyDescent="0.25">
      <c r="B258" t="s">
        <v>63</v>
      </c>
      <c r="C258" t="s">
        <v>57</v>
      </c>
    </row>
    <row r="259" spans="2:3" x14ac:dyDescent="0.25">
      <c r="B259" t="s">
        <v>726</v>
      </c>
      <c r="C259" t="s">
        <v>57</v>
      </c>
    </row>
    <row r="260" spans="2:3" x14ac:dyDescent="0.25">
      <c r="B260" t="s">
        <v>417</v>
      </c>
      <c r="C260" t="s">
        <v>57</v>
      </c>
    </row>
    <row r="261" spans="2:3" x14ac:dyDescent="0.25">
      <c r="B261" t="s">
        <v>468</v>
      </c>
      <c r="C261" t="s">
        <v>57</v>
      </c>
    </row>
    <row r="262" spans="2:3" x14ac:dyDescent="0.25">
      <c r="B262" t="s">
        <v>1106</v>
      </c>
      <c r="C262" t="s">
        <v>57</v>
      </c>
    </row>
    <row r="263" spans="2:3" x14ac:dyDescent="0.25">
      <c r="B263" t="s">
        <v>355</v>
      </c>
      <c r="C263" t="s">
        <v>57</v>
      </c>
    </row>
    <row r="264" spans="2:3" x14ac:dyDescent="0.25">
      <c r="B264" t="s">
        <v>1248</v>
      </c>
      <c r="C264" t="s">
        <v>57</v>
      </c>
    </row>
    <row r="265" spans="2:3" x14ac:dyDescent="0.25">
      <c r="B265" t="s">
        <v>972</v>
      </c>
      <c r="C265" t="s">
        <v>57</v>
      </c>
    </row>
    <row r="266" spans="2:3" x14ac:dyDescent="0.25">
      <c r="B266" t="s">
        <v>1195</v>
      </c>
      <c r="C266" t="s">
        <v>57</v>
      </c>
    </row>
    <row r="267" spans="2:3" x14ac:dyDescent="0.25">
      <c r="B267" t="s">
        <v>561</v>
      </c>
      <c r="C267" t="s">
        <v>57</v>
      </c>
    </row>
    <row r="268" spans="2:3" x14ac:dyDescent="0.25">
      <c r="B268" t="s">
        <v>292</v>
      </c>
      <c r="C268" t="s">
        <v>57</v>
      </c>
    </row>
    <row r="269" spans="2:3" x14ac:dyDescent="0.25">
      <c r="B269" t="s">
        <v>503</v>
      </c>
      <c r="C269" t="s">
        <v>57</v>
      </c>
    </row>
    <row r="270" spans="2:3" x14ac:dyDescent="0.25">
      <c r="B270" t="s">
        <v>612</v>
      </c>
      <c r="C270" t="s">
        <v>57</v>
      </c>
    </row>
    <row r="271" spans="2:3" x14ac:dyDescent="0.25">
      <c r="B271" t="s">
        <v>1353</v>
      </c>
      <c r="C271" t="s">
        <v>57</v>
      </c>
    </row>
    <row r="272" spans="2:3" x14ac:dyDescent="0.25">
      <c r="B272" t="s">
        <v>697</v>
      </c>
      <c r="C272" t="s">
        <v>57</v>
      </c>
    </row>
    <row r="273" spans="2:3" x14ac:dyDescent="0.25">
      <c r="B273" t="s">
        <v>1408</v>
      </c>
      <c r="C273" t="s">
        <v>57</v>
      </c>
    </row>
    <row r="274" spans="2:3" x14ac:dyDescent="0.25">
      <c r="B274" t="s">
        <v>661</v>
      </c>
      <c r="C274" t="s">
        <v>57</v>
      </c>
    </row>
    <row r="275" spans="2:3" x14ac:dyDescent="0.25">
      <c r="B275" t="s">
        <v>56</v>
      </c>
      <c r="C275" t="s">
        <v>57</v>
      </c>
    </row>
    <row r="276" spans="2:3" x14ac:dyDescent="0.25">
      <c r="B276" t="s">
        <v>514</v>
      </c>
      <c r="C276" t="s">
        <v>57</v>
      </c>
    </row>
    <row r="277" spans="2:3" x14ac:dyDescent="0.25">
      <c r="B277" t="s">
        <v>672</v>
      </c>
      <c r="C277" t="s">
        <v>57</v>
      </c>
    </row>
    <row r="278" spans="2:3" x14ac:dyDescent="0.25">
      <c r="B278" t="s">
        <v>1006</v>
      </c>
      <c r="C278" t="s">
        <v>57</v>
      </c>
    </row>
    <row r="279" spans="2:3" x14ac:dyDescent="0.25">
      <c r="B279" t="s">
        <v>633</v>
      </c>
      <c r="C279" t="s">
        <v>22</v>
      </c>
    </row>
    <row r="280" spans="2:3" x14ac:dyDescent="0.25">
      <c r="B280" t="s">
        <v>347</v>
      </c>
      <c r="C280" t="s">
        <v>22</v>
      </c>
    </row>
    <row r="281" spans="2:3" x14ac:dyDescent="0.25">
      <c r="B281" t="s">
        <v>649</v>
      </c>
      <c r="C281" t="s">
        <v>22</v>
      </c>
    </row>
    <row r="282" spans="2:3" x14ac:dyDescent="0.25">
      <c r="B282" t="s">
        <v>712</v>
      </c>
      <c r="C282" t="s">
        <v>22</v>
      </c>
    </row>
    <row r="283" spans="2:3" x14ac:dyDescent="0.25">
      <c r="B283" t="s">
        <v>1376</v>
      </c>
      <c r="C283" t="s">
        <v>22</v>
      </c>
    </row>
    <row r="284" spans="2:3" x14ac:dyDescent="0.25">
      <c r="B284" t="s">
        <v>130</v>
      </c>
      <c r="C284" t="s">
        <v>22</v>
      </c>
    </row>
    <row r="285" spans="2:3" x14ac:dyDescent="0.25">
      <c r="B285" t="s">
        <v>657</v>
      </c>
      <c r="C285" t="s">
        <v>22</v>
      </c>
    </row>
    <row r="286" spans="2:3" x14ac:dyDescent="0.25">
      <c r="B286" t="s">
        <v>623</v>
      </c>
      <c r="C286" t="s">
        <v>22</v>
      </c>
    </row>
    <row r="287" spans="2:3" x14ac:dyDescent="0.25">
      <c r="B287" t="s">
        <v>27</v>
      </c>
      <c r="C287" t="s">
        <v>22</v>
      </c>
    </row>
    <row r="288" spans="2:3" x14ac:dyDescent="0.25">
      <c r="B288" t="s">
        <v>599</v>
      </c>
      <c r="C288" t="s">
        <v>22</v>
      </c>
    </row>
    <row r="289" spans="2:3" x14ac:dyDescent="0.25">
      <c r="B289" t="s">
        <v>1153</v>
      </c>
      <c r="C289" t="s">
        <v>22</v>
      </c>
    </row>
    <row r="290" spans="2:3" x14ac:dyDescent="0.25">
      <c r="B290" t="s">
        <v>1333</v>
      </c>
      <c r="C290" t="s">
        <v>22</v>
      </c>
    </row>
    <row r="291" spans="2:3" x14ac:dyDescent="0.25">
      <c r="B291" t="s">
        <v>1418</v>
      </c>
      <c r="C291" t="s">
        <v>22</v>
      </c>
    </row>
    <row r="292" spans="2:3" x14ac:dyDescent="0.25">
      <c r="B292" t="s">
        <v>604</v>
      </c>
      <c r="C292" t="s">
        <v>22</v>
      </c>
    </row>
    <row r="293" spans="2:3" x14ac:dyDescent="0.25">
      <c r="B293" t="s">
        <v>1344</v>
      </c>
      <c r="C293" t="s">
        <v>22</v>
      </c>
    </row>
    <row r="294" spans="2:3" x14ac:dyDescent="0.25">
      <c r="B294" t="s">
        <v>450</v>
      </c>
      <c r="C294" t="s">
        <v>22</v>
      </c>
    </row>
    <row r="295" spans="2:3" x14ac:dyDescent="0.25">
      <c r="B295" t="s">
        <v>887</v>
      </c>
      <c r="C295" t="s">
        <v>22</v>
      </c>
    </row>
    <row r="296" spans="2:3" x14ac:dyDescent="0.25">
      <c r="B296" t="s">
        <v>500</v>
      </c>
      <c r="C296" t="s">
        <v>22</v>
      </c>
    </row>
    <row r="297" spans="2:3" x14ac:dyDescent="0.25">
      <c r="B297" t="s">
        <v>1229</v>
      </c>
      <c r="C297" t="s">
        <v>22</v>
      </c>
    </row>
    <row r="298" spans="2:3" x14ac:dyDescent="0.25">
      <c r="B298" t="s">
        <v>690</v>
      </c>
      <c r="C298" t="s">
        <v>22</v>
      </c>
    </row>
    <row r="299" spans="2:3" x14ac:dyDescent="0.25">
      <c r="B299" t="s">
        <v>722</v>
      </c>
      <c r="C299" t="s">
        <v>22</v>
      </c>
    </row>
    <row r="300" spans="2:3" x14ac:dyDescent="0.25">
      <c r="B300" t="s">
        <v>578</v>
      </c>
      <c r="C300" t="s">
        <v>22</v>
      </c>
    </row>
    <row r="301" spans="2:3" x14ac:dyDescent="0.25">
      <c r="B301" t="s">
        <v>21</v>
      </c>
      <c r="C301" t="s">
        <v>22</v>
      </c>
    </row>
    <row r="302" spans="2:3" x14ac:dyDescent="0.25">
      <c r="B302" t="s">
        <v>1430</v>
      </c>
      <c r="C302" t="s">
        <v>22</v>
      </c>
    </row>
    <row r="303" spans="2:3" x14ac:dyDescent="0.25">
      <c r="B303" t="s">
        <v>307</v>
      </c>
      <c r="C303" t="s">
        <v>22</v>
      </c>
    </row>
    <row r="304" spans="2:3" x14ac:dyDescent="0.25">
      <c r="B304" t="s">
        <v>716</v>
      </c>
      <c r="C304" t="s">
        <v>22</v>
      </c>
    </row>
    <row r="305" spans="2:3" x14ac:dyDescent="0.25">
      <c r="B305" t="s">
        <v>938</v>
      </c>
      <c r="C305" t="s">
        <v>22</v>
      </c>
    </row>
    <row r="306" spans="2:3" x14ac:dyDescent="0.25">
      <c r="B306" t="s">
        <v>1049</v>
      </c>
      <c r="C306" t="s">
        <v>22</v>
      </c>
    </row>
    <row r="307" spans="2:3" x14ac:dyDescent="0.25">
      <c r="B307" t="s">
        <v>1258</v>
      </c>
      <c r="C307" t="s">
        <v>22</v>
      </c>
    </row>
    <row r="308" spans="2:3" x14ac:dyDescent="0.25">
      <c r="B308" t="s">
        <v>82</v>
      </c>
      <c r="C308" t="s">
        <v>22</v>
      </c>
    </row>
    <row r="309" spans="2:3" x14ac:dyDescent="0.25">
      <c r="B309" t="s">
        <v>516</v>
      </c>
      <c r="C309" t="s">
        <v>22</v>
      </c>
    </row>
    <row r="310" spans="2:3" x14ac:dyDescent="0.25">
      <c r="B310" t="s">
        <v>413</v>
      </c>
      <c r="C310" t="s">
        <v>22</v>
      </c>
    </row>
    <row r="311" spans="2:3" x14ac:dyDescent="0.25">
      <c r="B311" t="s">
        <v>1342</v>
      </c>
      <c r="C311" t="s">
        <v>22</v>
      </c>
    </row>
    <row r="312" spans="2:3" x14ac:dyDescent="0.25">
      <c r="B312" t="s">
        <v>625</v>
      </c>
      <c r="C312" t="s">
        <v>22</v>
      </c>
    </row>
    <row r="313" spans="2:3" x14ac:dyDescent="0.25">
      <c r="B313" t="s">
        <v>705</v>
      </c>
      <c r="C313" t="s">
        <v>22</v>
      </c>
    </row>
    <row r="314" spans="2:3" x14ac:dyDescent="0.25">
      <c r="B314" t="s">
        <v>718</v>
      </c>
      <c r="C314" t="s">
        <v>22</v>
      </c>
    </row>
    <row r="315" spans="2:3" x14ac:dyDescent="0.25">
      <c r="B315" t="s">
        <v>54</v>
      </c>
      <c r="C315" t="s">
        <v>22</v>
      </c>
    </row>
    <row r="316" spans="2:3" x14ac:dyDescent="0.25">
      <c r="B316" t="s">
        <v>1256</v>
      </c>
      <c r="C316" t="s">
        <v>22</v>
      </c>
    </row>
    <row r="317" spans="2:3" x14ac:dyDescent="0.25">
      <c r="B317" t="s">
        <v>282</v>
      </c>
      <c r="C317" t="s">
        <v>22</v>
      </c>
    </row>
    <row r="318" spans="2:3" x14ac:dyDescent="0.25">
      <c r="B318" t="s">
        <v>4</v>
      </c>
      <c r="C318" t="s">
        <v>5</v>
      </c>
    </row>
    <row r="319" spans="2:3" x14ac:dyDescent="0.25">
      <c r="B319" t="s">
        <v>239</v>
      </c>
      <c r="C319" t="s">
        <v>5</v>
      </c>
    </row>
    <row r="320" spans="2:3" x14ac:dyDescent="0.25">
      <c r="B320" t="s">
        <v>399</v>
      </c>
      <c r="C320" t="s">
        <v>5</v>
      </c>
    </row>
    <row r="321" spans="2:3" x14ac:dyDescent="0.25">
      <c r="B321" t="s">
        <v>995</v>
      </c>
      <c r="C321" t="s">
        <v>5</v>
      </c>
    </row>
    <row r="322" spans="2:3" x14ac:dyDescent="0.25">
      <c r="B322" t="s">
        <v>1003</v>
      </c>
      <c r="C322" t="s">
        <v>5</v>
      </c>
    </row>
    <row r="323" spans="2:3" x14ac:dyDescent="0.25">
      <c r="B323" t="s">
        <v>950</v>
      </c>
      <c r="C323" t="s">
        <v>5</v>
      </c>
    </row>
    <row r="324" spans="2:3" x14ac:dyDescent="0.25">
      <c r="B324" t="s">
        <v>266</v>
      </c>
      <c r="C324" t="s">
        <v>5</v>
      </c>
    </row>
    <row r="325" spans="2:3" x14ac:dyDescent="0.25">
      <c r="B325" t="s">
        <v>331</v>
      </c>
      <c r="C325" t="s">
        <v>5</v>
      </c>
    </row>
    <row r="326" spans="2:3" x14ac:dyDescent="0.25">
      <c r="B326" t="s">
        <v>1322</v>
      </c>
      <c r="C326" t="s">
        <v>5</v>
      </c>
    </row>
    <row r="327" spans="2:3" x14ac:dyDescent="0.25">
      <c r="B327" t="s">
        <v>531</v>
      </c>
      <c r="C327" t="s">
        <v>5</v>
      </c>
    </row>
    <row r="328" spans="2:3" x14ac:dyDescent="0.25">
      <c r="B328" t="s">
        <v>1164</v>
      </c>
      <c r="C328" t="s">
        <v>5</v>
      </c>
    </row>
    <row r="329" spans="2:3" x14ac:dyDescent="0.25">
      <c r="B329" t="s">
        <v>1008</v>
      </c>
      <c r="C329" t="s">
        <v>5</v>
      </c>
    </row>
    <row r="330" spans="2:3" x14ac:dyDescent="0.25">
      <c r="B330" t="s">
        <v>1030</v>
      </c>
      <c r="C330" t="s">
        <v>5</v>
      </c>
    </row>
    <row r="331" spans="2:3" x14ac:dyDescent="0.25">
      <c r="B331" t="s">
        <v>997</v>
      </c>
      <c r="C331" t="s">
        <v>5</v>
      </c>
    </row>
    <row r="332" spans="2:3" x14ac:dyDescent="0.25">
      <c r="B332" t="s">
        <v>227</v>
      </c>
      <c r="C332" t="s">
        <v>5</v>
      </c>
    </row>
    <row r="333" spans="2:3" x14ac:dyDescent="0.25">
      <c r="B333" t="s">
        <v>84</v>
      </c>
      <c r="C333" t="s">
        <v>5</v>
      </c>
    </row>
    <row r="334" spans="2:3" x14ac:dyDescent="0.25">
      <c r="B334" t="s">
        <v>241</v>
      </c>
      <c r="C334" t="s">
        <v>5</v>
      </c>
    </row>
    <row r="335" spans="2:3" x14ac:dyDescent="0.25">
      <c r="B335" t="s">
        <v>1151</v>
      </c>
      <c r="C335" t="s">
        <v>5</v>
      </c>
    </row>
    <row r="336" spans="2:3" x14ac:dyDescent="0.25">
      <c r="B336" t="s">
        <v>152</v>
      </c>
      <c r="C336" t="s">
        <v>5</v>
      </c>
    </row>
    <row r="337" spans="2:3" x14ac:dyDescent="0.25">
      <c r="B337" t="s">
        <v>479</v>
      </c>
      <c r="C337" t="s">
        <v>5</v>
      </c>
    </row>
    <row r="338" spans="2:3" x14ac:dyDescent="0.25">
      <c r="B338" t="s">
        <v>1001</v>
      </c>
      <c r="C338" t="s">
        <v>5</v>
      </c>
    </row>
    <row r="339" spans="2:3" x14ac:dyDescent="0.25">
      <c r="B339" t="s">
        <v>864</v>
      </c>
      <c r="C339" t="s">
        <v>41</v>
      </c>
    </row>
    <row r="340" spans="2:3" x14ac:dyDescent="0.25">
      <c r="B340" t="s">
        <v>879</v>
      </c>
      <c r="C340" t="s">
        <v>41</v>
      </c>
    </row>
    <row r="341" spans="2:3" x14ac:dyDescent="0.25">
      <c r="B341" t="s">
        <v>948</v>
      </c>
      <c r="C341" t="s">
        <v>41</v>
      </c>
    </row>
    <row r="342" spans="2:3" x14ac:dyDescent="0.25">
      <c r="B342" t="s">
        <v>235</v>
      </c>
      <c r="C342" t="s">
        <v>41</v>
      </c>
    </row>
    <row r="343" spans="2:3" x14ac:dyDescent="0.25">
      <c r="B343" t="s">
        <v>1307</v>
      </c>
      <c r="C343" t="s">
        <v>41</v>
      </c>
    </row>
    <row r="344" spans="2:3" x14ac:dyDescent="0.25">
      <c r="B344" t="s">
        <v>1219</v>
      </c>
      <c r="C344" t="s">
        <v>41</v>
      </c>
    </row>
    <row r="345" spans="2:3" x14ac:dyDescent="0.25">
      <c r="B345" t="s">
        <v>1139</v>
      </c>
      <c r="C345" t="s">
        <v>41</v>
      </c>
    </row>
    <row r="346" spans="2:3" x14ac:dyDescent="0.25">
      <c r="B346" t="s">
        <v>862</v>
      </c>
      <c r="C346" t="s">
        <v>41</v>
      </c>
    </row>
    <row r="347" spans="2:3" x14ac:dyDescent="0.25">
      <c r="B347" t="s">
        <v>1170</v>
      </c>
      <c r="C347" t="s">
        <v>41</v>
      </c>
    </row>
    <row r="348" spans="2:3" x14ac:dyDescent="0.25">
      <c r="B348" t="s">
        <v>1115</v>
      </c>
      <c r="C348" t="s">
        <v>41</v>
      </c>
    </row>
    <row r="349" spans="2:3" x14ac:dyDescent="0.25">
      <c r="B349" t="s">
        <v>1117</v>
      </c>
      <c r="C349" t="s">
        <v>41</v>
      </c>
    </row>
    <row r="350" spans="2:3" x14ac:dyDescent="0.25">
      <c r="B350" t="s">
        <v>174</v>
      </c>
      <c r="C350" t="s">
        <v>41</v>
      </c>
    </row>
    <row r="351" spans="2:3" x14ac:dyDescent="0.25">
      <c r="B351" t="s">
        <v>627</v>
      </c>
      <c r="C351" t="s">
        <v>41</v>
      </c>
    </row>
    <row r="352" spans="2:3" x14ac:dyDescent="0.25">
      <c r="B352" t="s">
        <v>188</v>
      </c>
      <c r="C352" t="s">
        <v>41</v>
      </c>
    </row>
    <row r="353" spans="2:3" x14ac:dyDescent="0.25">
      <c r="B353" t="s">
        <v>1250</v>
      </c>
      <c r="C353" t="s">
        <v>41</v>
      </c>
    </row>
    <row r="354" spans="2:3" x14ac:dyDescent="0.25">
      <c r="B354" t="s">
        <v>49</v>
      </c>
      <c r="C354" t="s">
        <v>41</v>
      </c>
    </row>
    <row r="355" spans="2:3" x14ac:dyDescent="0.25">
      <c r="B355" t="s">
        <v>427</v>
      </c>
      <c r="C355" t="s">
        <v>41</v>
      </c>
    </row>
    <row r="356" spans="2:3" x14ac:dyDescent="0.25">
      <c r="B356" t="s">
        <v>643</v>
      </c>
      <c r="C356" t="s">
        <v>41</v>
      </c>
    </row>
    <row r="357" spans="2:3" x14ac:dyDescent="0.25">
      <c r="B357" t="s">
        <v>707</v>
      </c>
      <c r="C357" t="s">
        <v>41</v>
      </c>
    </row>
    <row r="358" spans="2:3" x14ac:dyDescent="0.25">
      <c r="B358" t="s">
        <v>540</v>
      </c>
      <c r="C358" t="s">
        <v>41</v>
      </c>
    </row>
    <row r="359" spans="2:3" x14ac:dyDescent="0.25">
      <c r="B359" t="s">
        <v>237</v>
      </c>
      <c r="C359" t="s">
        <v>41</v>
      </c>
    </row>
    <row r="360" spans="2:3" x14ac:dyDescent="0.25">
      <c r="B360" t="s">
        <v>380</v>
      </c>
      <c r="C360" t="s">
        <v>41</v>
      </c>
    </row>
    <row r="361" spans="2:3" x14ac:dyDescent="0.25">
      <c r="B361" t="s">
        <v>40</v>
      </c>
      <c r="C361" t="s">
        <v>41</v>
      </c>
    </row>
    <row r="362" spans="2:3" x14ac:dyDescent="0.25">
      <c r="B362" t="s">
        <v>702</v>
      </c>
      <c r="C362" t="s">
        <v>41</v>
      </c>
    </row>
    <row r="363" spans="2:3" x14ac:dyDescent="0.25">
      <c r="B363" t="s">
        <v>557</v>
      </c>
      <c r="C363" t="s">
        <v>41</v>
      </c>
    </row>
    <row r="364" spans="2:3" x14ac:dyDescent="0.25">
      <c r="B364" t="s">
        <v>792</v>
      </c>
      <c r="C364" t="s">
        <v>41</v>
      </c>
    </row>
    <row r="365" spans="2:3" x14ac:dyDescent="0.25">
      <c r="B365" t="s">
        <v>327</v>
      </c>
      <c r="C365" t="s">
        <v>13</v>
      </c>
    </row>
    <row r="366" spans="2:3" x14ac:dyDescent="0.25">
      <c r="B366" t="s">
        <v>256</v>
      </c>
      <c r="C366" t="s">
        <v>13</v>
      </c>
    </row>
    <row r="367" spans="2:3" x14ac:dyDescent="0.25">
      <c r="B367" t="s">
        <v>121</v>
      </c>
      <c r="C367" t="s">
        <v>13</v>
      </c>
    </row>
    <row r="368" spans="2:3" x14ac:dyDescent="0.25">
      <c r="B368" t="s">
        <v>1113</v>
      </c>
      <c r="C368" t="s">
        <v>13</v>
      </c>
    </row>
    <row r="369" spans="2:3" x14ac:dyDescent="0.25">
      <c r="B369" t="s">
        <v>367</v>
      </c>
      <c r="C369" t="s">
        <v>13</v>
      </c>
    </row>
    <row r="370" spans="2:3" x14ac:dyDescent="0.25">
      <c r="B370" t="s">
        <v>405</v>
      </c>
      <c r="C370" t="s">
        <v>13</v>
      </c>
    </row>
    <row r="371" spans="2:3" x14ac:dyDescent="0.25">
      <c r="B371" t="s">
        <v>617</v>
      </c>
      <c r="C371" t="s">
        <v>13</v>
      </c>
    </row>
    <row r="372" spans="2:3" x14ac:dyDescent="0.25">
      <c r="B372" t="s">
        <v>798</v>
      </c>
      <c r="C372" t="s">
        <v>13</v>
      </c>
    </row>
    <row r="373" spans="2:3" x14ac:dyDescent="0.25">
      <c r="B373" t="s">
        <v>593</v>
      </c>
      <c r="C373" t="s">
        <v>13</v>
      </c>
    </row>
    <row r="374" spans="2:3" x14ac:dyDescent="0.25">
      <c r="B374" t="s">
        <v>934</v>
      </c>
      <c r="C374" t="s">
        <v>13</v>
      </c>
    </row>
    <row r="375" spans="2:3" x14ac:dyDescent="0.25">
      <c r="B375" t="s">
        <v>1053</v>
      </c>
      <c r="C375" t="s">
        <v>13</v>
      </c>
    </row>
    <row r="376" spans="2:3" x14ac:dyDescent="0.25">
      <c r="B376" t="s">
        <v>549</v>
      </c>
      <c r="C376" t="s">
        <v>13</v>
      </c>
    </row>
    <row r="377" spans="2:3" x14ac:dyDescent="0.25">
      <c r="B377" t="s">
        <v>900</v>
      </c>
      <c r="C377" t="s">
        <v>13</v>
      </c>
    </row>
    <row r="378" spans="2:3" x14ac:dyDescent="0.25">
      <c r="B378" t="s">
        <v>1063</v>
      </c>
      <c r="C378" t="s">
        <v>13</v>
      </c>
    </row>
    <row r="379" spans="2:3" x14ac:dyDescent="0.25">
      <c r="B379" t="s">
        <v>490</v>
      </c>
      <c r="C379" t="s">
        <v>13</v>
      </c>
    </row>
    <row r="380" spans="2:3" x14ac:dyDescent="0.25">
      <c r="B380" t="s">
        <v>12</v>
      </c>
      <c r="C380" t="s">
        <v>13</v>
      </c>
    </row>
    <row r="381" spans="2:3" x14ac:dyDescent="0.25">
      <c r="B381" t="s">
        <v>724</v>
      </c>
      <c r="C381" t="s">
        <v>13</v>
      </c>
    </row>
    <row r="382" spans="2:3" x14ac:dyDescent="0.25">
      <c r="B382" t="s">
        <v>914</v>
      </c>
      <c r="C382" t="s">
        <v>13</v>
      </c>
    </row>
    <row r="383" spans="2:3" x14ac:dyDescent="0.25">
      <c r="B383" t="s">
        <v>1391</v>
      </c>
      <c r="C383" t="s">
        <v>13</v>
      </c>
    </row>
    <row r="384" spans="2:3" x14ac:dyDescent="0.25">
      <c r="B384" t="s">
        <v>993</v>
      </c>
      <c r="C384" t="s">
        <v>13</v>
      </c>
    </row>
    <row r="385" spans="2:3" x14ac:dyDescent="0.25">
      <c r="B385" t="s">
        <v>1058</v>
      </c>
      <c r="C385" t="s">
        <v>13</v>
      </c>
    </row>
    <row r="386" spans="2:3" x14ac:dyDescent="0.25">
      <c r="B386" t="s">
        <v>1320</v>
      </c>
      <c r="C386" t="s">
        <v>13</v>
      </c>
    </row>
    <row r="387" spans="2:3" x14ac:dyDescent="0.25">
      <c r="B387" t="s">
        <v>342</v>
      </c>
      <c r="C387" t="s">
        <v>13</v>
      </c>
    </row>
    <row r="388" spans="2:3" x14ac:dyDescent="0.25">
      <c r="B388" t="s">
        <v>918</v>
      </c>
      <c r="C388" t="s">
        <v>13</v>
      </c>
    </row>
    <row r="389" spans="2:3" x14ac:dyDescent="0.25">
      <c r="B389" t="s">
        <v>1023</v>
      </c>
      <c r="C389" t="s">
        <v>13</v>
      </c>
    </row>
    <row r="390" spans="2:3" x14ac:dyDescent="0.25">
      <c r="B390" t="s">
        <v>486</v>
      </c>
      <c r="C390" t="s">
        <v>13</v>
      </c>
    </row>
    <row r="391" spans="2:3" x14ac:dyDescent="0.25">
      <c r="B391" t="s">
        <v>452</v>
      </c>
      <c r="C391" t="s">
        <v>13</v>
      </c>
    </row>
    <row r="392" spans="2:3" x14ac:dyDescent="0.25">
      <c r="B392" t="s">
        <v>1338</v>
      </c>
      <c r="C392" t="s">
        <v>13</v>
      </c>
    </row>
    <row r="393" spans="2:3" x14ac:dyDescent="0.25">
      <c r="B393" t="s">
        <v>182</v>
      </c>
      <c r="C393" t="s">
        <v>13</v>
      </c>
    </row>
    <row r="394" spans="2:3" x14ac:dyDescent="0.25">
      <c r="B394" t="s">
        <v>823</v>
      </c>
      <c r="C394" t="s">
        <v>13</v>
      </c>
    </row>
    <row r="395" spans="2:3" x14ac:dyDescent="0.25">
      <c r="B395" t="s">
        <v>1347</v>
      </c>
      <c r="C395" t="s">
        <v>13</v>
      </c>
    </row>
    <row r="396" spans="2:3" x14ac:dyDescent="0.25">
      <c r="B396" t="s">
        <v>742</v>
      </c>
      <c r="C396" t="s">
        <v>13</v>
      </c>
    </row>
    <row r="397" spans="2:3" x14ac:dyDescent="0.25">
      <c r="B397" t="s">
        <v>160</v>
      </c>
      <c r="C397" t="s">
        <v>19</v>
      </c>
    </row>
    <row r="398" spans="2:3" x14ac:dyDescent="0.25">
      <c r="B398" t="s">
        <v>351</v>
      </c>
      <c r="C398" t="s">
        <v>19</v>
      </c>
    </row>
    <row r="399" spans="2:3" x14ac:dyDescent="0.25">
      <c r="B399" t="s">
        <v>1262</v>
      </c>
      <c r="C399" t="s">
        <v>19</v>
      </c>
    </row>
    <row r="400" spans="2:3" x14ac:dyDescent="0.25">
      <c r="B400" t="s">
        <v>1209</v>
      </c>
      <c r="C400" t="s">
        <v>19</v>
      </c>
    </row>
    <row r="401" spans="2:3" x14ac:dyDescent="0.25">
      <c r="B401" t="s">
        <v>403</v>
      </c>
      <c r="C401" t="s">
        <v>19</v>
      </c>
    </row>
    <row r="402" spans="2:3" x14ac:dyDescent="0.25">
      <c r="B402" t="s">
        <v>877</v>
      </c>
      <c r="C402" t="s">
        <v>19</v>
      </c>
    </row>
    <row r="403" spans="2:3" x14ac:dyDescent="0.25">
      <c r="B403" t="s">
        <v>966</v>
      </c>
      <c r="C403" t="s">
        <v>19</v>
      </c>
    </row>
    <row r="404" spans="2:3" x14ac:dyDescent="0.25">
      <c r="B404" t="s">
        <v>215</v>
      </c>
      <c r="C404" t="s">
        <v>19</v>
      </c>
    </row>
    <row r="405" spans="2:3" x14ac:dyDescent="0.25">
      <c r="B405" t="s">
        <v>319</v>
      </c>
      <c r="C405" t="s">
        <v>19</v>
      </c>
    </row>
    <row r="406" spans="2:3" x14ac:dyDescent="0.25">
      <c r="B406" t="s">
        <v>1129</v>
      </c>
      <c r="C406" t="s">
        <v>19</v>
      </c>
    </row>
    <row r="407" spans="2:3" x14ac:dyDescent="0.25">
      <c r="B407" t="s">
        <v>1174</v>
      </c>
      <c r="C407" t="s">
        <v>19</v>
      </c>
    </row>
    <row r="408" spans="2:3" x14ac:dyDescent="0.25">
      <c r="B408" t="s">
        <v>1168</v>
      </c>
      <c r="C408" t="s">
        <v>19</v>
      </c>
    </row>
    <row r="409" spans="2:3" x14ac:dyDescent="0.25">
      <c r="B409" t="s">
        <v>18</v>
      </c>
      <c r="C409" t="s">
        <v>19</v>
      </c>
    </row>
    <row r="410" spans="2:3" x14ac:dyDescent="0.25">
      <c r="B410" t="s">
        <v>1424</v>
      </c>
      <c r="C410" t="s">
        <v>19</v>
      </c>
    </row>
    <row r="411" spans="2:3" x14ac:dyDescent="0.25">
      <c r="B411" t="s">
        <v>925</v>
      </c>
      <c r="C411" t="s">
        <v>19</v>
      </c>
    </row>
    <row r="412" spans="2:3" x14ac:dyDescent="0.25">
      <c r="B412" t="s">
        <v>555</v>
      </c>
      <c r="C412" t="s">
        <v>19</v>
      </c>
    </row>
    <row r="413" spans="2:3" x14ac:dyDescent="0.25">
      <c r="B413" t="s">
        <v>202</v>
      </c>
      <c r="C413" t="s">
        <v>19</v>
      </c>
    </row>
    <row r="414" spans="2:3" x14ac:dyDescent="0.25">
      <c r="B414" t="s">
        <v>460</v>
      </c>
      <c r="C414" t="s">
        <v>19</v>
      </c>
    </row>
    <row r="415" spans="2:3" x14ac:dyDescent="0.25">
      <c r="B415" t="s">
        <v>1026</v>
      </c>
      <c r="C415" t="s">
        <v>19</v>
      </c>
    </row>
    <row r="416" spans="2:3" x14ac:dyDescent="0.25">
      <c r="B416" t="s">
        <v>86</v>
      </c>
      <c r="C416" t="s">
        <v>87</v>
      </c>
    </row>
    <row r="417" spans="2:3" x14ac:dyDescent="0.25">
      <c r="B417" t="s">
        <v>795</v>
      </c>
      <c r="C417" t="s">
        <v>87</v>
      </c>
    </row>
    <row r="418" spans="2:3" x14ac:dyDescent="0.25">
      <c r="B418" t="s">
        <v>89</v>
      </c>
      <c r="C418" t="s">
        <v>87</v>
      </c>
    </row>
    <row r="419" spans="2:3" x14ac:dyDescent="0.25">
      <c r="B419" t="s">
        <v>778</v>
      </c>
      <c r="C419" t="s">
        <v>87</v>
      </c>
    </row>
    <row r="420" spans="2:3" x14ac:dyDescent="0.25">
      <c r="B420" t="s">
        <v>1042</v>
      </c>
      <c r="C420" t="s">
        <v>87</v>
      </c>
    </row>
    <row r="421" spans="2:3" x14ac:dyDescent="0.25">
      <c r="B421" t="s">
        <v>337</v>
      </c>
      <c r="C421" t="s">
        <v>87</v>
      </c>
    </row>
    <row r="422" spans="2:3" x14ac:dyDescent="0.25">
      <c r="B422" t="s">
        <v>533</v>
      </c>
      <c r="C422" t="s">
        <v>87</v>
      </c>
    </row>
    <row r="423" spans="2:3" x14ac:dyDescent="0.25">
      <c r="B423" t="s">
        <v>944</v>
      </c>
      <c r="C423" t="s">
        <v>87</v>
      </c>
    </row>
    <row r="424" spans="2:3" x14ac:dyDescent="0.25">
      <c r="B424" t="s">
        <v>908</v>
      </c>
      <c r="C424" t="s">
        <v>87</v>
      </c>
    </row>
    <row r="425" spans="2:3" x14ac:dyDescent="0.25">
      <c r="B425" t="s">
        <v>1297</v>
      </c>
      <c r="C425" t="s">
        <v>87</v>
      </c>
    </row>
    <row r="426" spans="2:3" x14ac:dyDescent="0.25">
      <c r="B426" t="s">
        <v>591</v>
      </c>
      <c r="C426" t="s">
        <v>87</v>
      </c>
    </row>
    <row r="427" spans="2:3" x14ac:dyDescent="0.25">
      <c r="B427" t="s">
        <v>472</v>
      </c>
      <c r="C427" t="s">
        <v>87</v>
      </c>
    </row>
    <row r="428" spans="2:3" x14ac:dyDescent="0.25">
      <c r="B428" t="s">
        <v>505</v>
      </c>
      <c r="C428" t="s">
        <v>87</v>
      </c>
    </row>
    <row r="429" spans="2:3" x14ac:dyDescent="0.25">
      <c r="B429" t="s">
        <v>635</v>
      </c>
      <c r="C429" t="s">
        <v>87</v>
      </c>
    </row>
    <row r="430" spans="2:3" x14ac:dyDescent="0.25">
      <c r="B430" t="s">
        <v>786</v>
      </c>
      <c r="C430" t="s">
        <v>87</v>
      </c>
    </row>
    <row r="431" spans="2:3" x14ac:dyDescent="0.25">
      <c r="B431" t="s">
        <v>587</v>
      </c>
      <c r="C431" t="s">
        <v>87</v>
      </c>
    </row>
    <row r="432" spans="2:3" x14ac:dyDescent="0.25">
      <c r="B432" t="s">
        <v>233</v>
      </c>
      <c r="C432" t="s">
        <v>87</v>
      </c>
    </row>
    <row r="433" spans="2:3" x14ac:dyDescent="0.25">
      <c r="B433" t="s">
        <v>313</v>
      </c>
      <c r="C433" t="s">
        <v>87</v>
      </c>
    </row>
    <row r="434" spans="2:3" x14ac:dyDescent="0.25">
      <c r="B434" t="s">
        <v>176</v>
      </c>
      <c r="C434" t="s">
        <v>87</v>
      </c>
    </row>
    <row r="435" spans="2:3" x14ac:dyDescent="0.25">
      <c r="B435" t="s">
        <v>115</v>
      </c>
      <c r="C435" t="s">
        <v>87</v>
      </c>
    </row>
    <row r="436" spans="2:3" x14ac:dyDescent="0.25">
      <c r="B436" t="s">
        <v>783</v>
      </c>
      <c r="C436" t="s">
        <v>87</v>
      </c>
    </row>
    <row r="437" spans="2:3" x14ac:dyDescent="0.25">
      <c r="B437" t="s">
        <v>565</v>
      </c>
      <c r="C437" t="s">
        <v>87</v>
      </c>
    </row>
    <row r="438" spans="2:3" x14ac:dyDescent="0.25">
      <c r="B438" t="s">
        <v>1143</v>
      </c>
      <c r="C438" t="s">
        <v>87</v>
      </c>
    </row>
    <row r="439" spans="2:3" x14ac:dyDescent="0.25">
      <c r="B439" t="s">
        <v>250</v>
      </c>
      <c r="C439" t="s">
        <v>87</v>
      </c>
    </row>
    <row r="440" spans="2:3" x14ac:dyDescent="0.25">
      <c r="B440" t="s">
        <v>284</v>
      </c>
      <c r="C440" t="s">
        <v>87</v>
      </c>
    </row>
    <row r="441" spans="2:3" x14ac:dyDescent="0.25">
      <c r="B441" t="s">
        <v>349</v>
      </c>
      <c r="C441" t="s">
        <v>87</v>
      </c>
    </row>
    <row r="442" spans="2:3" x14ac:dyDescent="0.25">
      <c r="B442" t="s">
        <v>1036</v>
      </c>
      <c r="C442" t="s">
        <v>87</v>
      </c>
    </row>
    <row r="443" spans="2:3" x14ac:dyDescent="0.25">
      <c r="B443" t="s">
        <v>614</v>
      </c>
      <c r="C443" t="s">
        <v>87</v>
      </c>
    </row>
    <row r="444" spans="2:3" x14ac:dyDescent="0.25">
      <c r="B444" t="s">
        <v>1358</v>
      </c>
      <c r="C444" t="s">
        <v>70</v>
      </c>
    </row>
    <row r="445" spans="2:3" x14ac:dyDescent="0.25">
      <c r="B445" t="s">
        <v>1241</v>
      </c>
      <c r="C445" t="s">
        <v>70</v>
      </c>
    </row>
    <row r="446" spans="2:3" x14ac:dyDescent="0.25">
      <c r="B446" t="s">
        <v>260</v>
      </c>
      <c r="C446" t="s">
        <v>70</v>
      </c>
    </row>
    <row r="447" spans="2:3" x14ac:dyDescent="0.25">
      <c r="B447" t="s">
        <v>158</v>
      </c>
      <c r="C447" t="s">
        <v>70</v>
      </c>
    </row>
    <row r="448" spans="2:3" x14ac:dyDescent="0.25">
      <c r="B448" t="s">
        <v>744</v>
      </c>
      <c r="C448" t="s">
        <v>70</v>
      </c>
    </row>
    <row r="449" spans="2:3" x14ac:dyDescent="0.25">
      <c r="B449" t="s">
        <v>436</v>
      </c>
      <c r="C449" t="s">
        <v>70</v>
      </c>
    </row>
    <row r="450" spans="2:3" x14ac:dyDescent="0.25">
      <c r="B450" t="s">
        <v>1141</v>
      </c>
      <c r="C450" t="s">
        <v>70</v>
      </c>
    </row>
    <row r="451" spans="2:3" x14ac:dyDescent="0.25">
      <c r="B451" t="s">
        <v>1180</v>
      </c>
      <c r="C451" t="s">
        <v>70</v>
      </c>
    </row>
    <row r="452" spans="2:3" x14ac:dyDescent="0.25">
      <c r="B452" t="s">
        <v>836</v>
      </c>
      <c r="C452" t="s">
        <v>70</v>
      </c>
    </row>
    <row r="453" spans="2:3" x14ac:dyDescent="0.25">
      <c r="B453" t="s">
        <v>597</v>
      </c>
      <c r="C453" t="s">
        <v>70</v>
      </c>
    </row>
    <row r="454" spans="2:3" x14ac:dyDescent="0.25">
      <c r="B454" t="s">
        <v>217</v>
      </c>
      <c r="C454" t="s">
        <v>70</v>
      </c>
    </row>
    <row r="455" spans="2:3" x14ac:dyDescent="0.25">
      <c r="B455" t="s">
        <v>1402</v>
      </c>
      <c r="C455" t="s">
        <v>70</v>
      </c>
    </row>
    <row r="456" spans="2:3" x14ac:dyDescent="0.25">
      <c r="B456" t="s">
        <v>754</v>
      </c>
      <c r="C456" t="s">
        <v>70</v>
      </c>
    </row>
    <row r="457" spans="2:3" x14ac:dyDescent="0.25">
      <c r="B457" t="s">
        <v>868</v>
      </c>
      <c r="C457" t="s">
        <v>70</v>
      </c>
    </row>
    <row r="458" spans="2:3" x14ac:dyDescent="0.25">
      <c r="B458" t="s">
        <v>388</v>
      </c>
      <c r="C458" t="s">
        <v>70</v>
      </c>
    </row>
    <row r="459" spans="2:3" x14ac:dyDescent="0.25">
      <c r="B459" t="s">
        <v>69</v>
      </c>
      <c r="C459" t="s">
        <v>70</v>
      </c>
    </row>
    <row r="460" spans="2:3" x14ac:dyDescent="0.25">
      <c r="B460" t="s">
        <v>808</v>
      </c>
      <c r="C460" t="s">
        <v>70</v>
      </c>
    </row>
    <row r="461" spans="2:3" x14ac:dyDescent="0.25">
      <c r="B461" t="s">
        <v>109</v>
      </c>
      <c r="C461" t="s">
        <v>70</v>
      </c>
    </row>
    <row r="462" spans="2:3" x14ac:dyDescent="0.25">
      <c r="B462" t="s">
        <v>262</v>
      </c>
      <c r="C462" t="s">
        <v>70</v>
      </c>
    </row>
    <row r="463" spans="2:3" x14ac:dyDescent="0.25">
      <c r="B463" t="s">
        <v>1221</v>
      </c>
      <c r="C463" t="s">
        <v>70</v>
      </c>
    </row>
    <row r="464" spans="2:3" x14ac:dyDescent="0.25">
      <c r="B464" t="s">
        <v>1186</v>
      </c>
      <c r="C464" t="s">
        <v>70</v>
      </c>
    </row>
    <row r="465" spans="2:3" x14ac:dyDescent="0.25">
      <c r="B465" t="s">
        <v>1406</v>
      </c>
      <c r="C465" t="s">
        <v>70</v>
      </c>
    </row>
    <row r="466" spans="2:3" x14ac:dyDescent="0.25">
      <c r="B466" t="s">
        <v>94</v>
      </c>
      <c r="C466" t="s">
        <v>70</v>
      </c>
    </row>
    <row r="467" spans="2:3" x14ac:dyDescent="0.25">
      <c r="B467" t="s">
        <v>164</v>
      </c>
      <c r="C467" t="s">
        <v>70</v>
      </c>
    </row>
    <row r="468" spans="2:3" x14ac:dyDescent="0.25">
      <c r="B468" t="s">
        <v>1015</v>
      </c>
      <c r="C468" t="s">
        <v>70</v>
      </c>
    </row>
    <row r="469" spans="2:3" x14ac:dyDescent="0.25">
      <c r="B469" t="s">
        <v>372</v>
      </c>
      <c r="C469" t="s">
        <v>70</v>
      </c>
    </row>
    <row r="470" spans="2:3" x14ac:dyDescent="0.25">
      <c r="B470" t="s">
        <v>1093</v>
      </c>
      <c r="C470" t="s">
        <v>70</v>
      </c>
    </row>
    <row r="471" spans="2:3" x14ac:dyDescent="0.25">
      <c r="B471" t="s">
        <v>192</v>
      </c>
      <c r="C471" t="s">
        <v>70</v>
      </c>
    </row>
    <row r="472" spans="2:3" x14ac:dyDescent="0.25">
      <c r="B472" t="s">
        <v>162</v>
      </c>
      <c r="C472" t="s">
        <v>70</v>
      </c>
    </row>
    <row r="473" spans="2:3" x14ac:dyDescent="0.25">
      <c r="B473" t="s">
        <v>581</v>
      </c>
      <c r="C473" t="s">
        <v>70</v>
      </c>
    </row>
    <row r="474" spans="2:3" x14ac:dyDescent="0.25">
      <c r="B474" t="s">
        <v>975</v>
      </c>
      <c r="C474" t="s">
        <v>70</v>
      </c>
    </row>
    <row r="475" spans="2:3" x14ac:dyDescent="0.25">
      <c r="B475" t="s">
        <v>1268</v>
      </c>
      <c r="C475" t="s">
        <v>70</v>
      </c>
    </row>
    <row r="476" spans="2:3" x14ac:dyDescent="0.25">
      <c r="B476" t="s">
        <v>140</v>
      </c>
      <c r="C476" t="s">
        <v>70</v>
      </c>
    </row>
    <row r="477" spans="2:3" x14ac:dyDescent="0.25">
      <c r="B477" t="s">
        <v>902</v>
      </c>
      <c r="C477" t="s">
        <v>70</v>
      </c>
    </row>
    <row r="478" spans="2:3" x14ac:dyDescent="0.25">
      <c r="B478" t="s">
        <v>1305</v>
      </c>
      <c r="C478" t="s">
        <v>70</v>
      </c>
    </row>
    <row r="479" spans="2:3" x14ac:dyDescent="0.25">
      <c r="B479" t="s">
        <v>683</v>
      </c>
      <c r="C479" t="s">
        <v>70</v>
      </c>
    </row>
    <row r="480" spans="2:3" x14ac:dyDescent="0.25">
      <c r="B480" t="s">
        <v>70</v>
      </c>
      <c r="C480" t="s">
        <v>70</v>
      </c>
    </row>
    <row r="481" spans="2:3" x14ac:dyDescent="0.25">
      <c r="B481" t="s">
        <v>1086</v>
      </c>
      <c r="C481" t="s">
        <v>2</v>
      </c>
    </row>
    <row r="482" spans="2:3" x14ac:dyDescent="0.25">
      <c r="B482" t="s">
        <v>1326</v>
      </c>
      <c r="C482" t="s">
        <v>2</v>
      </c>
    </row>
    <row r="483" spans="2:3" x14ac:dyDescent="0.25">
      <c r="B483" t="s">
        <v>1091</v>
      </c>
      <c r="C483" t="s">
        <v>2</v>
      </c>
    </row>
    <row r="484" spans="2:3" x14ac:dyDescent="0.25">
      <c r="B484" t="s">
        <v>1287</v>
      </c>
      <c r="C484" t="s">
        <v>2</v>
      </c>
    </row>
    <row r="485" spans="2:3" x14ac:dyDescent="0.25">
      <c r="B485" t="s">
        <v>431</v>
      </c>
      <c r="C485" t="s">
        <v>2</v>
      </c>
    </row>
    <row r="486" spans="2:3" x14ac:dyDescent="0.25">
      <c r="B486" t="s">
        <v>245</v>
      </c>
      <c r="C486" t="s">
        <v>2</v>
      </c>
    </row>
    <row r="487" spans="2:3" x14ac:dyDescent="0.25">
      <c r="B487" t="s">
        <v>309</v>
      </c>
      <c r="C487" t="s">
        <v>2</v>
      </c>
    </row>
    <row r="488" spans="2:3" x14ac:dyDescent="0.25">
      <c r="B488" t="s">
        <v>1121</v>
      </c>
      <c r="C488" t="s">
        <v>2</v>
      </c>
    </row>
    <row r="489" spans="2:3" x14ac:dyDescent="0.25">
      <c r="B489" t="s">
        <v>547</v>
      </c>
      <c r="C489" t="s">
        <v>2</v>
      </c>
    </row>
    <row r="490" spans="2:3" x14ac:dyDescent="0.25">
      <c r="B490" t="s">
        <v>1329</v>
      </c>
      <c r="C490" t="s">
        <v>2</v>
      </c>
    </row>
    <row r="491" spans="2:3" x14ac:dyDescent="0.25">
      <c r="B491" t="s">
        <v>1</v>
      </c>
      <c r="C491" t="s">
        <v>2</v>
      </c>
    </row>
    <row r="492" spans="2:3" x14ac:dyDescent="0.25">
      <c r="B492" t="s">
        <v>732</v>
      </c>
      <c r="C492" t="s">
        <v>2</v>
      </c>
    </row>
    <row r="493" spans="2:3" x14ac:dyDescent="0.25">
      <c r="B493" t="s">
        <v>154</v>
      </c>
      <c r="C493" t="s">
        <v>2</v>
      </c>
    </row>
    <row r="494" spans="2:3" x14ac:dyDescent="0.25">
      <c r="B494" t="s">
        <v>710</v>
      </c>
      <c r="C494" t="s">
        <v>2</v>
      </c>
    </row>
    <row r="495" spans="2:3" x14ac:dyDescent="0.25">
      <c r="B495" t="s">
        <v>714</v>
      </c>
      <c r="C495" t="s">
        <v>2</v>
      </c>
    </row>
    <row r="496" spans="2:3" x14ac:dyDescent="0.25">
      <c r="B496" t="s">
        <v>1237</v>
      </c>
      <c r="C496" t="s">
        <v>2</v>
      </c>
    </row>
    <row r="497" spans="2:3" x14ac:dyDescent="0.25">
      <c r="B497" t="s">
        <v>985</v>
      </c>
      <c r="C497" t="s">
        <v>2</v>
      </c>
    </row>
    <row r="498" spans="2:3" x14ac:dyDescent="0.25">
      <c r="B498" t="s">
        <v>1197</v>
      </c>
      <c r="C498" t="s">
        <v>2</v>
      </c>
    </row>
    <row r="499" spans="2:3" x14ac:dyDescent="0.25">
      <c r="B499" t="s">
        <v>113</v>
      </c>
      <c r="C499" t="s">
        <v>2</v>
      </c>
    </row>
    <row r="500" spans="2:3" x14ac:dyDescent="0.25">
      <c r="B500" t="s">
        <v>959</v>
      </c>
      <c r="C500" t="s">
        <v>2</v>
      </c>
    </row>
    <row r="501" spans="2:3" x14ac:dyDescent="0.25">
      <c r="B501" t="s">
        <v>1283</v>
      </c>
      <c r="C501" t="s">
        <v>2</v>
      </c>
    </row>
    <row r="502" spans="2:3" x14ac:dyDescent="0.25">
      <c r="B502" t="s">
        <v>458</v>
      </c>
      <c r="C502" t="s">
        <v>2</v>
      </c>
    </row>
    <row r="503" spans="2:3" x14ac:dyDescent="0.25">
      <c r="B503" t="s">
        <v>1157</v>
      </c>
      <c r="C503" t="s">
        <v>2</v>
      </c>
    </row>
    <row r="504" spans="2:3" x14ac:dyDescent="0.25">
      <c r="B504" t="s">
        <v>619</v>
      </c>
      <c r="C504" t="s">
        <v>2</v>
      </c>
    </row>
    <row r="505" spans="2:3" x14ac:dyDescent="0.25">
      <c r="B505" t="s">
        <v>1182</v>
      </c>
      <c r="C505" t="s">
        <v>2</v>
      </c>
    </row>
    <row r="506" spans="2:3" x14ac:dyDescent="0.25">
      <c r="B506" t="s">
        <v>128</v>
      </c>
      <c r="C506" t="s">
        <v>2</v>
      </c>
    </row>
    <row r="507" spans="2:3" x14ac:dyDescent="0.25">
      <c r="B507" t="s">
        <v>97</v>
      </c>
      <c r="C507" t="s">
        <v>2</v>
      </c>
    </row>
    <row r="508" spans="2:3" x14ac:dyDescent="0.25">
      <c r="B508" t="s">
        <v>1172</v>
      </c>
      <c r="C508" t="s">
        <v>2</v>
      </c>
    </row>
    <row r="509" spans="2:3" x14ac:dyDescent="0.25">
      <c r="B509" t="s">
        <v>1160</v>
      </c>
      <c r="C509" t="s">
        <v>2</v>
      </c>
    </row>
    <row r="510" spans="2:3" x14ac:dyDescent="0.25">
      <c r="B510" t="s">
        <v>776</v>
      </c>
      <c r="C510" t="s">
        <v>2</v>
      </c>
    </row>
    <row r="511" spans="2:3" x14ac:dyDescent="0.25">
      <c r="B511" t="s">
        <v>1123</v>
      </c>
      <c r="C511" t="s">
        <v>2</v>
      </c>
    </row>
    <row r="512" spans="2:3" x14ac:dyDescent="0.25">
      <c r="B512" t="s">
        <v>904</v>
      </c>
      <c r="C512" t="s">
        <v>2</v>
      </c>
    </row>
    <row r="513" spans="2:3" x14ac:dyDescent="0.25">
      <c r="B513" t="s">
        <v>1275</v>
      </c>
      <c r="C513" t="s">
        <v>2</v>
      </c>
    </row>
    <row r="514" spans="2:3" x14ac:dyDescent="0.25">
      <c r="B514" t="s">
        <v>1314</v>
      </c>
      <c r="C514" t="s">
        <v>2</v>
      </c>
    </row>
    <row r="515" spans="2:3" x14ac:dyDescent="0.25">
      <c r="B515" t="s">
        <v>759</v>
      </c>
      <c r="C515" t="s">
        <v>2</v>
      </c>
    </row>
    <row r="516" spans="2:3" x14ac:dyDescent="0.25">
      <c r="B516" t="s">
        <v>897</v>
      </c>
      <c r="C516" t="s">
        <v>2</v>
      </c>
    </row>
    <row r="517" spans="2:3" x14ac:dyDescent="0.25">
      <c r="B517" t="s">
        <v>893</v>
      </c>
      <c r="C517" t="s">
        <v>2</v>
      </c>
    </row>
    <row r="518" spans="2:3" x14ac:dyDescent="0.25">
      <c r="B518" t="s">
        <v>802</v>
      </c>
      <c r="C518" t="s">
        <v>2</v>
      </c>
    </row>
    <row r="519" spans="2:3" x14ac:dyDescent="0.25">
      <c r="B519" t="s">
        <v>819</v>
      </c>
      <c r="C519" t="s">
        <v>2</v>
      </c>
    </row>
    <row r="520" spans="2:3" x14ac:dyDescent="0.25">
      <c r="B520" t="s">
        <v>1104</v>
      </c>
      <c r="C520" t="s">
        <v>2</v>
      </c>
    </row>
    <row r="521" spans="2:3" x14ac:dyDescent="0.25">
      <c r="B521" t="s">
        <v>1266</v>
      </c>
      <c r="C521" t="s">
        <v>2</v>
      </c>
    </row>
    <row r="522" spans="2:3" x14ac:dyDescent="0.25">
      <c r="B522" t="s">
        <v>462</v>
      </c>
      <c r="C522" t="s">
        <v>2</v>
      </c>
    </row>
    <row r="523" spans="2:3" x14ac:dyDescent="0.25">
      <c r="B523" t="s">
        <v>80</v>
      </c>
      <c r="C523" t="s">
        <v>2</v>
      </c>
    </row>
    <row r="524" spans="2:3" x14ac:dyDescent="0.25">
      <c r="B524" t="s">
        <v>1264</v>
      </c>
      <c r="C524" t="s">
        <v>73</v>
      </c>
    </row>
    <row r="525" spans="2:3" x14ac:dyDescent="0.25">
      <c r="B525" t="s">
        <v>1393</v>
      </c>
      <c r="C525" t="s">
        <v>73</v>
      </c>
    </row>
    <row r="526" spans="2:3" x14ac:dyDescent="0.25">
      <c r="B526" t="s">
        <v>1217</v>
      </c>
      <c r="C526" t="s">
        <v>73</v>
      </c>
    </row>
    <row r="527" spans="2:3" x14ac:dyDescent="0.25">
      <c r="B527" t="s">
        <v>72</v>
      </c>
      <c r="C527" t="s">
        <v>73</v>
      </c>
    </row>
    <row r="528" spans="2:3" x14ac:dyDescent="0.25">
      <c r="B528" t="s">
        <v>374</v>
      </c>
      <c r="C528" t="s">
        <v>73</v>
      </c>
    </row>
    <row r="529" spans="2:3" x14ac:dyDescent="0.25">
      <c r="B529" t="s">
        <v>223</v>
      </c>
      <c r="C529" t="s">
        <v>73</v>
      </c>
    </row>
    <row r="530" spans="2:3" x14ac:dyDescent="0.25">
      <c r="B530" t="s">
        <v>931</v>
      </c>
      <c r="C530" t="s">
        <v>73</v>
      </c>
    </row>
    <row r="531" spans="2:3" x14ac:dyDescent="0.25">
      <c r="B531" t="s">
        <v>576</v>
      </c>
      <c r="C531" t="s">
        <v>73</v>
      </c>
    </row>
    <row r="532" spans="2:3" x14ac:dyDescent="0.25">
      <c r="B532" t="s">
        <v>440</v>
      </c>
      <c r="C532" t="s">
        <v>73</v>
      </c>
    </row>
    <row r="533" spans="2:3" x14ac:dyDescent="0.25">
      <c r="B533" t="s">
        <v>411</v>
      </c>
      <c r="C533" t="s">
        <v>73</v>
      </c>
    </row>
    <row r="534" spans="2:3" x14ac:dyDescent="0.25">
      <c r="B534" t="s">
        <v>522</v>
      </c>
      <c r="C534" t="s">
        <v>73</v>
      </c>
    </row>
    <row r="535" spans="2:3" x14ac:dyDescent="0.25">
      <c r="B535" t="s">
        <v>1374</v>
      </c>
      <c r="C535" t="s">
        <v>73</v>
      </c>
    </row>
    <row r="536" spans="2:3" x14ac:dyDescent="0.25">
      <c r="B536" t="s">
        <v>276</v>
      </c>
      <c r="C536" t="s">
        <v>73</v>
      </c>
    </row>
    <row r="537" spans="2:3" x14ac:dyDescent="0.25">
      <c r="B537" t="s">
        <v>1270</v>
      </c>
      <c r="C537" t="s">
        <v>73</v>
      </c>
    </row>
    <row r="538" spans="2:3" x14ac:dyDescent="0.25">
      <c r="B538" t="s">
        <v>768</v>
      </c>
      <c r="C538" t="s">
        <v>73</v>
      </c>
    </row>
    <row r="539" spans="2:3" x14ac:dyDescent="0.25">
      <c r="B539" t="s">
        <v>828</v>
      </c>
      <c r="C539" t="s">
        <v>73</v>
      </c>
    </row>
    <row r="540" spans="2:3" x14ac:dyDescent="0.25">
      <c r="B540" t="s">
        <v>891</v>
      </c>
      <c r="C540" t="s">
        <v>73</v>
      </c>
    </row>
    <row r="541" spans="2:3" x14ac:dyDescent="0.25">
      <c r="B541" t="s">
        <v>1227</v>
      </c>
      <c r="C541" t="s">
        <v>73</v>
      </c>
    </row>
    <row r="542" spans="2:3" x14ac:dyDescent="0.25">
      <c r="B542" t="s">
        <v>444</v>
      </c>
      <c r="C542" t="s">
        <v>92</v>
      </c>
    </row>
    <row r="543" spans="2:3" x14ac:dyDescent="0.25">
      <c r="B543" t="s">
        <v>563</v>
      </c>
      <c r="C543" t="s">
        <v>92</v>
      </c>
    </row>
    <row r="544" spans="2:3" x14ac:dyDescent="0.25">
      <c r="B544" t="s">
        <v>1072</v>
      </c>
      <c r="C544" t="s">
        <v>92</v>
      </c>
    </row>
    <row r="545" spans="2:3" x14ac:dyDescent="0.25">
      <c r="B545" t="s">
        <v>1038</v>
      </c>
      <c r="C545" t="s">
        <v>92</v>
      </c>
    </row>
    <row r="546" spans="2:3" x14ac:dyDescent="0.25">
      <c r="B546" t="s">
        <v>830</v>
      </c>
      <c r="C546" t="s">
        <v>92</v>
      </c>
    </row>
    <row r="547" spans="2:3" x14ac:dyDescent="0.25">
      <c r="B547" t="s">
        <v>258</v>
      </c>
      <c r="C547" t="s">
        <v>92</v>
      </c>
    </row>
    <row r="548" spans="2:3" x14ac:dyDescent="0.25">
      <c r="B548" t="s">
        <v>1047</v>
      </c>
      <c r="C548" t="s">
        <v>92</v>
      </c>
    </row>
    <row r="549" spans="2:3" x14ac:dyDescent="0.25">
      <c r="B549" t="s">
        <v>91</v>
      </c>
      <c r="C549" t="s">
        <v>92</v>
      </c>
    </row>
    <row r="550" spans="2:3" x14ac:dyDescent="0.25">
      <c r="B550" t="s">
        <v>1372</v>
      </c>
      <c r="C550" t="s">
        <v>92</v>
      </c>
    </row>
    <row r="551" spans="2:3" x14ac:dyDescent="0.25">
      <c r="B551" t="s">
        <v>1125</v>
      </c>
      <c r="C551" t="s">
        <v>92</v>
      </c>
    </row>
    <row r="552" spans="2:3" x14ac:dyDescent="0.25">
      <c r="B552" t="s">
        <v>968</v>
      </c>
      <c r="C552" t="s">
        <v>92</v>
      </c>
    </row>
    <row r="553" spans="2:3" x14ac:dyDescent="0.25">
      <c r="B553" t="s">
        <v>438</v>
      </c>
      <c r="C553" t="s">
        <v>92</v>
      </c>
    </row>
    <row r="554" spans="2:3" x14ac:dyDescent="0.25">
      <c r="B554" t="s">
        <v>456</v>
      </c>
      <c r="C554" t="s">
        <v>92</v>
      </c>
    </row>
    <row r="555" spans="2:3" x14ac:dyDescent="0.25">
      <c r="B555" t="s">
        <v>740</v>
      </c>
      <c r="C555" t="s">
        <v>92</v>
      </c>
    </row>
    <row r="556" spans="2:3" x14ac:dyDescent="0.25">
      <c r="B556" t="s">
        <v>816</v>
      </c>
      <c r="C556" t="s">
        <v>92</v>
      </c>
    </row>
    <row r="557" spans="2:3" x14ac:dyDescent="0.25">
      <c r="B557" t="s">
        <v>329</v>
      </c>
      <c r="C557" t="s">
        <v>92</v>
      </c>
    </row>
    <row r="558" spans="2:3" x14ac:dyDescent="0.25">
      <c r="B558" t="s">
        <v>384</v>
      </c>
      <c r="C558" t="s">
        <v>92</v>
      </c>
    </row>
    <row r="559" spans="2:3" x14ac:dyDescent="0.25">
      <c r="B559" t="s">
        <v>206</v>
      </c>
      <c r="C559" t="s">
        <v>92</v>
      </c>
    </row>
    <row r="560" spans="2:3" x14ac:dyDescent="0.25">
      <c r="B560" t="s">
        <v>1020</v>
      </c>
      <c r="C560" t="s">
        <v>92</v>
      </c>
    </row>
    <row r="561" spans="2:3" x14ac:dyDescent="0.25">
      <c r="B561" t="s">
        <v>955</v>
      </c>
      <c r="C561" t="s">
        <v>92</v>
      </c>
    </row>
    <row r="562" spans="2:3" x14ac:dyDescent="0.25">
      <c r="B562" t="s">
        <v>378</v>
      </c>
      <c r="C562" t="s">
        <v>92</v>
      </c>
    </row>
    <row r="563" spans="2:3" x14ac:dyDescent="0.25">
      <c r="B563" t="s">
        <v>856</v>
      </c>
      <c r="C563" t="s">
        <v>92</v>
      </c>
    </row>
    <row r="564" spans="2:3" x14ac:dyDescent="0.25">
      <c r="B564" t="s">
        <v>1414</v>
      </c>
      <c r="C564" t="s">
        <v>92</v>
      </c>
    </row>
    <row r="565" spans="2:3" x14ac:dyDescent="0.25">
      <c r="B565" t="s">
        <v>1134</v>
      </c>
      <c r="C565" t="s">
        <v>92</v>
      </c>
    </row>
    <row r="566" spans="2:3" x14ac:dyDescent="0.25">
      <c r="B566" t="s">
        <v>231</v>
      </c>
      <c r="C566" t="s">
        <v>92</v>
      </c>
    </row>
    <row r="567" spans="2:3" x14ac:dyDescent="0.25">
      <c r="B567" t="s">
        <v>520</v>
      </c>
      <c r="C567" t="s">
        <v>92</v>
      </c>
    </row>
    <row r="568" spans="2:3" x14ac:dyDescent="0.25">
      <c r="B568" t="s">
        <v>529</v>
      </c>
      <c r="C568" t="s">
        <v>92</v>
      </c>
    </row>
    <row r="569" spans="2:3" x14ac:dyDescent="0.25">
      <c r="B569" t="s">
        <v>1147</v>
      </c>
      <c r="C569" t="s">
        <v>118</v>
      </c>
    </row>
    <row r="570" spans="2:3" x14ac:dyDescent="0.25">
      <c r="B570" t="s">
        <v>670</v>
      </c>
      <c r="C570" t="s">
        <v>118</v>
      </c>
    </row>
    <row r="571" spans="2:3" x14ac:dyDescent="0.25">
      <c r="B571" t="s">
        <v>272</v>
      </c>
      <c r="C571" t="s">
        <v>118</v>
      </c>
    </row>
    <row r="572" spans="2:3" x14ac:dyDescent="0.25">
      <c r="B572" t="s">
        <v>895</v>
      </c>
      <c r="C572" t="s">
        <v>118</v>
      </c>
    </row>
    <row r="573" spans="2:3" x14ac:dyDescent="0.25">
      <c r="B573" t="s">
        <v>730</v>
      </c>
      <c r="C573" t="s">
        <v>118</v>
      </c>
    </row>
    <row r="574" spans="2:3" x14ac:dyDescent="0.25">
      <c r="B574" t="s">
        <v>1109</v>
      </c>
      <c r="C574" t="s">
        <v>118</v>
      </c>
    </row>
    <row r="575" spans="2:3" x14ac:dyDescent="0.25">
      <c r="B575" t="s">
        <v>325</v>
      </c>
      <c r="C575" t="s">
        <v>118</v>
      </c>
    </row>
    <row r="576" spans="2:3" x14ac:dyDescent="0.25">
      <c r="B576" t="s">
        <v>987</v>
      </c>
      <c r="C576" t="s">
        <v>118</v>
      </c>
    </row>
    <row r="577" spans="2:3" x14ac:dyDescent="0.25">
      <c r="B577" t="s">
        <v>961</v>
      </c>
      <c r="C577" t="s">
        <v>118</v>
      </c>
    </row>
    <row r="578" spans="2:3" x14ac:dyDescent="0.25">
      <c r="B578" t="s">
        <v>392</v>
      </c>
      <c r="C578" t="s">
        <v>118</v>
      </c>
    </row>
    <row r="579" spans="2:3" x14ac:dyDescent="0.25">
      <c r="B579" t="s">
        <v>365</v>
      </c>
      <c r="C579" t="s">
        <v>118</v>
      </c>
    </row>
    <row r="580" spans="2:3" x14ac:dyDescent="0.25">
      <c r="B580" t="s">
        <v>254</v>
      </c>
      <c r="C580" t="s">
        <v>118</v>
      </c>
    </row>
    <row r="581" spans="2:3" x14ac:dyDescent="0.25">
      <c r="B581" t="s">
        <v>1206</v>
      </c>
      <c r="C581" t="s">
        <v>118</v>
      </c>
    </row>
    <row r="582" spans="2:3" x14ac:dyDescent="0.25">
      <c r="B582" t="s">
        <v>1188</v>
      </c>
      <c r="C582" t="s">
        <v>118</v>
      </c>
    </row>
    <row r="583" spans="2:3" x14ac:dyDescent="0.25">
      <c r="B583" t="s">
        <v>692</v>
      </c>
      <c r="C583" t="s">
        <v>118</v>
      </c>
    </row>
    <row r="584" spans="2:3" x14ac:dyDescent="0.25">
      <c r="B584" t="s">
        <v>117</v>
      </c>
      <c r="C584" t="s">
        <v>118</v>
      </c>
    </row>
    <row r="585" spans="2:3" x14ac:dyDescent="0.25">
      <c r="B585" t="s">
        <v>906</v>
      </c>
      <c r="C585" t="s">
        <v>118</v>
      </c>
    </row>
    <row r="586" spans="2:3" x14ac:dyDescent="0.25">
      <c r="B586" t="s">
        <v>1033</v>
      </c>
      <c r="C586" t="s">
        <v>118</v>
      </c>
    </row>
    <row r="587" spans="2:3" x14ac:dyDescent="0.25">
      <c r="B587" t="s">
        <v>953</v>
      </c>
      <c r="C587" t="s">
        <v>118</v>
      </c>
    </row>
    <row r="588" spans="2:3" x14ac:dyDescent="0.25">
      <c r="B588" t="s">
        <v>637</v>
      </c>
      <c r="C588" t="s">
        <v>118</v>
      </c>
    </row>
    <row r="589" spans="2:3" x14ac:dyDescent="0.25">
      <c r="B589" t="s">
        <v>274</v>
      </c>
      <c r="C589" t="s">
        <v>118</v>
      </c>
    </row>
    <row r="590" spans="2:3" x14ac:dyDescent="0.25">
      <c r="B590" t="s">
        <v>409</v>
      </c>
      <c r="C590" t="s">
        <v>76</v>
      </c>
    </row>
    <row r="591" spans="2:3" x14ac:dyDescent="0.25">
      <c r="B591" t="s">
        <v>832</v>
      </c>
      <c r="C591" t="s">
        <v>76</v>
      </c>
    </row>
    <row r="592" spans="2:3" x14ac:dyDescent="0.25">
      <c r="B592" t="s">
        <v>419</v>
      </c>
      <c r="C592" t="s">
        <v>76</v>
      </c>
    </row>
    <row r="593" spans="2:3" x14ac:dyDescent="0.25">
      <c r="B593" t="s">
        <v>881</v>
      </c>
      <c r="C593" t="s">
        <v>76</v>
      </c>
    </row>
    <row r="594" spans="2:3" x14ac:dyDescent="0.25">
      <c r="B594" t="s">
        <v>1331</v>
      </c>
      <c r="C594" t="s">
        <v>76</v>
      </c>
    </row>
    <row r="595" spans="2:3" x14ac:dyDescent="0.25">
      <c r="B595" t="s">
        <v>75</v>
      </c>
      <c r="C595" t="s">
        <v>76</v>
      </c>
    </row>
    <row r="596" spans="2:3" x14ac:dyDescent="0.25">
      <c r="B596" t="s">
        <v>654</v>
      </c>
      <c r="C596" t="s">
        <v>76</v>
      </c>
    </row>
    <row r="597" spans="2:3" x14ac:dyDescent="0.25">
      <c r="B597" t="s">
        <v>766</v>
      </c>
      <c r="C597" t="s">
        <v>8</v>
      </c>
    </row>
    <row r="598" spans="2:3" x14ac:dyDescent="0.25">
      <c r="B598" t="s">
        <v>454</v>
      </c>
      <c r="C598" t="s">
        <v>8</v>
      </c>
    </row>
    <row r="599" spans="2:3" x14ac:dyDescent="0.25">
      <c r="B599" t="s">
        <v>1101</v>
      </c>
      <c r="C599" t="s">
        <v>8</v>
      </c>
    </row>
    <row r="600" spans="2:3" x14ac:dyDescent="0.25">
      <c r="B600" t="s">
        <v>47</v>
      </c>
      <c r="C600" t="s">
        <v>8</v>
      </c>
    </row>
    <row r="601" spans="2:3" x14ac:dyDescent="0.25">
      <c r="B601" t="s">
        <v>288</v>
      </c>
      <c r="C601" t="s">
        <v>8</v>
      </c>
    </row>
    <row r="602" spans="2:3" x14ac:dyDescent="0.25">
      <c r="B602" t="s">
        <v>695</v>
      </c>
      <c r="C602" t="s">
        <v>8</v>
      </c>
    </row>
    <row r="603" spans="2:3" x14ac:dyDescent="0.25">
      <c r="B603" t="s">
        <v>843</v>
      </c>
      <c r="C603" t="s">
        <v>8</v>
      </c>
    </row>
    <row r="604" spans="2:3" x14ac:dyDescent="0.25">
      <c r="B604" t="s">
        <v>10</v>
      </c>
      <c r="C604" t="s">
        <v>8</v>
      </c>
    </row>
    <row r="605" spans="2:3" x14ac:dyDescent="0.25">
      <c r="B605" t="s">
        <v>677</v>
      </c>
      <c r="C605" t="s">
        <v>8</v>
      </c>
    </row>
    <row r="606" spans="2:3" x14ac:dyDescent="0.25">
      <c r="B606" t="s">
        <v>1013</v>
      </c>
      <c r="C606" t="s">
        <v>8</v>
      </c>
    </row>
    <row r="607" spans="2:3" x14ac:dyDescent="0.25">
      <c r="B607" t="s">
        <v>7</v>
      </c>
      <c r="C607" t="s">
        <v>8</v>
      </c>
    </row>
    <row r="608" spans="2:3" x14ac:dyDescent="0.25">
      <c r="B608" t="s">
        <v>1318</v>
      </c>
      <c r="C608" t="s">
        <v>8</v>
      </c>
    </row>
    <row r="609" spans="2:3" x14ac:dyDescent="0.25">
      <c r="B609" t="s">
        <v>812</v>
      </c>
      <c r="C609" t="s">
        <v>8</v>
      </c>
    </row>
    <row r="610" spans="2:3" x14ac:dyDescent="0.25">
      <c r="B610" t="s">
        <v>852</v>
      </c>
      <c r="C610" t="s">
        <v>8</v>
      </c>
    </row>
    <row r="611" spans="2:3" x14ac:dyDescent="0.25">
      <c r="B611" t="s">
        <v>608</v>
      </c>
      <c r="C611" t="s">
        <v>8</v>
      </c>
    </row>
    <row r="612" spans="2:3" x14ac:dyDescent="0.25">
      <c r="B612" t="s">
        <v>225</v>
      </c>
      <c r="C612" t="s">
        <v>8</v>
      </c>
    </row>
    <row r="613" spans="2:3" x14ac:dyDescent="0.25">
      <c r="B613" t="s">
        <v>770</v>
      </c>
      <c r="C613" t="s">
        <v>248</v>
      </c>
    </row>
    <row r="614" spans="2:3" x14ac:dyDescent="0.25">
      <c r="B614" t="s">
        <v>761</v>
      </c>
      <c r="C614" t="s">
        <v>248</v>
      </c>
    </row>
    <row r="615" spans="2:3" x14ac:dyDescent="0.25">
      <c r="B615" t="s">
        <v>535</v>
      </c>
      <c r="C615" t="s">
        <v>248</v>
      </c>
    </row>
    <row r="616" spans="2:3" x14ac:dyDescent="0.25">
      <c r="B616" t="s">
        <v>247</v>
      </c>
      <c r="C616" t="s">
        <v>248</v>
      </c>
    </row>
    <row r="617" spans="2:3" x14ac:dyDescent="0.25">
      <c r="B617" t="s">
        <v>394</v>
      </c>
      <c r="C617" t="s">
        <v>248</v>
      </c>
    </row>
    <row r="618" spans="2:3" x14ac:dyDescent="0.25">
      <c r="B618" t="s">
        <v>294</v>
      </c>
      <c r="C618" t="s">
        <v>248</v>
      </c>
    </row>
    <row r="619" spans="2:3" x14ac:dyDescent="0.25">
      <c r="B619" t="s">
        <v>1080</v>
      </c>
      <c r="C619" t="s">
        <v>248</v>
      </c>
    </row>
    <row r="620" spans="2:3" x14ac:dyDescent="0.25">
      <c r="B620" t="s">
        <v>495</v>
      </c>
      <c r="C620" t="s">
        <v>248</v>
      </c>
    </row>
    <row r="621" spans="2:3" x14ac:dyDescent="0.25">
      <c r="B621" t="s">
        <v>772</v>
      </c>
      <c r="C621" t="s">
        <v>248</v>
      </c>
    </row>
    <row r="622" spans="2:3" x14ac:dyDescent="0.25">
      <c r="B622" t="s">
        <v>885</v>
      </c>
      <c r="C622" t="s">
        <v>248</v>
      </c>
    </row>
    <row r="623" spans="2:3" x14ac:dyDescent="0.25">
      <c r="B623" t="s">
        <v>854</v>
      </c>
      <c r="C623" t="s">
        <v>248</v>
      </c>
    </row>
    <row r="624" spans="2:3" x14ac:dyDescent="0.25">
      <c r="B624" t="s">
        <v>870</v>
      </c>
      <c r="C624" t="s">
        <v>248</v>
      </c>
    </row>
    <row r="625" spans="2:3" x14ac:dyDescent="0.25">
      <c r="B625" t="s">
        <v>929</v>
      </c>
      <c r="C625" t="s">
        <v>248</v>
      </c>
    </row>
    <row r="626" spans="2:3" x14ac:dyDescent="0.25">
      <c r="B626" t="s">
        <v>559</v>
      </c>
      <c r="C626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1</vt:lpstr>
      <vt:lpstr>2</vt:lpstr>
      <vt:lpstr>3</vt:lpstr>
      <vt:lpstr>areas for question 4</vt:lpstr>
      <vt:lpstr>4</vt:lpstr>
      <vt:lpstr>DISTRICTS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2020-01-27T10:11:42Z</dcterms:created>
  <dcterms:modified xsi:type="dcterms:W3CDTF">2026-03-02T18:28:44Z</dcterms:modified>
</cp:coreProperties>
</file>