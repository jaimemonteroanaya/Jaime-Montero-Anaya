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me\Downloads\"/>
    </mc:Choice>
  </mc:AlternateContent>
  <xr:revisionPtr revIDLastSave="0" documentId="8_{E737E256-DD4B-4DCB-BB79-6CAE80E534A3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data" sheetId="1" r:id="rId1"/>
    <sheet name="area in m2" sheetId="2" r:id="rId2"/>
    <sheet name="1" sheetId="3" r:id="rId3"/>
    <sheet name="2" sheetId="4" r:id="rId4"/>
    <sheet name="3" sheetId="11" r:id="rId5"/>
    <sheet name="4" sheetId="6" r:id="rId6"/>
    <sheet name="5" sheetId="8" r:id="rId7"/>
    <sheet name="6" sheetId="14" r:id="rId8"/>
  </sheets>
  <definedNames>
    <definedName name="_xlnm._FilterDatabase" localSheetId="0" hidden="1">data!$A$3:$J$1517</definedName>
  </definedName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1517" i="1" l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<sst xmlns="http://schemas.openxmlformats.org/spreadsheetml/2006/main" count="3118" uniqueCount="55">
  <si>
    <t>EASY LEVEL</t>
  </si>
  <si>
    <t>MEDIUM LEVEL</t>
  </si>
  <si>
    <t>Calculate the number of transactions over 530€ per Zone and Store.</t>
  </si>
  <si>
    <t>EXERCISES</t>
  </si>
  <si>
    <t>PRODUCT SALES</t>
  </si>
  <si>
    <t>Date</t>
  </si>
  <si>
    <t>Store number</t>
  </si>
  <si>
    <t>Zone</t>
  </si>
  <si>
    <t>Sales amount</t>
  </si>
  <si>
    <t>Discount</t>
  </si>
  <si>
    <t>Age</t>
  </si>
  <si>
    <t>Center</t>
  </si>
  <si>
    <t>North</t>
  </si>
  <si>
    <t>South</t>
  </si>
  <si>
    <t>Cash</t>
  </si>
  <si>
    <t>Deferred</t>
  </si>
  <si>
    <t>Number of sales transactions and average sales amount by Zone.</t>
  </si>
  <si>
    <t>Same table but now with an increase of 5% in sales, by all stores.</t>
  </si>
  <si>
    <t>Payment</t>
  </si>
  <si>
    <t>Average of Sales amount</t>
  </si>
  <si>
    <t>Row Labels</t>
  </si>
  <si>
    <t>Grand Total</t>
  </si>
  <si>
    <t>Number of transactions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</si>
  <si>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</si>
  <si>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</si>
  <si>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</si>
  <si>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</si>
  <si>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</si>
  <si>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</si>
  <si>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</si>
  <si>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</si>
  <si>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</si>
  <si>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</si>
  <si>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</si>
  <si>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</si>
  <si>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Sales incremented</t>
  </si>
  <si>
    <t>Average of Sales incremented</t>
  </si>
  <si>
    <t>% increase</t>
  </si>
  <si>
    <t>Over 530</t>
  </si>
  <si>
    <t>Over or Lower 530€</t>
  </si>
  <si>
    <t>Column Labels</t>
  </si>
  <si>
    <t>Below 530</t>
  </si>
  <si>
    <t>From 20 to 29</t>
  </si>
  <si>
    <t>From 30 to 39</t>
  </si>
  <si>
    <t>Over 50</t>
  </si>
  <si>
    <t>Other</t>
  </si>
  <si>
    <t>Is there any relation between Total Sales and Area in squared meters of the stores?</t>
  </si>
  <si>
    <t>Sum of Sales amount</t>
  </si>
  <si>
    <t>There appears to be some relation, but highest amount of sales (stores 3&amp;5) are not from biggest stores (1 &amp; 2)</t>
  </si>
  <si>
    <t>Average sales amount per month and &amp; % increase vs previous month</t>
  </si>
  <si>
    <t>Which age group has the highest average use of deferred payments: 20–29, 30–39, or over 50?</t>
  </si>
  <si>
    <t>Average sales amount per month and % increase vs previous month</t>
  </si>
  <si>
    <t>Area in sqm</t>
  </si>
  <si>
    <t>Area (sqm)</t>
  </si>
  <si>
    <t>Sum of Area in sqm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</si>
</sst>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0.0%"/>
    <numFmt numFmtId="165" formatCode="#,##0.00\ &quot;€&quot;"/>
  </numFmts>
  <fonts count="2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Calibri Light"/>
      <family val="2"/>
      <scheme val="major"/>
    </font>
    <font>
      <b/>
      <sz val="1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4"/>
      <color rgb="FF00B050"/>
      <name val="Arial"/>
      <family val="2"/>
    </font>
    <font>
      <b/>
      <sz val="14"/>
      <color theme="7" tint="-0.249977111117893"/>
      <name val="Calibri"/>
      <family val="2"/>
      <scheme val="minor"/>
    </font>
    <font>
      <sz val="13"/>
      <color theme="7" tint="-0.249977111117893"/>
      <name val="Calibri"/>
      <family val="2"/>
      <scheme val="minor"/>
    </font>
    <font>
      <sz val="13"/>
      <color rgb="FF00B050"/>
      <name val="Calibri"/>
      <family val="2"/>
      <scheme val="minor"/>
    </font>
    <font>
      <b/>
      <sz val="22"/>
      <color rgb="FF0070C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/>
    <xf numFmtId="44" fontId="3" fillId="0" borderId="0" xfId="0" applyNumberFormat="1" applyFont="1"/>
    <xf numFmtId="0" fontId="6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4" fontId="6" fillId="0" borderId="0" xfId="1" applyFont="1" applyAlignment="1">
      <alignment horizontal="center"/>
    </xf>
    <xf numFmtId="164" fontId="6" fillId="0" borderId="0" xfId="2" applyNumberFormat="1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4" fontId="6" fillId="0" borderId="0" xfId="0" applyNumberFormat="1" applyFont="1" applyAlignment="1">
      <alignment horizontal="center"/>
    </xf>
    <xf numFmtId="0" fontId="5" fillId="0" borderId="0" xfId="0" applyFont="1"/>
    <xf numFmtId="0" fontId="14" fillId="0" borderId="0" xfId="0" applyFont="1" applyAlignment="1">
      <alignment horizontal="center"/>
    </xf>
    <xf numFmtId="0" fontId="14" fillId="0" borderId="0" xfId="0" applyFont="1"/>
    <xf numFmtId="0" fontId="15" fillId="0" borderId="0" xfId="0" applyFont="1" applyAlignment="1">
      <alignment horizontal="center"/>
    </xf>
    <xf numFmtId="0" fontId="1" fillId="0" borderId="0" xfId="0" applyFont="1"/>
    <xf numFmtId="0" fontId="11" fillId="0" borderId="0" xfId="0" applyFont="1" applyAlignment="1">
      <alignment wrapText="1"/>
    </xf>
    <xf numFmtId="0" fontId="11" fillId="0" borderId="0" xfId="0" applyFont="1" applyAlignment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0" fontId="16" fillId="0" borderId="0" xfId="0" applyFont="1" applyAlignment="1">
      <alignment horizontal="left"/>
    </xf>
    <xf numFmtId="165" fontId="16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44" fontId="18" fillId="0" borderId="0" xfId="1" applyFont="1" applyAlignment="1">
      <alignment horizontal="center"/>
    </xf>
    <xf numFmtId="10" fontId="0" fillId="0" borderId="0" xfId="0" applyNumberFormat="1" applyAlignment="1">
      <alignment horizontal="center"/>
    </xf>
    <xf numFmtId="0" fontId="19" fillId="0" borderId="0" xfId="0" applyFont="1" applyAlignment="1">
      <alignment horizontal="left"/>
    </xf>
    <xf numFmtId="0" fontId="13" fillId="0" borderId="0" xfId="0" applyFont="1" applyAlignment="1">
      <alignment horizontal="center"/>
    </xf>
  </cellXfs>
  <cellStyles count="3">
    <cellStyle name="Euro" xfId="1" xr:uid="{00000000-0005-0000-0000-000000000000}"/>
    <cellStyle name="Normal" xfId="0" builtinId="0"/>
    <cellStyle name="Porcentaje" xfId="2" builtinId="5"/>
  </cellStyles>
  <dxfs count="17"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color rgb="FF00B050"/>
      </font>
    </dxf>
    <dxf>
      <font>
        <b/>
        <family val="2"/>
      </font>
    </dxf>
    <dxf>
      <font>
        <b/>
      </font>
    </dxf>
    <dxf>
      <font>
        <b/>
      </font>
    </dxf>
    <dxf>
      <font>
        <color rgb="FF00B050"/>
      </font>
    </dxf>
    <dxf>
      <font>
        <color rgb="FF00B050"/>
      </font>
    </dxf>
    <dxf>
      <alignment horizontal="center"/>
    </dxf>
    <dxf>
      <alignment horizontal="center"/>
    </dxf>
    <dxf>
      <numFmt numFmtId="14" formatCode="0.00%"/>
    </dxf>
    <dxf>
      <alignment horizontal="center"/>
    </dxf>
    <dxf>
      <numFmt numFmtId="14" formatCode="0.00%"/>
    </dxf>
    <dxf>
      <alignment horizontal="center"/>
    </dxf>
    <dxf>
      <numFmt numFmtId="165" formatCode="#,##0.00\ &quot;€&quot;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aro Jose Mendez Lopez" refreshedDate="46083.815967708331" createdVersion="8" refreshedVersion="8" minRefreshableVersion="3" recordCount="1514" xr:uid="{ED71FC9F-7171-48F2-B76C-389FDEDC7E9C}">
  <cacheSource type="worksheet">
    <worksheetSource ref="A3:J1517" sheet="data"/>
  </cacheSource>
  <cacheFields count="11">
    <cacheField name="Date" numFmtId="14">
      <sharedItems containsSemiMixedTypes="0" containsNonDate="0" containsDate="1" containsString="0" minDate="2022-01-01T00:00:00" maxDate="2022-12-31T00:00:00" count="354">
        <d v="2022-10-09T00:00:00"/>
        <d v="2022-08-13T00:00:00"/>
        <d v="2022-05-01T00:00:00"/>
        <d v="2022-03-14T00:00:00"/>
        <d v="2022-11-23T00:00:00"/>
        <d v="2022-03-11T00:00:00"/>
        <d v="2022-09-03T00:00:00"/>
        <d v="2022-12-24T00:00:00"/>
        <d v="2022-06-22T00:00:00"/>
        <d v="2022-04-29T00:00:00"/>
        <d v="2022-11-13T00:00:00"/>
        <d v="2022-12-22T00:00:00"/>
        <d v="2022-06-24T00:00:00"/>
        <d v="2022-05-14T00:00:00"/>
        <d v="2022-01-07T00:00:00"/>
        <d v="2022-09-24T00:00:00"/>
        <d v="2022-07-25T00:00:00"/>
        <d v="2022-04-22T00:00:00"/>
        <d v="2022-07-21T00:00:00"/>
        <d v="2022-10-12T00:00:00"/>
        <d v="2022-08-09T00:00:00"/>
        <d v="2022-09-05T00:00:00"/>
        <d v="2022-04-07T00:00:00"/>
        <d v="2022-12-21T00:00:00"/>
        <d v="2022-07-20T00:00:00"/>
        <d v="2022-04-20T00:00:00"/>
        <d v="2022-03-23T00:00:00"/>
        <d v="2022-12-18T00:00:00"/>
        <d v="2022-05-22T00:00:00"/>
        <d v="2022-07-16T00:00:00"/>
        <d v="2022-04-26T00:00:00"/>
        <d v="2022-09-15T00:00:00"/>
        <d v="2022-06-19T00:00:00"/>
        <d v="2022-03-12T00:00:00"/>
        <d v="2022-06-18T00:00:00"/>
        <d v="2022-12-19T00:00:00"/>
        <d v="2022-08-29T00:00:00"/>
        <d v="2022-03-16T00:00:00"/>
        <d v="2022-05-15T00:00:00"/>
        <d v="2022-07-13T00:00:00"/>
        <d v="2022-07-05T00:00:00"/>
        <d v="2022-06-27T00:00:00"/>
        <d v="2022-01-28T00:00:00"/>
        <d v="2022-01-03T00:00:00"/>
        <d v="2022-03-18T00:00:00"/>
        <d v="2022-09-12T00:00:00"/>
        <d v="2022-09-18T00:00:00"/>
        <d v="2022-12-25T00:00:00"/>
        <d v="2022-08-04T00:00:00"/>
        <d v="2022-05-19T00:00:00"/>
        <d v="2022-02-28T00:00:00"/>
        <d v="2022-12-08T00:00:00"/>
        <d v="2022-07-15T00:00:00"/>
        <d v="2022-01-20T00:00:00"/>
        <d v="2022-09-28T00:00:00"/>
        <d v="2022-03-03T00:00:00"/>
        <d v="2022-04-11T00:00:00"/>
        <d v="2022-06-08T00:00:00"/>
        <d v="2022-03-17T00:00:00"/>
        <d v="2022-05-23T00:00:00"/>
        <d v="2022-05-11T00:00:00"/>
        <d v="2022-01-23T00:00:00"/>
        <d v="2022-01-24T00:00:00"/>
        <d v="2022-10-25T00:00:00"/>
        <d v="2022-09-13T00:00:00"/>
        <d v="2022-04-04T00:00:00"/>
        <d v="2022-11-03T00:00:00"/>
        <d v="2022-06-02T00:00:00"/>
        <d v="2022-06-06T00:00:00"/>
        <d v="2022-03-13T00:00:00"/>
        <d v="2022-10-21T00:00:00"/>
        <d v="2022-04-14T00:00:00"/>
        <d v="2022-02-16T00:00:00"/>
        <d v="2022-03-20T00:00:00"/>
        <d v="2022-07-01T00:00:00"/>
        <d v="2022-07-11T00:00:00"/>
        <d v="2022-01-02T00:00:00"/>
        <d v="2022-01-17T00:00:00"/>
        <d v="2022-11-05T00:00:00"/>
        <d v="2022-11-10T00:00:00"/>
        <d v="2022-08-01T00:00:00"/>
        <d v="2022-06-16T00:00:00"/>
        <d v="2022-08-24T00:00:00"/>
        <d v="2022-09-10T00:00:00"/>
        <d v="2022-12-17T00:00:00"/>
        <d v="2022-02-27T00:00:00"/>
        <d v="2022-04-21T00:00:00"/>
        <d v="2022-02-13T00:00:00"/>
        <d v="2022-08-05T00:00:00"/>
        <d v="2022-08-30T00:00:00"/>
        <d v="2022-01-04T00:00:00"/>
        <d v="2022-10-11T00:00:00"/>
        <d v="2022-09-11T00:00:00"/>
        <d v="2022-12-03T00:00:00"/>
        <d v="2022-02-09T00:00:00"/>
        <d v="2022-07-22T00:00:00"/>
        <d v="2022-11-30T00:00:00"/>
        <d v="2022-04-03T00:00:00"/>
        <d v="2022-02-20T00:00:00"/>
        <d v="2022-06-01T00:00:00"/>
        <d v="2022-10-15T00:00:00"/>
        <d v="2022-04-15T00:00:00"/>
        <d v="2022-03-06T00:00:00"/>
        <d v="2022-01-08T00:00:00"/>
        <d v="2022-02-01T00:00:00"/>
        <d v="2022-04-27T00:00:00"/>
        <d v="2022-01-21T00:00:00"/>
        <d v="2022-05-21T00:00:00"/>
        <d v="2022-01-22T00:00:00"/>
        <d v="2022-03-07T00:00:00"/>
        <d v="2022-12-07T00:00:00"/>
        <d v="2022-02-15T00:00:00"/>
        <d v="2022-10-10T00:00:00"/>
        <d v="2022-10-18T00:00:00"/>
        <d v="2022-05-02T00:00:00"/>
        <d v="2022-12-28T00:00:00"/>
        <d v="2022-07-17T00:00:00"/>
        <d v="2022-03-21T00:00:00"/>
        <d v="2022-04-09T00:00:00"/>
        <d v="2022-11-08T00:00:00"/>
        <d v="2022-01-25T00:00:00"/>
        <d v="2022-12-10T00:00:00"/>
        <d v="2022-10-26T00:00:00"/>
        <d v="2022-05-05T00:00:00"/>
        <d v="2022-03-27T00:00:00"/>
        <d v="2022-09-16T00:00:00"/>
        <d v="2022-04-19T00:00:00"/>
        <d v="2022-02-26T00:00:00"/>
        <d v="2022-05-06T00:00:00"/>
        <d v="2022-03-22T00:00:00"/>
        <d v="2022-01-16T00:00:00"/>
        <d v="2022-06-07T00:00:00"/>
        <d v="2022-11-04T00:00:00"/>
        <d v="2022-01-11T00:00:00"/>
        <d v="2022-05-03T00:00:00"/>
        <d v="2022-05-18T00:00:00"/>
        <d v="2022-12-04T00:00:00"/>
        <d v="2022-10-24T00:00:00"/>
        <d v="2022-12-29T00:00:00"/>
        <d v="2022-06-21T00:00:00"/>
        <d v="2022-04-28T00:00:00"/>
        <d v="2022-05-24T00:00:00"/>
        <d v="2022-06-10T00:00:00"/>
        <d v="2022-08-27T00:00:00"/>
        <d v="2022-02-25T00:00:00"/>
        <d v="2022-05-08T00:00:00"/>
        <d v="2022-06-11T00:00:00"/>
        <d v="2022-07-04T00:00:00"/>
        <d v="2022-03-08T00:00:00"/>
        <d v="2022-01-29T00:00:00"/>
        <d v="2022-02-07T00:00:00"/>
        <d v="2022-01-05T00:00:00"/>
        <d v="2022-07-28T00:00:00"/>
        <d v="2022-08-08T00:00:00"/>
        <d v="2022-03-01T00:00:00"/>
        <d v="2022-12-02T00:00:00"/>
        <d v="2022-09-21T00:00:00"/>
        <d v="2022-08-11T00:00:00"/>
        <d v="2022-04-08T00:00:00"/>
        <d v="2022-12-20T00:00:00"/>
        <d v="2022-10-22T00:00:00"/>
        <d v="2022-05-26T00:00:00"/>
        <d v="2022-08-19T00:00:00"/>
        <d v="2022-01-10T00:00:00"/>
        <d v="2022-11-15T00:00:00"/>
        <d v="2022-01-01T00:00:00"/>
        <d v="2022-03-09T00:00:00"/>
        <d v="2022-08-18T00:00:00"/>
        <d v="2022-06-30T00:00:00"/>
        <d v="2022-08-06T00:00:00"/>
        <d v="2022-04-10T00:00:00"/>
        <d v="2022-03-29T00:00:00"/>
        <d v="2022-08-16T00:00:00"/>
        <d v="2022-09-17T00:00:00"/>
        <d v="2022-02-10T00:00:00"/>
        <d v="2022-09-08T00:00:00"/>
        <d v="2022-12-01T00:00:00"/>
        <d v="2022-05-09T00:00:00"/>
        <d v="2022-07-23T00:00:00"/>
        <d v="2022-05-25T00:00:00"/>
        <d v="2022-10-13T00:00:00"/>
        <d v="2022-10-04T00:00:00"/>
        <d v="2022-11-18T00:00:00"/>
        <d v="2022-08-21T00:00:00"/>
        <d v="2022-11-12T00:00:00"/>
        <d v="2022-05-28T00:00:00"/>
        <d v="2022-10-16T00:00:00"/>
        <d v="2022-11-16T00:00:00"/>
        <d v="2022-06-09T00:00:00"/>
        <d v="2022-06-04T00:00:00"/>
        <d v="2022-06-20T00:00:00"/>
        <d v="2022-09-19T00:00:00"/>
        <d v="2022-06-14T00:00:00"/>
        <d v="2022-07-08T00:00:00"/>
        <d v="2022-04-24T00:00:00"/>
        <d v="2022-10-20T00:00:00"/>
        <d v="2022-09-25T00:00:00"/>
        <d v="2022-10-27T00:00:00"/>
        <d v="2022-05-10T00:00:00"/>
        <d v="2022-05-16T00:00:00"/>
        <d v="2022-02-22T00:00:00"/>
        <d v="2022-03-19T00:00:00"/>
        <d v="2022-11-02T00:00:00"/>
        <d v="2022-09-30T00:00:00"/>
        <d v="2022-03-26T00:00:00"/>
        <d v="2022-05-29T00:00:00"/>
        <d v="2022-04-23T00:00:00"/>
        <d v="2022-10-14T00:00:00"/>
        <d v="2022-02-14T00:00:00"/>
        <d v="2022-06-03T00:00:00"/>
        <d v="2022-11-20T00:00:00"/>
        <d v="2022-06-13T00:00:00"/>
        <d v="2022-06-28T00:00:00"/>
        <d v="2022-10-01T00:00:00"/>
        <d v="2022-04-16T00:00:00"/>
        <d v="2022-07-09T00:00:00"/>
        <d v="2022-12-12T00:00:00"/>
        <d v="2022-09-02T00:00:00"/>
        <d v="2022-07-30T00:00:00"/>
        <d v="2022-02-24T00:00:00"/>
        <d v="2022-07-29T00:00:00"/>
        <d v="2022-04-02T00:00:00"/>
        <d v="2022-12-26T00:00:00"/>
        <d v="2022-03-25T00:00:00"/>
        <d v="2022-01-15T00:00:00"/>
        <d v="2022-11-28T00:00:00"/>
        <d v="2022-05-17T00:00:00"/>
        <d v="2022-02-17T00:00:00"/>
        <d v="2022-08-02T00:00:00"/>
        <d v="2022-12-30T00:00:00"/>
        <d v="2022-05-13T00:00:00"/>
        <d v="2022-09-01T00:00:00"/>
        <d v="2022-10-08T00:00:00"/>
        <d v="2022-08-12T00:00:00"/>
        <d v="2022-10-30T00:00:00"/>
        <d v="2022-03-28T00:00:00"/>
        <d v="2022-03-15T00:00:00"/>
        <d v="2022-02-11T00:00:00"/>
        <d v="2022-03-10T00:00:00"/>
        <d v="2022-01-09T00:00:00"/>
        <d v="2022-11-24T00:00:00"/>
        <d v="2022-08-07T00:00:00"/>
        <d v="2022-02-06T00:00:00"/>
        <d v="2022-03-24T00:00:00"/>
        <d v="2022-09-23T00:00:00"/>
        <d v="2022-11-17T00:00:00"/>
        <d v="2022-11-14T00:00:00"/>
        <d v="2022-02-02T00:00:00"/>
        <d v="2022-12-13T00:00:00"/>
        <d v="2022-01-14T00:00:00"/>
        <d v="2022-08-17T00:00:00"/>
        <d v="2022-12-09T00:00:00"/>
        <d v="2022-11-19T00:00:00"/>
        <d v="2022-08-03T00:00:00"/>
        <d v="2022-11-22T00:00:00"/>
        <d v="2022-02-12T00:00:00"/>
        <d v="2022-10-17T00:00:00"/>
        <d v="2022-10-02T00:00:00"/>
        <d v="2022-11-27T00:00:00"/>
        <d v="2022-11-25T00:00:00"/>
        <d v="2022-12-27T00:00:00"/>
        <d v="2022-07-26T00:00:00"/>
        <d v="2022-11-09T00:00:00"/>
        <d v="2022-06-17T00:00:00"/>
        <d v="2022-07-18T00:00:00"/>
        <d v="2022-12-11T00:00:00"/>
        <d v="2022-06-23T00:00:00"/>
        <d v="2022-06-15T00:00:00"/>
        <d v="2022-12-23T00:00:00"/>
        <d v="2022-06-26T00:00:00"/>
        <d v="2022-05-12T00:00:00"/>
        <d v="2022-11-06T00:00:00"/>
        <d v="2022-09-20T00:00:00"/>
        <d v="2022-08-22T00:00:00"/>
        <d v="2022-08-25T00:00:00"/>
        <d v="2022-05-04T00:00:00"/>
        <d v="2022-08-23T00:00:00"/>
        <d v="2022-12-15T00:00:00"/>
        <d v="2022-01-06T00:00:00"/>
        <d v="2022-03-05T00:00:00"/>
        <d v="2022-05-27T00:00:00"/>
        <d v="2022-09-22T00:00:00"/>
        <d v="2022-02-04T00:00:00"/>
        <d v="2022-10-29T00:00:00"/>
        <d v="2022-04-30T00:00:00"/>
        <d v="2022-09-04T00:00:00"/>
        <d v="2022-08-28T00:00:00"/>
        <d v="2022-06-12T00:00:00"/>
        <d v="2022-04-05T00:00:00"/>
        <d v="2022-02-08T00:00:00"/>
        <d v="2022-09-26T00:00:00"/>
        <d v="2022-11-26T00:00:00"/>
        <d v="2022-01-18T00:00:00"/>
        <d v="2022-07-12T00:00:00"/>
        <d v="2022-06-05T00:00:00"/>
        <d v="2022-07-24T00:00:00"/>
        <d v="2022-09-27T00:00:00"/>
        <d v="2022-12-14T00:00:00"/>
        <d v="2022-11-01T00:00:00"/>
        <d v="2022-01-13T00:00:00"/>
        <d v="2022-06-25T00:00:00"/>
        <d v="2022-01-19T00:00:00"/>
        <d v="2022-02-18T00:00:00"/>
        <d v="2022-09-14T00:00:00"/>
        <d v="2022-12-05T00:00:00"/>
        <d v="2022-08-15T00:00:00"/>
        <d v="2022-07-27T00:00:00"/>
        <d v="2022-03-30T00:00:00"/>
        <d v="2022-10-19T00:00:00"/>
        <d v="2022-04-18T00:00:00"/>
        <d v="2022-01-30T00:00:00"/>
        <d v="2022-11-11T00:00:00"/>
        <d v="2022-07-06T00:00:00"/>
        <d v="2022-01-12T00:00:00"/>
        <d v="2022-02-21T00:00:00"/>
        <d v="2022-07-03T00:00:00"/>
        <d v="2022-01-26T00:00:00"/>
        <d v="2022-09-07T00:00:00"/>
        <d v="2022-03-02T00:00:00"/>
        <d v="2022-05-20T00:00:00"/>
        <d v="2022-08-14T00:00:00"/>
        <d v="2022-10-05T00:00:00"/>
        <d v="2022-08-26T00:00:00"/>
        <d v="2022-09-29T00:00:00"/>
        <d v="2022-11-21T00:00:00"/>
        <d v="2022-10-06T00:00:00"/>
        <d v="2022-05-07T00:00:00"/>
        <d v="2022-04-25T00:00:00"/>
        <d v="2022-07-02T00:00:00"/>
        <d v="2022-07-07T00:00:00"/>
        <d v="2022-09-09T00:00:00"/>
        <d v="2022-07-10T00:00:00"/>
        <d v="2022-07-14T00:00:00"/>
        <d v="2022-04-17T00:00:00"/>
        <d v="2022-02-23T00:00:00"/>
        <d v="2022-02-03T00:00:00"/>
        <d v="2022-02-05T00:00:00"/>
        <d v="2022-04-01T00:00:00"/>
        <d v="2022-09-06T00:00:00"/>
        <d v="2022-04-06T00:00:00"/>
        <d v="2022-03-04T00:00:00"/>
        <d v="2022-08-10T00:00:00"/>
        <d v="2022-04-13T00:00:00"/>
        <d v="2022-04-12T00:00:00"/>
        <d v="2022-10-23T00:00:00"/>
        <d v="2022-08-20T00:00:00"/>
        <d v="2022-02-19T00:00:00"/>
        <d v="2022-11-07T00:00:00"/>
        <d v="2022-06-29T00:00:00"/>
        <d v="2022-10-03T00:00:00"/>
        <d v="2022-10-07T00:00:00"/>
        <d v="2022-07-19T00:00:00"/>
        <d v="2022-12-16T00:00:00"/>
        <d v="2022-05-30T00:00:00"/>
      </sharedItems>
      <fieldGroup base="0">
        <rangePr groupBy="months" startDate="2022-01-01T00:00:00" endDate="2022-12-31T00:00:00"/>
        <groupItems count="14">
          <s v="&lt;01/01/2022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31/12/2022"/>
        </groupItems>
      </fieldGroup>
    </cacheField>
    <cacheField name="Store number" numFmtId="0">
      <sharedItems containsSemiMixedTypes="0" containsString="0" containsNumber="1" containsInteger="1" minValue="1" maxValue="9" count="9">
        <n v="1"/>
        <n v="9"/>
        <n v="2"/>
        <n v="3"/>
        <n v="6"/>
        <n v="5"/>
        <n v="8"/>
        <n v="7"/>
        <n v="4"/>
      </sharedItems>
    </cacheField>
    <cacheField name="Area in sqm" numFmtId="0">
      <sharedItems containsSemiMixedTypes="0" containsString="0" containsNumber="1" containsInteger="1" minValue="140" maxValue="280"/>
    </cacheField>
    <cacheField name="Zone" numFmtId="0">
      <sharedItems count="3">
        <s v="Center"/>
        <s v="North"/>
        <s v="South"/>
      </sharedItems>
    </cacheField>
    <cacheField name="Sales amount" numFmtId="44">
      <sharedItems containsSemiMixedTypes="0" containsString="0" containsNumber="1" minValue="500.03582764977273" maxValue="562.17999999999995"/>
    </cacheField>
    <cacheField name="Over or Lower 530€" numFmtId="44">
      <sharedItems count="2">
        <s v="Over 530"/>
        <s v="Below 530"/>
      </sharedItems>
    </cacheField>
    <cacheField name="Sales incremented" numFmtId="44">
      <sharedItems containsSemiMixedTypes="0" containsString="0" containsNumber="1" minValue="525.03761903226143" maxValue="590.28899999999999"/>
    </cacheField>
    <cacheField name="Discount" numFmtId="164">
      <sharedItems containsSemiMixedTypes="0" containsString="0" containsNumber="1" minValue="0" maxValue="0.03"/>
    </cacheField>
    <cacheField name="Payment" numFmtId="0">
      <sharedItems count="2">
        <s v="Cash"/>
        <s v="Deferred"/>
      </sharedItems>
    </cacheField>
    <cacheField name="Age" numFmtId="0">
      <sharedItems containsSemiMixedTypes="0" containsString="0" containsNumber="1" containsInteger="1" minValue="16" maxValue="65" count="50">
        <n v="46"/>
        <n v="48"/>
        <n v="49"/>
        <n v="35"/>
        <n v="38"/>
        <n v="40"/>
        <n v="21"/>
        <n v="39"/>
        <n v="50"/>
        <n v="24"/>
        <n v="32"/>
        <n v="29"/>
        <n v="22"/>
        <n v="28"/>
        <n v="34"/>
        <n v="36"/>
        <n v="27"/>
        <n v="26"/>
        <n v="47"/>
        <n v="33"/>
        <n v="23"/>
        <n v="17"/>
        <n v="56"/>
        <n v="16"/>
        <n v="25"/>
        <n v="30"/>
        <n v="44"/>
        <n v="65"/>
        <n v="45"/>
        <n v="31"/>
        <n v="42"/>
        <n v="62"/>
        <n v="18"/>
        <n v="64"/>
        <n v="41"/>
        <n v="37"/>
        <n v="43"/>
        <n v="54"/>
        <n v="20"/>
        <n v="59"/>
        <n v="19"/>
        <n v="60"/>
        <n v="58"/>
        <n v="61"/>
        <n v="52"/>
        <n v="51"/>
        <n v="63"/>
        <n v="57"/>
        <n v="55"/>
        <n v="53"/>
      </sharedItems>
      <fieldGroup par="10"/>
    </cacheField>
    <cacheField name="Age2" numFmtId="0" databaseField="0">
      <fieldGroup base="9">
        <discretePr count="50">
          <x v="3"/>
          <x v="3"/>
          <x v="3"/>
          <x v="1"/>
          <x v="1"/>
          <x v="3"/>
          <x v="0"/>
          <x v="1"/>
          <x v="2"/>
          <x v="0"/>
          <x v="1"/>
          <x v="0"/>
          <x v="0"/>
          <x v="0"/>
          <x v="1"/>
          <x v="1"/>
          <x v="0"/>
          <x v="0"/>
          <x v="3"/>
          <x v="1"/>
          <x v="0"/>
          <x v="3"/>
          <x v="2"/>
          <x v="3"/>
          <x v="0"/>
          <x v="1"/>
          <x v="3"/>
          <x v="2"/>
          <x v="3"/>
          <x v="1"/>
          <x v="3"/>
          <x v="2"/>
          <x v="3"/>
          <x v="2"/>
          <x v="3"/>
          <x v="1"/>
          <x v="3"/>
          <x v="2"/>
          <x v="0"/>
          <x v="2"/>
          <x v="3"/>
          <x v="2"/>
          <x v="2"/>
          <x v="2"/>
          <x v="2"/>
          <x v="2"/>
          <x v="2"/>
          <x v="2"/>
          <x v="2"/>
          <x v="2"/>
        </discretePr>
        <groupItems count="4">
          <s v="Group1"/>
          <s v="Group2"/>
          <s v="Group3"/>
          <s v="Group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4">
  <r>
    <x v="0"/>
    <x v="0"/>
    <n v="280"/>
    <x v="0"/>
    <n v="533.62466465154921"/>
    <x v="0"/>
    <n v="560.30589788412669"/>
    <n v="0.01"/>
    <x v="0"/>
    <x v="0"/>
  </r>
  <r>
    <x v="1"/>
    <x v="1"/>
    <n v="140"/>
    <x v="1"/>
    <n v="521.93931604370209"/>
    <x v="1"/>
    <n v="548.03628184588717"/>
    <n v="0.02"/>
    <x v="1"/>
    <x v="1"/>
  </r>
  <r>
    <x v="2"/>
    <x v="2"/>
    <n v="250"/>
    <x v="0"/>
    <n v="522.2433839538262"/>
    <x v="1"/>
    <n v="548.35555315151748"/>
    <n v="0"/>
    <x v="1"/>
    <x v="2"/>
  </r>
  <r>
    <x v="3"/>
    <x v="1"/>
    <n v="140"/>
    <x v="1"/>
    <n v="504.80304413866179"/>
    <x v="1"/>
    <n v="530.04319634559488"/>
    <n v="0.02"/>
    <x v="0"/>
    <x v="3"/>
  </r>
  <r>
    <x v="4"/>
    <x v="3"/>
    <n v="195"/>
    <x v="0"/>
    <n v="524.31073760378604"/>
    <x v="1"/>
    <n v="550.52627448397539"/>
    <n v="0.01"/>
    <x v="0"/>
    <x v="4"/>
  </r>
  <r>
    <x v="5"/>
    <x v="4"/>
    <n v="175"/>
    <x v="2"/>
    <n v="505.40692903705076"/>
    <x v="1"/>
    <n v="530.67727548890332"/>
    <n v="0"/>
    <x v="0"/>
    <x v="5"/>
  </r>
  <r>
    <x v="6"/>
    <x v="0"/>
    <n v="280"/>
    <x v="0"/>
    <n v="520.79123385421008"/>
    <x v="1"/>
    <n v="546.83079554692063"/>
    <n v="0.01"/>
    <x v="0"/>
    <x v="6"/>
  </r>
  <r>
    <x v="7"/>
    <x v="0"/>
    <n v="280"/>
    <x v="0"/>
    <n v="501.27099782657842"/>
    <x v="1"/>
    <n v="526.33454771790741"/>
    <n v="0"/>
    <x v="1"/>
    <x v="7"/>
  </r>
  <r>
    <x v="3"/>
    <x v="1"/>
    <n v="140"/>
    <x v="1"/>
    <n v="543.18559837383145"/>
    <x v="0"/>
    <n v="570.34487829252305"/>
    <n v="0.01"/>
    <x v="0"/>
    <x v="8"/>
  </r>
  <r>
    <x v="8"/>
    <x v="0"/>
    <n v="280"/>
    <x v="0"/>
    <n v="524.31993259310275"/>
    <x v="1"/>
    <n v="550.53592922275789"/>
    <n v="0.02"/>
    <x v="0"/>
    <x v="9"/>
  </r>
  <r>
    <x v="9"/>
    <x v="5"/>
    <n v="200"/>
    <x v="2"/>
    <n v="521.06854525906238"/>
    <x v="1"/>
    <n v="547.12197252201554"/>
    <n v="0.02"/>
    <x v="1"/>
    <x v="10"/>
  </r>
  <r>
    <x v="10"/>
    <x v="6"/>
    <n v="142"/>
    <x v="1"/>
    <n v="507.96048314913514"/>
    <x v="1"/>
    <n v="533.35850730659195"/>
    <n v="0.01"/>
    <x v="0"/>
    <x v="11"/>
  </r>
  <r>
    <x v="11"/>
    <x v="4"/>
    <n v="175"/>
    <x v="2"/>
    <n v="518.81312146490654"/>
    <x v="1"/>
    <n v="544.75377753815189"/>
    <n v="0.03"/>
    <x v="0"/>
    <x v="12"/>
  </r>
  <r>
    <x v="12"/>
    <x v="4"/>
    <n v="175"/>
    <x v="2"/>
    <n v="519.04455634810165"/>
    <x v="1"/>
    <n v="544.99678416550671"/>
    <n v="0"/>
    <x v="1"/>
    <x v="7"/>
  </r>
  <r>
    <x v="13"/>
    <x v="0"/>
    <n v="280"/>
    <x v="0"/>
    <n v="528.3973588266972"/>
    <x v="1"/>
    <n v="554.81722676803213"/>
    <n v="0"/>
    <x v="0"/>
    <x v="13"/>
  </r>
  <r>
    <x v="14"/>
    <x v="1"/>
    <n v="140"/>
    <x v="1"/>
    <n v="510.44928210452326"/>
    <x v="1"/>
    <n v="535.97174620974943"/>
    <n v="0.03"/>
    <x v="0"/>
    <x v="0"/>
  </r>
  <r>
    <x v="15"/>
    <x v="2"/>
    <n v="250"/>
    <x v="0"/>
    <n v="506.83972564156193"/>
    <x v="1"/>
    <n v="532.18171192364002"/>
    <n v="0"/>
    <x v="0"/>
    <x v="14"/>
  </r>
  <r>
    <x v="16"/>
    <x v="7"/>
    <n v="166"/>
    <x v="1"/>
    <n v="525.99557062189342"/>
    <x v="1"/>
    <n v="552.29534915298814"/>
    <n v="0.02"/>
    <x v="1"/>
    <x v="15"/>
  </r>
  <r>
    <x v="17"/>
    <x v="8"/>
    <n v="188"/>
    <x v="0"/>
    <n v="504.43710308529717"/>
    <x v="1"/>
    <n v="529.65895823956203"/>
    <n v="0.02"/>
    <x v="1"/>
    <x v="9"/>
  </r>
  <r>
    <x v="18"/>
    <x v="7"/>
    <n v="166"/>
    <x v="0"/>
    <n v="537.25821499165704"/>
    <x v="0"/>
    <n v="564.12112574123989"/>
    <n v="0.03"/>
    <x v="1"/>
    <x v="6"/>
  </r>
  <r>
    <x v="6"/>
    <x v="3"/>
    <n v="195"/>
    <x v="0"/>
    <n v="507.84258001132912"/>
    <x v="1"/>
    <n v="533.23470901189557"/>
    <n v="0.03"/>
    <x v="0"/>
    <x v="14"/>
  </r>
  <r>
    <x v="19"/>
    <x v="7"/>
    <n v="166"/>
    <x v="1"/>
    <n v="550.08349457677468"/>
    <x v="0"/>
    <n v="577.58766930561342"/>
    <n v="0.02"/>
    <x v="0"/>
    <x v="3"/>
  </r>
  <r>
    <x v="20"/>
    <x v="2"/>
    <n v="250"/>
    <x v="0"/>
    <n v="530.25204125646724"/>
    <x v="0"/>
    <n v="556.7646433192906"/>
    <n v="0.02"/>
    <x v="0"/>
    <x v="16"/>
  </r>
  <r>
    <x v="21"/>
    <x v="8"/>
    <n v="188"/>
    <x v="0"/>
    <n v="526.8909709923837"/>
    <x v="1"/>
    <n v="553.23551954200286"/>
    <n v="0.03"/>
    <x v="0"/>
    <x v="17"/>
  </r>
  <r>
    <x v="22"/>
    <x v="5"/>
    <n v="200"/>
    <x v="2"/>
    <n v="534.69167058554558"/>
    <x v="0"/>
    <n v="561.42625411482288"/>
    <n v="0"/>
    <x v="1"/>
    <x v="6"/>
  </r>
  <r>
    <x v="23"/>
    <x v="3"/>
    <n v="195"/>
    <x v="0"/>
    <n v="541.04491012763719"/>
    <x v="0"/>
    <n v="568.09715563401903"/>
    <n v="0.01"/>
    <x v="0"/>
    <x v="6"/>
  </r>
  <r>
    <x v="24"/>
    <x v="8"/>
    <n v="188"/>
    <x v="0"/>
    <n v="540.01250368363253"/>
    <x v="0"/>
    <n v="567.0131288678142"/>
    <n v="0.02"/>
    <x v="0"/>
    <x v="18"/>
  </r>
  <r>
    <x v="25"/>
    <x v="6"/>
    <n v="142"/>
    <x v="1"/>
    <n v="542.87515513716426"/>
    <x v="0"/>
    <n v="570.01891289402249"/>
    <n v="0.01"/>
    <x v="0"/>
    <x v="19"/>
  </r>
  <r>
    <x v="26"/>
    <x v="1"/>
    <n v="140"/>
    <x v="1"/>
    <n v="513.08492757040858"/>
    <x v="1"/>
    <n v="538.73917394892908"/>
    <n v="0.01"/>
    <x v="0"/>
    <x v="5"/>
  </r>
  <r>
    <x v="27"/>
    <x v="2"/>
    <n v="250"/>
    <x v="0"/>
    <n v="502.30191952703899"/>
    <x v="1"/>
    <n v="527.41701550339099"/>
    <n v="0.01"/>
    <x v="0"/>
    <x v="20"/>
  </r>
  <r>
    <x v="28"/>
    <x v="7"/>
    <n v="166"/>
    <x v="1"/>
    <n v="507.71621311337276"/>
    <x v="1"/>
    <n v="533.10202376904147"/>
    <n v="0"/>
    <x v="0"/>
    <x v="12"/>
  </r>
  <r>
    <x v="29"/>
    <x v="7"/>
    <n v="166"/>
    <x v="1"/>
    <n v="540.97331655895596"/>
    <x v="0"/>
    <n v="568.0219823869038"/>
    <n v="0.03"/>
    <x v="1"/>
    <x v="19"/>
  </r>
  <r>
    <x v="30"/>
    <x v="0"/>
    <n v="280"/>
    <x v="0"/>
    <n v="503.83253203367167"/>
    <x v="1"/>
    <n v="529.02415863535532"/>
    <n v="0.01"/>
    <x v="0"/>
    <x v="12"/>
  </r>
  <r>
    <x v="31"/>
    <x v="5"/>
    <n v="200"/>
    <x v="2"/>
    <n v="531.84212958782155"/>
    <x v="0"/>
    <n v="558.43423606721262"/>
    <n v="0.03"/>
    <x v="0"/>
    <x v="8"/>
  </r>
  <r>
    <x v="32"/>
    <x v="2"/>
    <n v="250"/>
    <x v="0"/>
    <n v="522.59413194515673"/>
    <x v="1"/>
    <n v="548.72383854241457"/>
    <n v="0.01"/>
    <x v="1"/>
    <x v="21"/>
  </r>
  <r>
    <x v="33"/>
    <x v="0"/>
    <n v="280"/>
    <x v="0"/>
    <n v="530.14659104228122"/>
    <x v="0"/>
    <n v="556.65392059439534"/>
    <n v="0.01"/>
    <x v="1"/>
    <x v="5"/>
  </r>
  <r>
    <x v="34"/>
    <x v="3"/>
    <n v="195"/>
    <x v="0"/>
    <n v="550.73568301142586"/>
    <x v="0"/>
    <n v="578.27246716199716"/>
    <n v="0.02"/>
    <x v="0"/>
    <x v="1"/>
  </r>
  <r>
    <x v="35"/>
    <x v="0"/>
    <n v="280"/>
    <x v="0"/>
    <n v="529.64326356123274"/>
    <x v="1"/>
    <n v="556.12542673929443"/>
    <n v="0"/>
    <x v="1"/>
    <x v="21"/>
  </r>
  <r>
    <x v="36"/>
    <x v="5"/>
    <n v="200"/>
    <x v="2"/>
    <n v="543.76527225178143"/>
    <x v="0"/>
    <n v="570.95353586437056"/>
    <n v="0.03"/>
    <x v="1"/>
    <x v="9"/>
  </r>
  <r>
    <x v="37"/>
    <x v="3"/>
    <n v="195"/>
    <x v="0"/>
    <n v="531.1362173034322"/>
    <x v="0"/>
    <n v="557.69302816860386"/>
    <n v="0"/>
    <x v="1"/>
    <x v="22"/>
  </r>
  <r>
    <x v="38"/>
    <x v="1"/>
    <n v="140"/>
    <x v="1"/>
    <n v="536.39447464224668"/>
    <x v="0"/>
    <n v="563.21419837435906"/>
    <n v="0.02"/>
    <x v="1"/>
    <x v="1"/>
  </r>
  <r>
    <x v="39"/>
    <x v="0"/>
    <n v="280"/>
    <x v="0"/>
    <n v="500.23231707821014"/>
    <x v="1"/>
    <n v="525.24393293212063"/>
    <n v="0.01"/>
    <x v="0"/>
    <x v="15"/>
  </r>
  <r>
    <x v="40"/>
    <x v="4"/>
    <n v="175"/>
    <x v="2"/>
    <n v="511.13727902466235"/>
    <x v="1"/>
    <n v="536.69414297589549"/>
    <n v="0.02"/>
    <x v="0"/>
    <x v="10"/>
  </r>
  <r>
    <x v="41"/>
    <x v="1"/>
    <n v="140"/>
    <x v="1"/>
    <n v="509.45229064562864"/>
    <x v="1"/>
    <n v="534.92490517791009"/>
    <n v="0.02"/>
    <x v="0"/>
    <x v="20"/>
  </r>
  <r>
    <x v="42"/>
    <x v="2"/>
    <n v="250"/>
    <x v="0"/>
    <n v="530.03892364672447"/>
    <x v="0"/>
    <n v="556.54086982906074"/>
    <n v="0.02"/>
    <x v="0"/>
    <x v="1"/>
  </r>
  <r>
    <x v="43"/>
    <x v="0"/>
    <n v="280"/>
    <x v="0"/>
    <n v="523.20279489787208"/>
    <x v="1"/>
    <n v="549.36293464276571"/>
    <n v="0.02"/>
    <x v="0"/>
    <x v="7"/>
  </r>
  <r>
    <x v="44"/>
    <x v="4"/>
    <n v="175"/>
    <x v="2"/>
    <n v="505.32087733019353"/>
    <x v="1"/>
    <n v="530.5869211967032"/>
    <n v="0.01"/>
    <x v="1"/>
    <x v="23"/>
  </r>
  <r>
    <x v="45"/>
    <x v="8"/>
    <n v="188"/>
    <x v="0"/>
    <n v="534.32101568800044"/>
    <x v="0"/>
    <n v="561.03706647240051"/>
    <n v="0.02"/>
    <x v="1"/>
    <x v="24"/>
  </r>
  <r>
    <x v="46"/>
    <x v="7"/>
    <n v="166"/>
    <x v="1"/>
    <n v="533.6183922400196"/>
    <x v="0"/>
    <n v="560.29931185202065"/>
    <n v="0.02"/>
    <x v="1"/>
    <x v="1"/>
  </r>
  <r>
    <x v="47"/>
    <x v="2"/>
    <n v="250"/>
    <x v="0"/>
    <n v="541.16318167282225"/>
    <x v="0"/>
    <n v="568.22134075646341"/>
    <n v="0"/>
    <x v="0"/>
    <x v="12"/>
  </r>
  <r>
    <x v="48"/>
    <x v="6"/>
    <n v="142"/>
    <x v="1"/>
    <n v="541.96139371240861"/>
    <x v="0"/>
    <n v="569.05946339802904"/>
    <n v="0.03"/>
    <x v="0"/>
    <x v="6"/>
  </r>
  <r>
    <x v="49"/>
    <x v="3"/>
    <n v="195"/>
    <x v="0"/>
    <n v="547.63679280738143"/>
    <x v="0"/>
    <n v="575.01863244775052"/>
    <n v="0.03"/>
    <x v="1"/>
    <x v="24"/>
  </r>
  <r>
    <x v="50"/>
    <x v="7"/>
    <n v="166"/>
    <x v="1"/>
    <n v="506.42350942166649"/>
    <x v="1"/>
    <n v="531.74468489274989"/>
    <n v="0.03"/>
    <x v="0"/>
    <x v="20"/>
  </r>
  <r>
    <x v="43"/>
    <x v="3"/>
    <n v="195"/>
    <x v="0"/>
    <n v="534.42472315546911"/>
    <x v="0"/>
    <n v="561.14595931324254"/>
    <n v="0.03"/>
    <x v="0"/>
    <x v="19"/>
  </r>
  <r>
    <x v="51"/>
    <x v="3"/>
    <n v="195"/>
    <x v="0"/>
    <n v="500.41425587691174"/>
    <x v="1"/>
    <n v="525.43496867075737"/>
    <n v="0"/>
    <x v="0"/>
    <x v="24"/>
  </r>
  <r>
    <x v="52"/>
    <x v="3"/>
    <n v="195"/>
    <x v="0"/>
    <n v="547.75109499995051"/>
    <x v="0"/>
    <n v="575.13864974994806"/>
    <n v="0.01"/>
    <x v="1"/>
    <x v="8"/>
  </r>
  <r>
    <x v="53"/>
    <x v="2"/>
    <n v="250"/>
    <x v="0"/>
    <n v="549.75440665874339"/>
    <x v="0"/>
    <n v="577.24212699168061"/>
    <n v="0"/>
    <x v="0"/>
    <x v="6"/>
  </r>
  <r>
    <x v="54"/>
    <x v="3"/>
    <n v="195"/>
    <x v="0"/>
    <n v="536.40847345971724"/>
    <x v="0"/>
    <n v="563.22889713270308"/>
    <n v="0.01"/>
    <x v="0"/>
    <x v="2"/>
  </r>
  <r>
    <x v="55"/>
    <x v="4"/>
    <n v="175"/>
    <x v="2"/>
    <n v="549.15387256155736"/>
    <x v="0"/>
    <n v="576.61156618963525"/>
    <n v="0.02"/>
    <x v="0"/>
    <x v="12"/>
  </r>
  <r>
    <x v="10"/>
    <x v="5"/>
    <n v="200"/>
    <x v="2"/>
    <n v="530.22"/>
    <x v="0"/>
    <n v="556.73100000000011"/>
    <n v="0"/>
    <x v="1"/>
    <x v="25"/>
  </r>
  <r>
    <x v="56"/>
    <x v="6"/>
    <n v="142"/>
    <x v="1"/>
    <n v="522.51630617580304"/>
    <x v="1"/>
    <n v="548.64212148459319"/>
    <n v="0.01"/>
    <x v="0"/>
    <x v="3"/>
  </r>
  <r>
    <x v="57"/>
    <x v="4"/>
    <n v="175"/>
    <x v="2"/>
    <n v="533.89762095097194"/>
    <x v="0"/>
    <n v="560.59250199852056"/>
    <n v="0.02"/>
    <x v="0"/>
    <x v="26"/>
  </r>
  <r>
    <x v="58"/>
    <x v="4"/>
    <n v="175"/>
    <x v="2"/>
    <n v="510.72481854971102"/>
    <x v="1"/>
    <n v="536.26105947719657"/>
    <n v="0.03"/>
    <x v="1"/>
    <x v="9"/>
  </r>
  <r>
    <x v="55"/>
    <x v="6"/>
    <n v="142"/>
    <x v="1"/>
    <n v="500.46016988361544"/>
    <x v="1"/>
    <n v="525.48317837779621"/>
    <n v="0.03"/>
    <x v="0"/>
    <x v="12"/>
  </r>
  <r>
    <x v="59"/>
    <x v="3"/>
    <n v="195"/>
    <x v="0"/>
    <n v="524.02491275510238"/>
    <x v="1"/>
    <n v="550.22615839285754"/>
    <n v="0.01"/>
    <x v="0"/>
    <x v="19"/>
  </r>
  <r>
    <x v="60"/>
    <x v="1"/>
    <n v="140"/>
    <x v="1"/>
    <n v="505.70443720091589"/>
    <x v="1"/>
    <n v="530.98965906096169"/>
    <n v="0.02"/>
    <x v="0"/>
    <x v="26"/>
  </r>
  <r>
    <x v="61"/>
    <x v="0"/>
    <n v="280"/>
    <x v="0"/>
    <n v="538.74670682023952"/>
    <x v="0"/>
    <n v="565.68404216125157"/>
    <n v="0.02"/>
    <x v="0"/>
    <x v="4"/>
  </r>
  <r>
    <x v="62"/>
    <x v="7"/>
    <n v="166"/>
    <x v="1"/>
    <n v="532.55806839607158"/>
    <x v="0"/>
    <n v="559.18597181587518"/>
    <n v="0.01"/>
    <x v="0"/>
    <x v="13"/>
  </r>
  <r>
    <x v="63"/>
    <x v="3"/>
    <n v="195"/>
    <x v="0"/>
    <n v="544.69970556839689"/>
    <x v="0"/>
    <n v="571.93469084681681"/>
    <n v="0.03"/>
    <x v="0"/>
    <x v="24"/>
  </r>
  <r>
    <x v="58"/>
    <x v="3"/>
    <n v="195"/>
    <x v="0"/>
    <n v="545.60367957835842"/>
    <x v="0"/>
    <n v="572.88386355727641"/>
    <n v="0.02"/>
    <x v="0"/>
    <x v="26"/>
  </r>
  <r>
    <x v="64"/>
    <x v="7"/>
    <n v="166"/>
    <x v="1"/>
    <n v="542.52521599600368"/>
    <x v="0"/>
    <n v="569.65147679580389"/>
    <n v="0.03"/>
    <x v="1"/>
    <x v="5"/>
  </r>
  <r>
    <x v="65"/>
    <x v="2"/>
    <n v="250"/>
    <x v="0"/>
    <n v="547.58117916820993"/>
    <x v="0"/>
    <n v="574.96023812662042"/>
    <n v="0"/>
    <x v="0"/>
    <x v="3"/>
  </r>
  <r>
    <x v="66"/>
    <x v="3"/>
    <n v="195"/>
    <x v="0"/>
    <n v="521.10340591544627"/>
    <x v="1"/>
    <n v="547.15857621121859"/>
    <n v="0.03"/>
    <x v="0"/>
    <x v="4"/>
  </r>
  <r>
    <x v="58"/>
    <x v="4"/>
    <n v="175"/>
    <x v="2"/>
    <n v="525.62508642062949"/>
    <x v="1"/>
    <n v="551.90634074166098"/>
    <n v="0"/>
    <x v="1"/>
    <x v="27"/>
  </r>
  <r>
    <x v="67"/>
    <x v="3"/>
    <n v="195"/>
    <x v="0"/>
    <n v="544.34378178771658"/>
    <x v="0"/>
    <n v="571.56097087710248"/>
    <n v="0.01"/>
    <x v="0"/>
    <x v="1"/>
  </r>
  <r>
    <x v="68"/>
    <x v="5"/>
    <n v="200"/>
    <x v="2"/>
    <n v="543.63565697651029"/>
    <x v="0"/>
    <n v="570.81743982533578"/>
    <n v="0"/>
    <x v="0"/>
    <x v="5"/>
  </r>
  <r>
    <x v="69"/>
    <x v="8"/>
    <n v="188"/>
    <x v="0"/>
    <n v="526.23186648347564"/>
    <x v="1"/>
    <n v="552.54345980764947"/>
    <n v="0"/>
    <x v="0"/>
    <x v="25"/>
  </r>
  <r>
    <x v="70"/>
    <x v="3"/>
    <n v="195"/>
    <x v="0"/>
    <n v="544.48858323336935"/>
    <x v="0"/>
    <n v="571.71301239503782"/>
    <n v="0.02"/>
    <x v="0"/>
    <x v="18"/>
  </r>
  <r>
    <x v="71"/>
    <x v="8"/>
    <n v="188"/>
    <x v="0"/>
    <n v="522.24694742857537"/>
    <x v="1"/>
    <n v="548.35929480000414"/>
    <n v="0.01"/>
    <x v="1"/>
    <x v="22"/>
  </r>
  <r>
    <x v="54"/>
    <x v="7"/>
    <n v="166"/>
    <x v="1"/>
    <n v="533.94335753434461"/>
    <x v="0"/>
    <n v="560.64052541106184"/>
    <n v="0.02"/>
    <x v="0"/>
    <x v="11"/>
  </r>
  <r>
    <x v="72"/>
    <x v="0"/>
    <n v="280"/>
    <x v="0"/>
    <n v="539.12659082764003"/>
    <x v="0"/>
    <n v="566.08292036902208"/>
    <n v="0.03"/>
    <x v="0"/>
    <x v="0"/>
  </r>
  <r>
    <x v="73"/>
    <x v="4"/>
    <n v="175"/>
    <x v="2"/>
    <n v="540.80154932241203"/>
    <x v="0"/>
    <n v="567.84162678853261"/>
    <n v="0.01"/>
    <x v="1"/>
    <x v="2"/>
  </r>
  <r>
    <x v="74"/>
    <x v="0"/>
    <n v="280"/>
    <x v="0"/>
    <n v="537.39400747365926"/>
    <x v="0"/>
    <n v="564.26370784734229"/>
    <n v="0.01"/>
    <x v="0"/>
    <x v="2"/>
  </r>
  <r>
    <x v="75"/>
    <x v="5"/>
    <n v="200"/>
    <x v="2"/>
    <n v="533.36203294951156"/>
    <x v="0"/>
    <n v="560.03013459698718"/>
    <n v="0.01"/>
    <x v="0"/>
    <x v="24"/>
  </r>
  <r>
    <x v="76"/>
    <x v="4"/>
    <n v="175"/>
    <x v="2"/>
    <n v="521.96024055371254"/>
    <x v="1"/>
    <n v="548.05825258139816"/>
    <n v="0.02"/>
    <x v="0"/>
    <x v="12"/>
  </r>
  <r>
    <x v="48"/>
    <x v="7"/>
    <n v="166"/>
    <x v="1"/>
    <n v="513.75661292539553"/>
    <x v="1"/>
    <n v="539.44444357166537"/>
    <n v="0.03"/>
    <x v="0"/>
    <x v="28"/>
  </r>
  <r>
    <x v="77"/>
    <x v="4"/>
    <n v="175"/>
    <x v="2"/>
    <n v="527.73980130922064"/>
    <x v="1"/>
    <n v="554.12679137468172"/>
    <n v="0.03"/>
    <x v="0"/>
    <x v="11"/>
  </r>
  <r>
    <x v="28"/>
    <x v="1"/>
    <n v="140"/>
    <x v="1"/>
    <n v="539.17221574422183"/>
    <x v="0"/>
    <n v="566.13082653143294"/>
    <n v="0.02"/>
    <x v="0"/>
    <x v="29"/>
  </r>
  <r>
    <x v="78"/>
    <x v="0"/>
    <n v="280"/>
    <x v="0"/>
    <n v="504.71712397340434"/>
    <x v="1"/>
    <n v="529.9529801720746"/>
    <n v="0.02"/>
    <x v="1"/>
    <x v="30"/>
  </r>
  <r>
    <x v="79"/>
    <x v="4"/>
    <n v="175"/>
    <x v="2"/>
    <n v="511.13727902466235"/>
    <x v="1"/>
    <n v="536.69414297589549"/>
    <n v="0.02"/>
    <x v="0"/>
    <x v="15"/>
  </r>
  <r>
    <x v="80"/>
    <x v="0"/>
    <n v="280"/>
    <x v="0"/>
    <n v="541.87400900563171"/>
    <x v="0"/>
    <n v="568.96770945591334"/>
    <n v="0.03"/>
    <x v="1"/>
    <x v="12"/>
  </r>
  <r>
    <x v="81"/>
    <x v="3"/>
    <n v="195"/>
    <x v="0"/>
    <n v="525.25002591557313"/>
    <x v="1"/>
    <n v="551.51252721135177"/>
    <n v="0.02"/>
    <x v="0"/>
    <x v="20"/>
  </r>
  <r>
    <x v="61"/>
    <x v="8"/>
    <n v="188"/>
    <x v="0"/>
    <n v="517.32897895102178"/>
    <x v="1"/>
    <n v="543.19542789857292"/>
    <n v="0.02"/>
    <x v="1"/>
    <x v="1"/>
  </r>
  <r>
    <x v="82"/>
    <x v="5"/>
    <n v="200"/>
    <x v="2"/>
    <n v="540.97"/>
    <x v="0"/>
    <n v="568.01850000000002"/>
    <n v="0.02"/>
    <x v="1"/>
    <x v="31"/>
  </r>
  <r>
    <x v="41"/>
    <x v="3"/>
    <n v="195"/>
    <x v="0"/>
    <n v="518.98078941106451"/>
    <x v="1"/>
    <n v="544.92982888161771"/>
    <n v="0.03"/>
    <x v="0"/>
    <x v="32"/>
  </r>
  <r>
    <x v="83"/>
    <x v="8"/>
    <n v="188"/>
    <x v="0"/>
    <n v="529.3237841148657"/>
    <x v="1"/>
    <n v="555.78997332060896"/>
    <n v="0.01"/>
    <x v="0"/>
    <x v="0"/>
  </r>
  <r>
    <x v="84"/>
    <x v="4"/>
    <n v="175"/>
    <x v="2"/>
    <n v="511.13727902466235"/>
    <x v="1"/>
    <n v="536.69414297589549"/>
    <n v="0.03"/>
    <x v="0"/>
    <x v="1"/>
  </r>
  <r>
    <x v="85"/>
    <x v="7"/>
    <n v="166"/>
    <x v="0"/>
    <n v="524.7927494908181"/>
    <x v="1"/>
    <n v="551.03238696535902"/>
    <n v="0.02"/>
    <x v="0"/>
    <x v="24"/>
  </r>
  <r>
    <x v="86"/>
    <x v="3"/>
    <n v="195"/>
    <x v="0"/>
    <n v="531.67667654660181"/>
    <x v="0"/>
    <n v="558.26051037393188"/>
    <n v="0.01"/>
    <x v="1"/>
    <x v="33"/>
  </r>
  <r>
    <x v="87"/>
    <x v="2"/>
    <n v="250"/>
    <x v="0"/>
    <n v="530.54919689603594"/>
    <x v="0"/>
    <n v="557.07665674083773"/>
    <n v="0.01"/>
    <x v="0"/>
    <x v="28"/>
  </r>
  <r>
    <x v="88"/>
    <x v="0"/>
    <n v="280"/>
    <x v="0"/>
    <n v="541.75089755398858"/>
    <x v="0"/>
    <n v="568.83844243168801"/>
    <n v="0.03"/>
    <x v="1"/>
    <x v="3"/>
  </r>
  <r>
    <x v="38"/>
    <x v="2"/>
    <n v="250"/>
    <x v="0"/>
    <n v="509.09159328367878"/>
    <x v="1"/>
    <n v="534.54617294786271"/>
    <n v="0.03"/>
    <x v="0"/>
    <x v="15"/>
  </r>
  <r>
    <x v="40"/>
    <x v="8"/>
    <n v="188"/>
    <x v="0"/>
    <n v="510.55146262820926"/>
    <x v="1"/>
    <n v="536.07903575961973"/>
    <n v="0.01"/>
    <x v="0"/>
    <x v="30"/>
  </r>
  <r>
    <x v="89"/>
    <x v="6"/>
    <n v="142"/>
    <x v="0"/>
    <n v="537.09976182559421"/>
    <x v="0"/>
    <n v="563.95474991687399"/>
    <n v="0.01"/>
    <x v="0"/>
    <x v="20"/>
  </r>
  <r>
    <x v="33"/>
    <x v="3"/>
    <n v="195"/>
    <x v="0"/>
    <n v="550.14521411715759"/>
    <x v="0"/>
    <n v="577.6524748230155"/>
    <n v="0.02"/>
    <x v="0"/>
    <x v="26"/>
  </r>
  <r>
    <x v="3"/>
    <x v="0"/>
    <n v="280"/>
    <x v="0"/>
    <n v="501.72531850045107"/>
    <x v="1"/>
    <n v="526.8115844254736"/>
    <n v="0.03"/>
    <x v="0"/>
    <x v="1"/>
  </r>
  <r>
    <x v="90"/>
    <x v="2"/>
    <n v="250"/>
    <x v="0"/>
    <n v="536.51371634377938"/>
    <x v="0"/>
    <n v="563.33940216096835"/>
    <n v="0.02"/>
    <x v="0"/>
    <x v="12"/>
  </r>
  <r>
    <x v="91"/>
    <x v="0"/>
    <n v="280"/>
    <x v="0"/>
    <n v="532.05523307095882"/>
    <x v="0"/>
    <n v="558.65799472450681"/>
    <n v="0"/>
    <x v="0"/>
    <x v="10"/>
  </r>
  <r>
    <x v="92"/>
    <x v="6"/>
    <n v="142"/>
    <x v="1"/>
    <n v="540.643555002016"/>
    <x v="0"/>
    <n v="567.6757327521168"/>
    <n v="0.01"/>
    <x v="0"/>
    <x v="34"/>
  </r>
  <r>
    <x v="14"/>
    <x v="7"/>
    <n v="166"/>
    <x v="1"/>
    <n v="547.83991069613148"/>
    <x v="0"/>
    <n v="575.23190623093808"/>
    <n v="0.01"/>
    <x v="0"/>
    <x v="4"/>
  </r>
  <r>
    <x v="93"/>
    <x v="5"/>
    <n v="200"/>
    <x v="2"/>
    <n v="541.07505266028238"/>
    <x v="0"/>
    <n v="568.12880529329652"/>
    <n v="0.02"/>
    <x v="1"/>
    <x v="3"/>
  </r>
  <r>
    <x v="94"/>
    <x v="1"/>
    <n v="140"/>
    <x v="1"/>
    <n v="538.02310801533349"/>
    <x v="0"/>
    <n v="564.92426341610019"/>
    <n v="0.01"/>
    <x v="0"/>
    <x v="1"/>
  </r>
  <r>
    <x v="95"/>
    <x v="3"/>
    <n v="195"/>
    <x v="0"/>
    <n v="539.67775304501902"/>
    <x v="0"/>
    <n v="566.66164069726995"/>
    <n v="0.01"/>
    <x v="1"/>
    <x v="6"/>
  </r>
  <r>
    <x v="96"/>
    <x v="3"/>
    <n v="195"/>
    <x v="0"/>
    <n v="535.6240077375287"/>
    <x v="0"/>
    <n v="562.40520812440514"/>
    <n v="0.01"/>
    <x v="0"/>
    <x v="7"/>
  </r>
  <r>
    <x v="19"/>
    <x v="7"/>
    <n v="166"/>
    <x v="1"/>
    <n v="524.57761551727617"/>
    <x v="1"/>
    <n v="550.80649629313996"/>
    <n v="0.01"/>
    <x v="0"/>
    <x v="7"/>
  </r>
  <r>
    <x v="97"/>
    <x v="1"/>
    <n v="140"/>
    <x v="1"/>
    <n v="545.64481748146682"/>
    <x v="0"/>
    <n v="572.92705835554023"/>
    <n v="0.02"/>
    <x v="0"/>
    <x v="34"/>
  </r>
  <r>
    <x v="98"/>
    <x v="7"/>
    <n v="166"/>
    <x v="1"/>
    <n v="537.16866672706692"/>
    <x v="0"/>
    <n v="564.02710006342033"/>
    <n v="0.02"/>
    <x v="0"/>
    <x v="29"/>
  </r>
  <r>
    <x v="90"/>
    <x v="6"/>
    <n v="142"/>
    <x v="0"/>
    <n v="511.8268275802875"/>
    <x v="1"/>
    <n v="537.41816895930185"/>
    <n v="0.01"/>
    <x v="0"/>
    <x v="10"/>
  </r>
  <r>
    <x v="99"/>
    <x v="8"/>
    <n v="188"/>
    <x v="0"/>
    <n v="530.07701639800598"/>
    <x v="0"/>
    <n v="556.5808672179063"/>
    <n v="0"/>
    <x v="0"/>
    <x v="17"/>
  </r>
  <r>
    <x v="100"/>
    <x v="1"/>
    <n v="140"/>
    <x v="1"/>
    <n v="521.00365504621186"/>
    <x v="1"/>
    <n v="547.05383779852252"/>
    <n v="0.03"/>
    <x v="0"/>
    <x v="28"/>
  </r>
  <r>
    <x v="101"/>
    <x v="5"/>
    <n v="200"/>
    <x v="2"/>
    <n v="545.77550990959571"/>
    <x v="0"/>
    <n v="573.06428540507557"/>
    <n v="0.01"/>
    <x v="0"/>
    <x v="6"/>
  </r>
  <r>
    <x v="102"/>
    <x v="0"/>
    <n v="280"/>
    <x v="0"/>
    <n v="505.54730198933794"/>
    <x v="1"/>
    <n v="530.82466708880486"/>
    <n v="0"/>
    <x v="0"/>
    <x v="6"/>
  </r>
  <r>
    <x v="103"/>
    <x v="3"/>
    <n v="195"/>
    <x v="0"/>
    <n v="522.72036782861869"/>
    <x v="1"/>
    <n v="548.85638622004967"/>
    <n v="0.02"/>
    <x v="0"/>
    <x v="14"/>
  </r>
  <r>
    <x v="104"/>
    <x v="4"/>
    <n v="175"/>
    <x v="2"/>
    <n v="501.65670037064137"/>
    <x v="1"/>
    <n v="526.73953538917351"/>
    <n v="0.01"/>
    <x v="0"/>
    <x v="18"/>
  </r>
  <r>
    <x v="105"/>
    <x v="3"/>
    <n v="195"/>
    <x v="0"/>
    <n v="508.25279979938387"/>
    <x v="1"/>
    <n v="533.66543978935306"/>
    <n v="0.03"/>
    <x v="0"/>
    <x v="35"/>
  </r>
  <r>
    <x v="106"/>
    <x v="7"/>
    <n v="166"/>
    <x v="1"/>
    <n v="526.41755870489214"/>
    <x v="1"/>
    <n v="552.7384366401368"/>
    <n v="0.02"/>
    <x v="1"/>
    <x v="0"/>
  </r>
  <r>
    <x v="107"/>
    <x v="2"/>
    <n v="250"/>
    <x v="0"/>
    <n v="528.67248024201672"/>
    <x v="1"/>
    <n v="555.10610425411755"/>
    <n v="0.03"/>
    <x v="0"/>
    <x v="5"/>
  </r>
  <r>
    <x v="74"/>
    <x v="2"/>
    <n v="250"/>
    <x v="0"/>
    <n v="501.12443445061217"/>
    <x v="1"/>
    <n v="526.18065617314278"/>
    <n v="0.02"/>
    <x v="0"/>
    <x v="13"/>
  </r>
  <r>
    <x v="108"/>
    <x v="5"/>
    <n v="200"/>
    <x v="2"/>
    <n v="526.16775822161708"/>
    <x v="1"/>
    <n v="552.47614613269798"/>
    <n v="0.03"/>
    <x v="0"/>
    <x v="36"/>
  </r>
  <r>
    <x v="109"/>
    <x v="2"/>
    <n v="250"/>
    <x v="0"/>
    <n v="519.53269863606965"/>
    <x v="1"/>
    <n v="545.50933356787311"/>
    <n v="0.03"/>
    <x v="1"/>
    <x v="8"/>
  </r>
  <r>
    <x v="110"/>
    <x v="7"/>
    <n v="166"/>
    <x v="1"/>
    <n v="546.84081060341123"/>
    <x v="0"/>
    <n v="574.18285113358183"/>
    <n v="0.02"/>
    <x v="0"/>
    <x v="30"/>
  </r>
  <r>
    <x v="111"/>
    <x v="5"/>
    <n v="200"/>
    <x v="2"/>
    <n v="523.98654667071605"/>
    <x v="1"/>
    <n v="550.1858740042519"/>
    <n v="0.03"/>
    <x v="0"/>
    <x v="9"/>
  </r>
  <r>
    <x v="65"/>
    <x v="2"/>
    <n v="250"/>
    <x v="0"/>
    <n v="523.23912907362865"/>
    <x v="1"/>
    <n v="549.4010855273101"/>
    <n v="0.02"/>
    <x v="1"/>
    <x v="16"/>
  </r>
  <r>
    <x v="46"/>
    <x v="0"/>
    <n v="280"/>
    <x v="0"/>
    <n v="501.88863265274722"/>
    <x v="1"/>
    <n v="526.98306428538456"/>
    <n v="0.03"/>
    <x v="1"/>
    <x v="34"/>
  </r>
  <r>
    <x v="112"/>
    <x v="5"/>
    <n v="200"/>
    <x v="2"/>
    <n v="528.35993107700142"/>
    <x v="1"/>
    <n v="554.77792763085154"/>
    <n v="0.02"/>
    <x v="1"/>
    <x v="17"/>
  </r>
  <r>
    <x v="113"/>
    <x v="5"/>
    <n v="200"/>
    <x v="2"/>
    <n v="511.14024234712815"/>
    <x v="1"/>
    <n v="536.69725446448456"/>
    <n v="0"/>
    <x v="0"/>
    <x v="25"/>
  </r>
  <r>
    <x v="114"/>
    <x v="0"/>
    <n v="280"/>
    <x v="0"/>
    <n v="519.76007595520696"/>
    <x v="1"/>
    <n v="545.74807975296733"/>
    <n v="0.01"/>
    <x v="0"/>
    <x v="35"/>
  </r>
  <r>
    <x v="115"/>
    <x v="6"/>
    <n v="142"/>
    <x v="1"/>
    <n v="522.04481854313326"/>
    <x v="1"/>
    <n v="548.14705947028995"/>
    <n v="0.03"/>
    <x v="0"/>
    <x v="16"/>
  </r>
  <r>
    <x v="116"/>
    <x v="3"/>
    <n v="195"/>
    <x v="0"/>
    <n v="500.6840815576461"/>
    <x v="1"/>
    <n v="525.71828563552845"/>
    <n v="0.03"/>
    <x v="0"/>
    <x v="0"/>
  </r>
  <r>
    <x v="117"/>
    <x v="8"/>
    <n v="188"/>
    <x v="0"/>
    <n v="526.71165595193179"/>
    <x v="1"/>
    <n v="553.04723874952845"/>
    <n v="0.02"/>
    <x v="1"/>
    <x v="23"/>
  </r>
  <r>
    <x v="118"/>
    <x v="8"/>
    <n v="188"/>
    <x v="0"/>
    <n v="527.60450171818229"/>
    <x v="1"/>
    <n v="553.98472680409145"/>
    <n v="0.03"/>
    <x v="1"/>
    <x v="13"/>
  </r>
  <r>
    <x v="119"/>
    <x v="4"/>
    <n v="175"/>
    <x v="2"/>
    <n v="502.23626914019496"/>
    <x v="1"/>
    <n v="527.34808259720478"/>
    <n v="0.01"/>
    <x v="0"/>
    <x v="28"/>
  </r>
  <r>
    <x v="120"/>
    <x v="0"/>
    <n v="280"/>
    <x v="0"/>
    <n v="506.13314548027847"/>
    <x v="1"/>
    <n v="531.43980275429237"/>
    <n v="0.03"/>
    <x v="0"/>
    <x v="6"/>
  </r>
  <r>
    <x v="7"/>
    <x v="3"/>
    <n v="195"/>
    <x v="0"/>
    <n v="519.45106209048572"/>
    <x v="1"/>
    <n v="545.42361519501003"/>
    <n v="0.02"/>
    <x v="1"/>
    <x v="10"/>
  </r>
  <r>
    <x v="121"/>
    <x v="0"/>
    <n v="280"/>
    <x v="0"/>
    <n v="509.37310795999019"/>
    <x v="1"/>
    <n v="534.84176335798975"/>
    <n v="0"/>
    <x v="0"/>
    <x v="0"/>
  </r>
  <r>
    <x v="122"/>
    <x v="4"/>
    <n v="175"/>
    <x v="2"/>
    <n v="522.32550180535236"/>
    <x v="1"/>
    <n v="548.44177689562002"/>
    <n v="0.02"/>
    <x v="0"/>
    <x v="8"/>
  </r>
  <r>
    <x v="120"/>
    <x v="3"/>
    <n v="195"/>
    <x v="0"/>
    <n v="540.35681197818303"/>
    <x v="0"/>
    <n v="567.37465257709221"/>
    <n v="0.02"/>
    <x v="1"/>
    <x v="21"/>
  </r>
  <r>
    <x v="123"/>
    <x v="4"/>
    <n v="175"/>
    <x v="2"/>
    <n v="502.1"/>
    <x v="1"/>
    <n v="527.20500000000004"/>
    <n v="0.02"/>
    <x v="1"/>
    <x v="32"/>
  </r>
  <r>
    <x v="124"/>
    <x v="8"/>
    <n v="188"/>
    <x v="0"/>
    <n v="503.09445739361126"/>
    <x v="1"/>
    <n v="528.24918026329181"/>
    <n v="0"/>
    <x v="0"/>
    <x v="6"/>
  </r>
  <r>
    <x v="125"/>
    <x v="3"/>
    <n v="195"/>
    <x v="0"/>
    <n v="522.34099731247534"/>
    <x v="1"/>
    <n v="548.45804717809915"/>
    <n v="0"/>
    <x v="0"/>
    <x v="0"/>
  </r>
  <r>
    <x v="88"/>
    <x v="4"/>
    <n v="175"/>
    <x v="2"/>
    <n v="507.89616855035911"/>
    <x v="1"/>
    <n v="533.29097697787711"/>
    <n v="0.01"/>
    <x v="0"/>
    <x v="18"/>
  </r>
  <r>
    <x v="126"/>
    <x v="0"/>
    <n v="280"/>
    <x v="0"/>
    <n v="504.42086652326816"/>
    <x v="1"/>
    <n v="529.64190984943161"/>
    <n v="0.03"/>
    <x v="1"/>
    <x v="20"/>
  </r>
  <r>
    <x v="41"/>
    <x v="0"/>
    <n v="280"/>
    <x v="0"/>
    <n v="519.36892567205086"/>
    <x v="1"/>
    <n v="545.33737195565345"/>
    <n v="0.03"/>
    <x v="0"/>
    <x v="30"/>
  </r>
  <r>
    <x v="127"/>
    <x v="7"/>
    <n v="166"/>
    <x v="1"/>
    <n v="532.52848040379195"/>
    <x v="0"/>
    <n v="559.15490442398152"/>
    <n v="0.03"/>
    <x v="0"/>
    <x v="19"/>
  </r>
  <r>
    <x v="128"/>
    <x v="3"/>
    <n v="195"/>
    <x v="0"/>
    <n v="524.14828135574589"/>
    <x v="1"/>
    <n v="550.35569542353323"/>
    <n v="0.01"/>
    <x v="0"/>
    <x v="7"/>
  </r>
  <r>
    <x v="129"/>
    <x v="5"/>
    <n v="200"/>
    <x v="2"/>
    <n v="533.90910613189772"/>
    <x v="0"/>
    <n v="560.60456143849262"/>
    <n v="0.03"/>
    <x v="0"/>
    <x v="6"/>
  </r>
  <r>
    <x v="130"/>
    <x v="0"/>
    <n v="280"/>
    <x v="0"/>
    <n v="533.36779337573444"/>
    <x v="0"/>
    <n v="560.03618304452118"/>
    <n v="0"/>
    <x v="1"/>
    <x v="1"/>
  </r>
  <r>
    <x v="131"/>
    <x v="6"/>
    <n v="142"/>
    <x v="1"/>
    <n v="549.82852738665315"/>
    <x v="0"/>
    <n v="577.31995375598581"/>
    <n v="0.02"/>
    <x v="1"/>
    <x v="13"/>
  </r>
  <r>
    <x v="125"/>
    <x v="6"/>
    <n v="142"/>
    <x v="1"/>
    <n v="501.82473950447638"/>
    <x v="1"/>
    <n v="526.91597647970025"/>
    <n v="0.03"/>
    <x v="1"/>
    <x v="5"/>
  </r>
  <r>
    <x v="132"/>
    <x v="2"/>
    <n v="250"/>
    <x v="0"/>
    <n v="512.76035520671758"/>
    <x v="1"/>
    <n v="538.39837296705343"/>
    <n v="0.03"/>
    <x v="0"/>
    <x v="35"/>
  </r>
  <r>
    <x v="34"/>
    <x v="0"/>
    <n v="280"/>
    <x v="0"/>
    <n v="540.06486841007427"/>
    <x v="0"/>
    <n v="567.068111830578"/>
    <n v="0"/>
    <x v="0"/>
    <x v="30"/>
  </r>
  <r>
    <x v="17"/>
    <x v="2"/>
    <n v="250"/>
    <x v="0"/>
    <n v="500.64594612532619"/>
    <x v="1"/>
    <n v="525.67824343159248"/>
    <n v="0.01"/>
    <x v="0"/>
    <x v="28"/>
  </r>
  <r>
    <x v="120"/>
    <x v="4"/>
    <n v="175"/>
    <x v="2"/>
    <n v="511.29793421534123"/>
    <x v="1"/>
    <n v="536.86283092610836"/>
    <n v="0.01"/>
    <x v="0"/>
    <x v="34"/>
  </r>
  <r>
    <x v="133"/>
    <x v="3"/>
    <n v="195"/>
    <x v="0"/>
    <n v="542.59283259839322"/>
    <x v="0"/>
    <n v="569.72247422831288"/>
    <n v="0.01"/>
    <x v="0"/>
    <x v="35"/>
  </r>
  <r>
    <x v="119"/>
    <x v="5"/>
    <n v="200"/>
    <x v="2"/>
    <n v="539"/>
    <x v="0"/>
    <n v="565.95000000000005"/>
    <n v="0.02"/>
    <x v="1"/>
    <x v="36"/>
  </r>
  <r>
    <x v="1"/>
    <x v="3"/>
    <n v="195"/>
    <x v="0"/>
    <n v="536.28858697898613"/>
    <x v="0"/>
    <n v="563.10301632793551"/>
    <n v="0.02"/>
    <x v="0"/>
    <x v="11"/>
  </r>
  <r>
    <x v="134"/>
    <x v="4"/>
    <n v="175"/>
    <x v="2"/>
    <n v="507.89616855035911"/>
    <x v="1"/>
    <n v="533.29097697787711"/>
    <n v="0"/>
    <x v="1"/>
    <x v="20"/>
  </r>
  <r>
    <x v="14"/>
    <x v="5"/>
    <n v="200"/>
    <x v="2"/>
    <n v="531.48537799931"/>
    <x v="0"/>
    <n v="558.05964689927555"/>
    <n v="0"/>
    <x v="0"/>
    <x v="3"/>
  </r>
  <r>
    <x v="135"/>
    <x v="4"/>
    <n v="175"/>
    <x v="2"/>
    <n v="506.2776243945209"/>
    <x v="1"/>
    <n v="531.59150561424701"/>
    <n v="0.01"/>
    <x v="0"/>
    <x v="5"/>
  </r>
  <r>
    <x v="43"/>
    <x v="6"/>
    <n v="142"/>
    <x v="1"/>
    <n v="536.50838570173619"/>
    <x v="0"/>
    <n v="563.333804986823"/>
    <n v="0.01"/>
    <x v="1"/>
    <x v="16"/>
  </r>
  <r>
    <x v="109"/>
    <x v="1"/>
    <n v="140"/>
    <x v="1"/>
    <n v="524.43845871475696"/>
    <x v="1"/>
    <n v="550.66038165049486"/>
    <n v="0.01"/>
    <x v="1"/>
    <x v="16"/>
  </r>
  <r>
    <x v="133"/>
    <x v="5"/>
    <n v="200"/>
    <x v="2"/>
    <n v="536.98276275981334"/>
    <x v="0"/>
    <n v="563.83190089780408"/>
    <n v="0"/>
    <x v="0"/>
    <x v="7"/>
  </r>
  <r>
    <x v="136"/>
    <x v="6"/>
    <n v="142"/>
    <x v="1"/>
    <n v="531.45091334382869"/>
    <x v="0"/>
    <n v="558.02345901102012"/>
    <n v="0.03"/>
    <x v="0"/>
    <x v="24"/>
  </r>
  <r>
    <x v="125"/>
    <x v="1"/>
    <n v="140"/>
    <x v="1"/>
    <n v="515.72354154073673"/>
    <x v="1"/>
    <n v="541.50971861777361"/>
    <n v="0.01"/>
    <x v="1"/>
    <x v="10"/>
  </r>
  <r>
    <x v="137"/>
    <x v="7"/>
    <n v="166"/>
    <x v="1"/>
    <n v="524.38648271382681"/>
    <x v="1"/>
    <n v="550.60580684951822"/>
    <n v="0.01"/>
    <x v="0"/>
    <x v="0"/>
  </r>
  <r>
    <x v="138"/>
    <x v="5"/>
    <n v="200"/>
    <x v="2"/>
    <n v="545.87499447779373"/>
    <x v="0"/>
    <n v="573.16874420168347"/>
    <n v="0.03"/>
    <x v="0"/>
    <x v="4"/>
  </r>
  <r>
    <x v="139"/>
    <x v="1"/>
    <n v="140"/>
    <x v="1"/>
    <n v="550.88381207357088"/>
    <x v="0"/>
    <n v="578.42800267724942"/>
    <n v="0.01"/>
    <x v="0"/>
    <x v="11"/>
  </r>
  <r>
    <x v="140"/>
    <x v="8"/>
    <n v="188"/>
    <x v="0"/>
    <n v="501.32086136374073"/>
    <x v="1"/>
    <n v="526.38690443192775"/>
    <n v="0"/>
    <x v="0"/>
    <x v="0"/>
  </r>
  <r>
    <x v="141"/>
    <x v="5"/>
    <n v="200"/>
    <x v="2"/>
    <n v="530.317463445057"/>
    <x v="0"/>
    <n v="556.8333366173099"/>
    <n v="0.01"/>
    <x v="0"/>
    <x v="30"/>
  </r>
  <r>
    <x v="142"/>
    <x v="5"/>
    <n v="200"/>
    <x v="2"/>
    <n v="544.78172336499665"/>
    <x v="0"/>
    <n v="572.02080953324651"/>
    <n v="0.01"/>
    <x v="1"/>
    <x v="25"/>
  </r>
  <r>
    <x v="143"/>
    <x v="6"/>
    <n v="142"/>
    <x v="1"/>
    <n v="531.49179293164161"/>
    <x v="0"/>
    <n v="558.06638257822374"/>
    <n v="0.01"/>
    <x v="0"/>
    <x v="0"/>
  </r>
  <r>
    <x v="120"/>
    <x v="0"/>
    <n v="280"/>
    <x v="0"/>
    <n v="509.3850004930373"/>
    <x v="1"/>
    <n v="534.85425051768914"/>
    <n v="0"/>
    <x v="0"/>
    <x v="5"/>
  </r>
  <r>
    <x v="144"/>
    <x v="5"/>
    <n v="200"/>
    <x v="2"/>
    <n v="539.7935893441354"/>
    <x v="0"/>
    <n v="566.78326881134217"/>
    <n v="0.01"/>
    <x v="1"/>
    <x v="15"/>
  </r>
  <r>
    <x v="145"/>
    <x v="4"/>
    <n v="175"/>
    <x v="2"/>
    <n v="500.75066011242143"/>
    <x v="1"/>
    <n v="525.7881931180425"/>
    <n v="0.03"/>
    <x v="0"/>
    <x v="8"/>
  </r>
  <r>
    <x v="146"/>
    <x v="7"/>
    <n v="166"/>
    <x v="1"/>
    <n v="543.75251104532435"/>
    <x v="0"/>
    <n v="570.94013659759059"/>
    <n v="0"/>
    <x v="0"/>
    <x v="36"/>
  </r>
  <r>
    <x v="9"/>
    <x v="6"/>
    <n v="142"/>
    <x v="0"/>
    <n v="528.94215376827378"/>
    <x v="1"/>
    <n v="555.38926145668745"/>
    <n v="0.01"/>
    <x v="0"/>
    <x v="13"/>
  </r>
  <r>
    <x v="147"/>
    <x v="0"/>
    <n v="280"/>
    <x v="0"/>
    <n v="532.12026523520308"/>
    <x v="0"/>
    <n v="558.72627849696323"/>
    <n v="0.01"/>
    <x v="1"/>
    <x v="7"/>
  </r>
  <r>
    <x v="148"/>
    <x v="5"/>
    <n v="200"/>
    <x v="2"/>
    <n v="555.85075434342434"/>
    <x v="0"/>
    <n v="583.64329206059563"/>
    <n v="0.03"/>
    <x v="0"/>
    <x v="20"/>
  </r>
  <r>
    <x v="39"/>
    <x v="4"/>
    <n v="175"/>
    <x v="2"/>
    <n v="509.11784867864844"/>
    <x v="1"/>
    <n v="534.57374111258093"/>
    <n v="0.01"/>
    <x v="1"/>
    <x v="22"/>
  </r>
  <r>
    <x v="149"/>
    <x v="5"/>
    <n v="200"/>
    <x v="2"/>
    <n v="545.12987778621755"/>
    <x v="0"/>
    <n v="572.38637167552849"/>
    <n v="0.01"/>
    <x v="0"/>
    <x v="14"/>
  </r>
  <r>
    <x v="94"/>
    <x v="4"/>
    <n v="175"/>
    <x v="2"/>
    <n v="511.13727902466235"/>
    <x v="1"/>
    <n v="536.69414297589549"/>
    <n v="0"/>
    <x v="0"/>
    <x v="30"/>
  </r>
  <r>
    <x v="150"/>
    <x v="3"/>
    <n v="195"/>
    <x v="0"/>
    <n v="527.14215364084066"/>
    <x v="1"/>
    <n v="553.49926132288272"/>
    <n v="0"/>
    <x v="0"/>
    <x v="9"/>
  </r>
  <r>
    <x v="3"/>
    <x v="1"/>
    <n v="140"/>
    <x v="1"/>
    <n v="529.31077680020462"/>
    <x v="1"/>
    <n v="555.77631564021488"/>
    <n v="0.01"/>
    <x v="0"/>
    <x v="28"/>
  </r>
  <r>
    <x v="77"/>
    <x v="8"/>
    <n v="188"/>
    <x v="0"/>
    <n v="523.42669168027533"/>
    <x v="1"/>
    <n v="549.59802626428916"/>
    <n v="0.02"/>
    <x v="0"/>
    <x v="30"/>
  </r>
  <r>
    <x v="131"/>
    <x v="8"/>
    <n v="188"/>
    <x v="0"/>
    <n v="508.46057797728372"/>
    <x v="1"/>
    <n v="533.88360687614795"/>
    <n v="0.03"/>
    <x v="1"/>
    <x v="37"/>
  </r>
  <r>
    <x v="151"/>
    <x v="5"/>
    <n v="200"/>
    <x v="2"/>
    <n v="536.87776601508358"/>
    <x v="0"/>
    <n v="563.72165431583778"/>
    <n v="0"/>
    <x v="0"/>
    <x v="12"/>
  </r>
  <r>
    <x v="15"/>
    <x v="4"/>
    <n v="175"/>
    <x v="2"/>
    <n v="511.13727902466235"/>
    <x v="1"/>
    <n v="536.69414297589549"/>
    <n v="0"/>
    <x v="1"/>
    <x v="13"/>
  </r>
  <r>
    <x v="152"/>
    <x v="3"/>
    <n v="195"/>
    <x v="0"/>
    <n v="522.88238627633655"/>
    <x v="1"/>
    <n v="549.02650559015342"/>
    <n v="0.03"/>
    <x v="1"/>
    <x v="22"/>
  </r>
  <r>
    <x v="153"/>
    <x v="1"/>
    <n v="140"/>
    <x v="1"/>
    <n v="513.75491446920205"/>
    <x v="1"/>
    <n v="539.44266019266217"/>
    <n v="0"/>
    <x v="0"/>
    <x v="8"/>
  </r>
  <r>
    <x v="154"/>
    <x v="5"/>
    <n v="200"/>
    <x v="2"/>
    <n v="533.22668120704111"/>
    <x v="0"/>
    <n v="559.88801526739314"/>
    <n v="0.02"/>
    <x v="1"/>
    <x v="38"/>
  </r>
  <r>
    <x v="155"/>
    <x v="6"/>
    <n v="142"/>
    <x v="1"/>
    <n v="506.05754242880266"/>
    <x v="1"/>
    <n v="531.3604195502428"/>
    <n v="0.03"/>
    <x v="1"/>
    <x v="35"/>
  </r>
  <r>
    <x v="88"/>
    <x v="7"/>
    <n v="166"/>
    <x v="1"/>
    <n v="518.52031451659241"/>
    <x v="1"/>
    <n v="544.44633024242205"/>
    <n v="0"/>
    <x v="1"/>
    <x v="39"/>
  </r>
  <r>
    <x v="54"/>
    <x v="4"/>
    <n v="175"/>
    <x v="2"/>
    <n v="546.83579638738229"/>
    <x v="0"/>
    <n v="574.17758620675147"/>
    <n v="0.01"/>
    <x v="0"/>
    <x v="14"/>
  </r>
  <r>
    <x v="81"/>
    <x v="4"/>
    <n v="175"/>
    <x v="2"/>
    <n v="515.03483368490288"/>
    <x v="1"/>
    <n v="540.78657536914807"/>
    <n v="0.02"/>
    <x v="0"/>
    <x v="5"/>
  </r>
  <r>
    <x v="151"/>
    <x v="4"/>
    <n v="175"/>
    <x v="2"/>
    <n v="511.13727902466235"/>
    <x v="1"/>
    <n v="536.69414297589549"/>
    <n v="0.03"/>
    <x v="0"/>
    <x v="26"/>
  </r>
  <r>
    <x v="135"/>
    <x v="3"/>
    <n v="195"/>
    <x v="0"/>
    <n v="509.54134618952503"/>
    <x v="1"/>
    <n v="535.01841349900133"/>
    <n v="0.02"/>
    <x v="0"/>
    <x v="4"/>
  </r>
  <r>
    <x v="138"/>
    <x v="5"/>
    <n v="200"/>
    <x v="2"/>
    <n v="536.45690730587285"/>
    <x v="0"/>
    <n v="563.27975267116653"/>
    <n v="0.03"/>
    <x v="0"/>
    <x v="28"/>
  </r>
  <r>
    <x v="98"/>
    <x v="8"/>
    <n v="188"/>
    <x v="0"/>
    <n v="506.61453446128598"/>
    <x v="1"/>
    <n v="531.94526118435033"/>
    <n v="0"/>
    <x v="0"/>
    <x v="30"/>
  </r>
  <r>
    <x v="43"/>
    <x v="2"/>
    <n v="250"/>
    <x v="0"/>
    <n v="510.44082789865206"/>
    <x v="1"/>
    <n v="535.96286929358473"/>
    <n v="0.03"/>
    <x v="0"/>
    <x v="28"/>
  </r>
  <r>
    <x v="27"/>
    <x v="5"/>
    <n v="200"/>
    <x v="2"/>
    <n v="547.52310484115424"/>
    <x v="0"/>
    <n v="574.89926008321197"/>
    <n v="0"/>
    <x v="1"/>
    <x v="36"/>
  </r>
  <r>
    <x v="119"/>
    <x v="4"/>
    <n v="175"/>
    <x v="2"/>
    <n v="509.94215573994643"/>
    <x v="1"/>
    <n v="535.43926352694382"/>
    <n v="0.01"/>
    <x v="1"/>
    <x v="38"/>
  </r>
  <r>
    <x v="156"/>
    <x v="6"/>
    <n v="142"/>
    <x v="0"/>
    <n v="522.34224653790261"/>
    <x v="1"/>
    <n v="548.45935886479776"/>
    <n v="0.02"/>
    <x v="0"/>
    <x v="20"/>
  </r>
  <r>
    <x v="157"/>
    <x v="7"/>
    <n v="166"/>
    <x v="1"/>
    <n v="548.16038752279928"/>
    <x v="0"/>
    <n v="575.56840689893932"/>
    <n v="0.02"/>
    <x v="0"/>
    <x v="40"/>
  </r>
  <r>
    <x v="158"/>
    <x v="8"/>
    <n v="188"/>
    <x v="0"/>
    <n v="516.80845429951933"/>
    <x v="1"/>
    <n v="542.64887701449527"/>
    <n v="0.02"/>
    <x v="0"/>
    <x v="35"/>
  </r>
  <r>
    <x v="159"/>
    <x v="3"/>
    <n v="195"/>
    <x v="0"/>
    <n v="509.73902228903171"/>
    <x v="1"/>
    <n v="535.22597340348329"/>
    <n v="0"/>
    <x v="1"/>
    <x v="11"/>
  </r>
  <r>
    <x v="160"/>
    <x v="2"/>
    <n v="250"/>
    <x v="0"/>
    <n v="542.63114612360278"/>
    <x v="0"/>
    <n v="569.76270342978296"/>
    <n v="0.03"/>
    <x v="1"/>
    <x v="35"/>
  </r>
  <r>
    <x v="161"/>
    <x v="3"/>
    <n v="195"/>
    <x v="0"/>
    <n v="534.99450609030373"/>
    <x v="0"/>
    <n v="561.74423139481894"/>
    <n v="0.03"/>
    <x v="1"/>
    <x v="13"/>
  </r>
  <r>
    <x v="162"/>
    <x v="4"/>
    <n v="175"/>
    <x v="2"/>
    <n v="507.89616855035911"/>
    <x v="1"/>
    <n v="533.29097697787711"/>
    <n v="0"/>
    <x v="0"/>
    <x v="11"/>
  </r>
  <r>
    <x v="79"/>
    <x v="2"/>
    <n v="250"/>
    <x v="0"/>
    <n v="526.39074747231098"/>
    <x v="1"/>
    <n v="552.71028484592659"/>
    <n v="0.03"/>
    <x v="1"/>
    <x v="6"/>
  </r>
  <r>
    <x v="63"/>
    <x v="8"/>
    <n v="188"/>
    <x v="0"/>
    <n v="509.97319703532958"/>
    <x v="1"/>
    <n v="535.47185688709612"/>
    <n v="0"/>
    <x v="1"/>
    <x v="10"/>
  </r>
  <r>
    <x v="163"/>
    <x v="4"/>
    <n v="175"/>
    <x v="2"/>
    <n v="523.15380105437089"/>
    <x v="1"/>
    <n v="549.31149110708941"/>
    <n v="0.02"/>
    <x v="0"/>
    <x v="26"/>
  </r>
  <r>
    <x v="164"/>
    <x v="8"/>
    <n v="188"/>
    <x v="0"/>
    <n v="535.23657663760059"/>
    <x v="0"/>
    <n v="561.99840546948064"/>
    <n v="0"/>
    <x v="0"/>
    <x v="28"/>
  </r>
  <r>
    <x v="164"/>
    <x v="3"/>
    <n v="195"/>
    <x v="0"/>
    <n v="509.34424078922348"/>
    <x v="1"/>
    <n v="534.81145282868465"/>
    <n v="0.01"/>
    <x v="0"/>
    <x v="20"/>
  </r>
  <r>
    <x v="116"/>
    <x v="3"/>
    <n v="195"/>
    <x v="0"/>
    <n v="513.05351123485161"/>
    <x v="1"/>
    <n v="538.70618679659424"/>
    <n v="0"/>
    <x v="0"/>
    <x v="28"/>
  </r>
  <r>
    <x v="165"/>
    <x v="4"/>
    <n v="175"/>
    <x v="2"/>
    <n v="515.46625038853654"/>
    <x v="1"/>
    <n v="541.23956290796343"/>
    <n v="0"/>
    <x v="0"/>
    <x v="34"/>
  </r>
  <r>
    <x v="166"/>
    <x v="6"/>
    <n v="142"/>
    <x v="0"/>
    <n v="517.11902813722099"/>
    <x v="1"/>
    <n v="542.97497954408209"/>
    <n v="0"/>
    <x v="0"/>
    <x v="29"/>
  </r>
  <r>
    <x v="89"/>
    <x v="8"/>
    <n v="188"/>
    <x v="0"/>
    <n v="508.15989414226624"/>
    <x v="1"/>
    <n v="533.56788884937953"/>
    <n v="0"/>
    <x v="1"/>
    <x v="26"/>
  </r>
  <r>
    <x v="167"/>
    <x v="8"/>
    <n v="188"/>
    <x v="0"/>
    <n v="505.44217183678666"/>
    <x v="1"/>
    <n v="530.71428042862601"/>
    <n v="0.02"/>
    <x v="0"/>
    <x v="30"/>
  </r>
  <r>
    <x v="168"/>
    <x v="4"/>
    <n v="175"/>
    <x v="2"/>
    <n v="542.49435609749435"/>
    <x v="0"/>
    <n v="569.61907390236911"/>
    <n v="0"/>
    <x v="0"/>
    <x v="20"/>
  </r>
  <r>
    <x v="169"/>
    <x v="5"/>
    <n v="200"/>
    <x v="2"/>
    <n v="550.23"/>
    <x v="0"/>
    <n v="577.74150000000009"/>
    <n v="0.01"/>
    <x v="1"/>
    <x v="33"/>
  </r>
  <r>
    <x v="170"/>
    <x v="5"/>
    <n v="200"/>
    <x v="2"/>
    <n v="532.76397884828566"/>
    <x v="0"/>
    <n v="559.40217779069997"/>
    <n v="0"/>
    <x v="0"/>
    <x v="13"/>
  </r>
  <r>
    <x v="171"/>
    <x v="5"/>
    <n v="200"/>
    <x v="2"/>
    <n v="532.43527330044981"/>
    <x v="0"/>
    <n v="559.05703696547232"/>
    <n v="0.01"/>
    <x v="0"/>
    <x v="1"/>
  </r>
  <r>
    <x v="139"/>
    <x v="5"/>
    <n v="200"/>
    <x v="2"/>
    <n v="542.26604769616461"/>
    <x v="0"/>
    <n v="569.37935008097281"/>
    <n v="0.02"/>
    <x v="0"/>
    <x v="25"/>
  </r>
  <r>
    <x v="96"/>
    <x v="5"/>
    <n v="200"/>
    <x v="2"/>
    <n v="541.52762335613534"/>
    <x v="0"/>
    <n v="568.60400452394208"/>
    <n v="0.01"/>
    <x v="1"/>
    <x v="25"/>
  </r>
  <r>
    <x v="172"/>
    <x v="3"/>
    <n v="195"/>
    <x v="0"/>
    <n v="540.49455792741446"/>
    <x v="0"/>
    <n v="567.51928582378525"/>
    <n v="0.02"/>
    <x v="0"/>
    <x v="26"/>
  </r>
  <r>
    <x v="68"/>
    <x v="7"/>
    <n v="166"/>
    <x v="1"/>
    <n v="541.5900391176574"/>
    <x v="0"/>
    <n v="568.66954107354024"/>
    <n v="0"/>
    <x v="0"/>
    <x v="24"/>
  </r>
  <r>
    <x v="173"/>
    <x v="4"/>
    <n v="175"/>
    <x v="2"/>
    <n v="517.46488182997018"/>
    <x v="1"/>
    <n v="543.33812592146876"/>
    <n v="0.01"/>
    <x v="0"/>
    <x v="36"/>
  </r>
  <r>
    <x v="174"/>
    <x v="7"/>
    <n v="166"/>
    <x v="1"/>
    <n v="511.98876327464859"/>
    <x v="1"/>
    <n v="537.58820143838102"/>
    <n v="0.02"/>
    <x v="0"/>
    <x v="2"/>
  </r>
  <r>
    <x v="175"/>
    <x v="2"/>
    <n v="250"/>
    <x v="0"/>
    <n v="520.96082265963742"/>
    <x v="1"/>
    <n v="547.00886379261931"/>
    <n v="0.01"/>
    <x v="0"/>
    <x v="1"/>
  </r>
  <r>
    <x v="77"/>
    <x v="2"/>
    <n v="250"/>
    <x v="0"/>
    <n v="510.83178607507671"/>
    <x v="1"/>
    <n v="536.37337537883059"/>
    <n v="0"/>
    <x v="0"/>
    <x v="18"/>
  </r>
  <r>
    <x v="176"/>
    <x v="4"/>
    <n v="175"/>
    <x v="2"/>
    <n v="537.98862327779898"/>
    <x v="0"/>
    <n v="564.88805444168895"/>
    <n v="0.01"/>
    <x v="0"/>
    <x v="11"/>
  </r>
  <r>
    <x v="177"/>
    <x v="1"/>
    <n v="140"/>
    <x v="1"/>
    <n v="524.38743760775651"/>
    <x v="1"/>
    <n v="550.60680948814434"/>
    <n v="0.01"/>
    <x v="0"/>
    <x v="24"/>
  </r>
  <r>
    <x v="94"/>
    <x v="4"/>
    <n v="175"/>
    <x v="2"/>
    <n v="531.47817870648214"/>
    <x v="0"/>
    <n v="558.05208764180622"/>
    <n v="0.03"/>
    <x v="0"/>
    <x v="13"/>
  </r>
  <r>
    <x v="83"/>
    <x v="8"/>
    <n v="188"/>
    <x v="0"/>
    <n v="536.48556998539152"/>
    <x v="0"/>
    <n v="563.30984848466107"/>
    <n v="0"/>
    <x v="0"/>
    <x v="11"/>
  </r>
  <r>
    <x v="148"/>
    <x v="4"/>
    <n v="175"/>
    <x v="2"/>
    <n v="508.09942084920567"/>
    <x v="1"/>
    <n v="533.50439189166593"/>
    <n v="0.01"/>
    <x v="1"/>
    <x v="30"/>
  </r>
  <r>
    <x v="178"/>
    <x v="5"/>
    <n v="200"/>
    <x v="2"/>
    <n v="546.81908470129565"/>
    <x v="0"/>
    <n v="574.16003893636048"/>
    <n v="0"/>
    <x v="0"/>
    <x v="14"/>
  </r>
  <r>
    <x v="131"/>
    <x v="0"/>
    <n v="280"/>
    <x v="0"/>
    <n v="541.50450686451677"/>
    <x v="0"/>
    <n v="568.57973220774261"/>
    <n v="0.03"/>
    <x v="0"/>
    <x v="12"/>
  </r>
  <r>
    <x v="179"/>
    <x v="7"/>
    <n v="166"/>
    <x v="1"/>
    <n v="527.01931713743852"/>
    <x v="1"/>
    <n v="553.37028299431051"/>
    <n v="0.03"/>
    <x v="0"/>
    <x v="11"/>
  </r>
  <r>
    <x v="39"/>
    <x v="6"/>
    <n v="142"/>
    <x v="1"/>
    <n v="501.23996354684095"/>
    <x v="1"/>
    <n v="526.301961724183"/>
    <n v="0.02"/>
    <x v="1"/>
    <x v="33"/>
  </r>
  <r>
    <x v="180"/>
    <x v="2"/>
    <n v="250"/>
    <x v="0"/>
    <n v="549.43682286516196"/>
    <x v="0"/>
    <n v="576.90866400842003"/>
    <n v="0.01"/>
    <x v="0"/>
    <x v="28"/>
  </r>
  <r>
    <x v="81"/>
    <x v="6"/>
    <n v="142"/>
    <x v="1"/>
    <n v="541.08979862472006"/>
    <x v="0"/>
    <n v="568.14428855595611"/>
    <n v="0.02"/>
    <x v="0"/>
    <x v="28"/>
  </r>
  <r>
    <x v="11"/>
    <x v="7"/>
    <n v="166"/>
    <x v="1"/>
    <n v="513.24097664399505"/>
    <x v="1"/>
    <n v="538.90302547619478"/>
    <n v="0.01"/>
    <x v="1"/>
    <x v="19"/>
  </r>
  <r>
    <x v="181"/>
    <x v="1"/>
    <n v="140"/>
    <x v="1"/>
    <n v="543.9221578360557"/>
    <x v="0"/>
    <n v="571.11826572785856"/>
    <n v="0"/>
    <x v="0"/>
    <x v="29"/>
  </r>
  <r>
    <x v="182"/>
    <x v="1"/>
    <n v="140"/>
    <x v="1"/>
    <n v="504.321483738604"/>
    <x v="1"/>
    <n v="529.5375579255342"/>
    <n v="0.03"/>
    <x v="0"/>
    <x v="20"/>
  </r>
  <r>
    <x v="183"/>
    <x v="7"/>
    <n v="166"/>
    <x v="1"/>
    <n v="508.43023272298797"/>
    <x v="1"/>
    <n v="533.85174435913734"/>
    <n v="0.03"/>
    <x v="0"/>
    <x v="19"/>
  </r>
  <r>
    <x v="173"/>
    <x v="2"/>
    <n v="250"/>
    <x v="0"/>
    <n v="501.8724358576319"/>
    <x v="1"/>
    <n v="526.96605765051356"/>
    <n v="0.03"/>
    <x v="0"/>
    <x v="2"/>
  </r>
  <r>
    <x v="92"/>
    <x v="4"/>
    <n v="175"/>
    <x v="2"/>
    <n v="539.52329145981366"/>
    <x v="0"/>
    <n v="566.49945603280435"/>
    <n v="0"/>
    <x v="0"/>
    <x v="30"/>
  </r>
  <r>
    <x v="184"/>
    <x v="4"/>
    <n v="175"/>
    <x v="2"/>
    <n v="521.74571116096104"/>
    <x v="1"/>
    <n v="547.83299671900909"/>
    <n v="0.02"/>
    <x v="0"/>
    <x v="8"/>
  </r>
  <r>
    <x v="185"/>
    <x v="2"/>
    <n v="250"/>
    <x v="0"/>
    <n v="535.2876775418772"/>
    <x v="0"/>
    <n v="562.05206141897111"/>
    <n v="0.03"/>
    <x v="0"/>
    <x v="32"/>
  </r>
  <r>
    <x v="186"/>
    <x v="3"/>
    <n v="195"/>
    <x v="0"/>
    <n v="537.35157467136651"/>
    <x v="0"/>
    <n v="564.2191534049349"/>
    <n v="0.03"/>
    <x v="0"/>
    <x v="24"/>
  </r>
  <r>
    <x v="137"/>
    <x v="0"/>
    <n v="280"/>
    <x v="0"/>
    <n v="542.47877150205386"/>
    <x v="0"/>
    <n v="569.60271007715653"/>
    <n v="0"/>
    <x v="0"/>
    <x v="30"/>
  </r>
  <r>
    <x v="163"/>
    <x v="4"/>
    <n v="175"/>
    <x v="2"/>
    <n v="520.26989989154208"/>
    <x v="1"/>
    <n v="546.28339488611925"/>
    <n v="0.02"/>
    <x v="0"/>
    <x v="10"/>
  </r>
  <r>
    <x v="92"/>
    <x v="1"/>
    <n v="140"/>
    <x v="1"/>
    <n v="535.8131893091695"/>
    <x v="0"/>
    <n v="562.60384877462798"/>
    <n v="0.02"/>
    <x v="0"/>
    <x v="15"/>
  </r>
  <r>
    <x v="187"/>
    <x v="3"/>
    <n v="195"/>
    <x v="0"/>
    <n v="503.4575728212003"/>
    <x v="1"/>
    <n v="528.63045146226034"/>
    <n v="0.01"/>
    <x v="0"/>
    <x v="34"/>
  </r>
  <r>
    <x v="188"/>
    <x v="6"/>
    <n v="142"/>
    <x v="1"/>
    <n v="536.18995849357998"/>
    <x v="0"/>
    <n v="562.999456418259"/>
    <n v="0.01"/>
    <x v="0"/>
    <x v="0"/>
  </r>
  <r>
    <x v="189"/>
    <x v="4"/>
    <n v="175"/>
    <x v="2"/>
    <n v="507.89616855035911"/>
    <x v="1"/>
    <n v="533.29097697787711"/>
    <n v="0.02"/>
    <x v="0"/>
    <x v="26"/>
  </r>
  <r>
    <x v="82"/>
    <x v="3"/>
    <n v="195"/>
    <x v="0"/>
    <n v="519.39591260276029"/>
    <x v="1"/>
    <n v="545.36570823289833"/>
    <n v="0.03"/>
    <x v="0"/>
    <x v="11"/>
  </r>
  <r>
    <x v="104"/>
    <x v="2"/>
    <n v="250"/>
    <x v="0"/>
    <n v="521.13984307412557"/>
    <x v="1"/>
    <n v="547.19683522783191"/>
    <n v="0.01"/>
    <x v="0"/>
    <x v="8"/>
  </r>
  <r>
    <x v="190"/>
    <x v="5"/>
    <n v="200"/>
    <x v="2"/>
    <n v="556.90072886906728"/>
    <x v="0"/>
    <n v="584.74576531252069"/>
    <n v="0.02"/>
    <x v="0"/>
    <x v="19"/>
  </r>
  <r>
    <x v="110"/>
    <x v="2"/>
    <n v="250"/>
    <x v="0"/>
    <n v="508.01238302323964"/>
    <x v="1"/>
    <n v="533.41300217440164"/>
    <n v="0.02"/>
    <x v="0"/>
    <x v="17"/>
  </r>
  <r>
    <x v="162"/>
    <x v="2"/>
    <n v="250"/>
    <x v="0"/>
    <n v="543.42778515860482"/>
    <x v="0"/>
    <n v="570.59917441653511"/>
    <n v="0.02"/>
    <x v="1"/>
    <x v="37"/>
  </r>
  <r>
    <x v="191"/>
    <x v="6"/>
    <n v="142"/>
    <x v="1"/>
    <n v="519.03434086122161"/>
    <x v="1"/>
    <n v="544.98605790428269"/>
    <n v="0"/>
    <x v="0"/>
    <x v="18"/>
  </r>
  <r>
    <x v="192"/>
    <x v="2"/>
    <n v="250"/>
    <x v="0"/>
    <n v="525.73768685651703"/>
    <x v="1"/>
    <n v="552.02457119934286"/>
    <n v="0"/>
    <x v="0"/>
    <x v="17"/>
  </r>
  <r>
    <x v="193"/>
    <x v="0"/>
    <n v="280"/>
    <x v="0"/>
    <n v="507.34385406000365"/>
    <x v="1"/>
    <n v="532.71104676300388"/>
    <n v="0.02"/>
    <x v="0"/>
    <x v="1"/>
  </r>
  <r>
    <x v="177"/>
    <x v="6"/>
    <n v="142"/>
    <x v="0"/>
    <n v="544.13790021056957"/>
    <x v="0"/>
    <n v="571.34479522109802"/>
    <n v="0.02"/>
    <x v="1"/>
    <x v="16"/>
  </r>
  <r>
    <x v="1"/>
    <x v="2"/>
    <n v="250"/>
    <x v="0"/>
    <n v="511.80718904753485"/>
    <x v="1"/>
    <n v="537.39754849991164"/>
    <n v="0.01"/>
    <x v="0"/>
    <x v="3"/>
  </r>
  <r>
    <x v="194"/>
    <x v="5"/>
    <n v="200"/>
    <x v="2"/>
    <n v="545.12"/>
    <x v="0"/>
    <n v="572.37599999999998"/>
    <n v="0.01"/>
    <x v="1"/>
    <x v="4"/>
  </r>
  <r>
    <x v="39"/>
    <x v="5"/>
    <n v="200"/>
    <x v="2"/>
    <n v="549.67674858212195"/>
    <x v="0"/>
    <n v="577.16058601122802"/>
    <n v="0.02"/>
    <x v="0"/>
    <x v="2"/>
  </r>
  <r>
    <x v="195"/>
    <x v="3"/>
    <n v="195"/>
    <x v="0"/>
    <n v="509.22353710695643"/>
    <x v="1"/>
    <n v="534.68471396230427"/>
    <n v="0"/>
    <x v="0"/>
    <x v="16"/>
  </r>
  <r>
    <x v="196"/>
    <x v="2"/>
    <n v="250"/>
    <x v="0"/>
    <n v="526.62539156456114"/>
    <x v="1"/>
    <n v="552.95666114278924"/>
    <n v="0.03"/>
    <x v="0"/>
    <x v="15"/>
  </r>
  <r>
    <x v="197"/>
    <x v="7"/>
    <n v="166"/>
    <x v="1"/>
    <n v="512.8251096426302"/>
    <x v="1"/>
    <n v="538.46636512476175"/>
    <n v="0.01"/>
    <x v="0"/>
    <x v="29"/>
  </r>
  <r>
    <x v="198"/>
    <x v="5"/>
    <n v="200"/>
    <x v="2"/>
    <n v="532.98020571994584"/>
    <x v="0"/>
    <n v="559.62921600594314"/>
    <n v="0.03"/>
    <x v="0"/>
    <x v="15"/>
  </r>
  <r>
    <x v="199"/>
    <x v="6"/>
    <n v="142"/>
    <x v="1"/>
    <n v="502.44725141657455"/>
    <x v="1"/>
    <n v="527.56961398740327"/>
    <n v="0.01"/>
    <x v="1"/>
    <x v="32"/>
  </r>
  <r>
    <x v="101"/>
    <x v="0"/>
    <n v="280"/>
    <x v="0"/>
    <n v="521.62222633945566"/>
    <x v="1"/>
    <n v="547.70333765642852"/>
    <n v="0"/>
    <x v="0"/>
    <x v="14"/>
  </r>
  <r>
    <x v="16"/>
    <x v="4"/>
    <n v="175"/>
    <x v="2"/>
    <n v="536.44953472533052"/>
    <x v="0"/>
    <n v="563.27201146159712"/>
    <n v="0"/>
    <x v="0"/>
    <x v="13"/>
  </r>
  <r>
    <x v="143"/>
    <x v="7"/>
    <n v="166"/>
    <x v="1"/>
    <n v="530.94361659485094"/>
    <x v="0"/>
    <n v="557.49079742459355"/>
    <n v="0.03"/>
    <x v="1"/>
    <x v="41"/>
  </r>
  <r>
    <x v="200"/>
    <x v="4"/>
    <n v="175"/>
    <x v="2"/>
    <n v="519.61364349954692"/>
    <x v="1"/>
    <n v="545.59432567452427"/>
    <n v="0.02"/>
    <x v="0"/>
    <x v="30"/>
  </r>
  <r>
    <x v="13"/>
    <x v="7"/>
    <n v="166"/>
    <x v="0"/>
    <n v="505.58230471936895"/>
    <x v="1"/>
    <n v="530.8614199553374"/>
    <n v="0.01"/>
    <x v="1"/>
    <x v="42"/>
  </r>
  <r>
    <x v="44"/>
    <x v="3"/>
    <n v="195"/>
    <x v="0"/>
    <n v="511.21761286149376"/>
    <x v="1"/>
    <n v="536.77849350456847"/>
    <n v="0.02"/>
    <x v="1"/>
    <x v="21"/>
  </r>
  <r>
    <x v="88"/>
    <x v="1"/>
    <n v="140"/>
    <x v="1"/>
    <n v="547.01736815534241"/>
    <x v="0"/>
    <n v="574.36823656310958"/>
    <n v="0.02"/>
    <x v="1"/>
    <x v="0"/>
  </r>
  <r>
    <x v="201"/>
    <x v="0"/>
    <n v="280"/>
    <x v="0"/>
    <n v="522.55207061541296"/>
    <x v="1"/>
    <n v="548.67967414618363"/>
    <n v="0.03"/>
    <x v="0"/>
    <x v="30"/>
  </r>
  <r>
    <x v="176"/>
    <x v="3"/>
    <n v="195"/>
    <x v="0"/>
    <n v="505.5808460367125"/>
    <x v="1"/>
    <n v="530.8598883385481"/>
    <n v="0.01"/>
    <x v="0"/>
    <x v="0"/>
  </r>
  <r>
    <x v="29"/>
    <x v="3"/>
    <n v="195"/>
    <x v="0"/>
    <n v="511.34778882828505"/>
    <x v="1"/>
    <n v="536.91517826969937"/>
    <n v="0.02"/>
    <x v="1"/>
    <x v="43"/>
  </r>
  <r>
    <x v="202"/>
    <x v="2"/>
    <n v="250"/>
    <x v="0"/>
    <n v="512.42040808747424"/>
    <x v="1"/>
    <n v="538.04142849184802"/>
    <n v="0.01"/>
    <x v="1"/>
    <x v="9"/>
  </r>
  <r>
    <x v="203"/>
    <x v="3"/>
    <n v="195"/>
    <x v="0"/>
    <n v="511.19952447684591"/>
    <x v="1"/>
    <n v="536.75950070068825"/>
    <n v="0.03"/>
    <x v="0"/>
    <x v="5"/>
  </r>
  <r>
    <x v="124"/>
    <x v="4"/>
    <n v="175"/>
    <x v="2"/>
    <n v="513.05361597711271"/>
    <x v="1"/>
    <n v="538.70629677596833"/>
    <n v="0.03"/>
    <x v="0"/>
    <x v="16"/>
  </r>
  <r>
    <x v="204"/>
    <x v="3"/>
    <n v="195"/>
    <x v="0"/>
    <n v="507.80849897837197"/>
    <x v="1"/>
    <n v="533.19892392729059"/>
    <n v="0.03"/>
    <x v="0"/>
    <x v="17"/>
  </r>
  <r>
    <x v="169"/>
    <x v="0"/>
    <n v="280"/>
    <x v="0"/>
    <n v="529.92651479845426"/>
    <x v="1"/>
    <n v="556.42284053837705"/>
    <n v="0.01"/>
    <x v="1"/>
    <x v="29"/>
  </r>
  <r>
    <x v="205"/>
    <x v="4"/>
    <n v="175"/>
    <x v="2"/>
    <n v="511.13727902466235"/>
    <x v="1"/>
    <n v="536.69414297589549"/>
    <n v="0.03"/>
    <x v="0"/>
    <x v="24"/>
  </r>
  <r>
    <x v="153"/>
    <x v="5"/>
    <n v="200"/>
    <x v="2"/>
    <n v="538.7723001784052"/>
    <x v="0"/>
    <n v="565.71091518732544"/>
    <n v="0.02"/>
    <x v="0"/>
    <x v="15"/>
  </r>
  <r>
    <x v="192"/>
    <x v="1"/>
    <n v="140"/>
    <x v="1"/>
    <n v="515.99324749874722"/>
    <x v="1"/>
    <n v="541.79290987368461"/>
    <n v="0"/>
    <x v="0"/>
    <x v="13"/>
  </r>
  <r>
    <x v="206"/>
    <x v="8"/>
    <n v="188"/>
    <x v="0"/>
    <n v="516.8165395283504"/>
    <x v="1"/>
    <n v="542.65736650476799"/>
    <n v="0.01"/>
    <x v="1"/>
    <x v="28"/>
  </r>
  <r>
    <x v="207"/>
    <x v="1"/>
    <n v="140"/>
    <x v="1"/>
    <n v="550.10703101712352"/>
    <x v="0"/>
    <n v="577.61238256797969"/>
    <n v="0.02"/>
    <x v="1"/>
    <x v="27"/>
  </r>
  <r>
    <x v="208"/>
    <x v="7"/>
    <n v="166"/>
    <x v="1"/>
    <n v="516.14923267100585"/>
    <x v="1"/>
    <n v="541.95669430455621"/>
    <n v="0.01"/>
    <x v="0"/>
    <x v="27"/>
  </r>
  <r>
    <x v="165"/>
    <x v="3"/>
    <n v="195"/>
    <x v="0"/>
    <n v="550.85484698159416"/>
    <x v="0"/>
    <n v="578.3975893306739"/>
    <n v="0.03"/>
    <x v="0"/>
    <x v="6"/>
  </r>
  <r>
    <x v="209"/>
    <x v="3"/>
    <n v="195"/>
    <x v="0"/>
    <n v="541.55232248677021"/>
    <x v="0"/>
    <n v="568.62993861110874"/>
    <n v="0.01"/>
    <x v="1"/>
    <x v="26"/>
  </r>
  <r>
    <x v="210"/>
    <x v="3"/>
    <n v="195"/>
    <x v="0"/>
    <n v="511.7410600217263"/>
    <x v="1"/>
    <n v="537.32811302281266"/>
    <n v="0.01"/>
    <x v="0"/>
    <x v="2"/>
  </r>
  <r>
    <x v="211"/>
    <x v="6"/>
    <n v="142"/>
    <x v="1"/>
    <n v="536.06550997482827"/>
    <x v="0"/>
    <n v="562.86878547356969"/>
    <n v="0.01"/>
    <x v="0"/>
    <x v="29"/>
  </r>
  <r>
    <x v="108"/>
    <x v="8"/>
    <n v="188"/>
    <x v="0"/>
    <n v="546.25410158568775"/>
    <x v="0"/>
    <n v="573.5668066649722"/>
    <n v="0.02"/>
    <x v="0"/>
    <x v="16"/>
  </r>
  <r>
    <x v="35"/>
    <x v="6"/>
    <n v="142"/>
    <x v="1"/>
    <n v="526.24277278625595"/>
    <x v="1"/>
    <n v="552.55491142556878"/>
    <n v="0.01"/>
    <x v="0"/>
    <x v="31"/>
  </r>
  <r>
    <x v="212"/>
    <x v="2"/>
    <n v="250"/>
    <x v="0"/>
    <n v="537.49717696533844"/>
    <x v="0"/>
    <n v="564.37203581360541"/>
    <n v="0"/>
    <x v="1"/>
    <x v="0"/>
  </r>
  <r>
    <x v="58"/>
    <x v="6"/>
    <n v="142"/>
    <x v="1"/>
    <n v="550.00072480597919"/>
    <x v="0"/>
    <n v="577.50076104627817"/>
    <n v="0.01"/>
    <x v="1"/>
    <x v="44"/>
  </r>
  <r>
    <x v="213"/>
    <x v="7"/>
    <n v="166"/>
    <x v="1"/>
    <n v="550.89864605201728"/>
    <x v="0"/>
    <n v="578.44357835461813"/>
    <n v="0.01"/>
    <x v="0"/>
    <x v="28"/>
  </r>
  <r>
    <x v="144"/>
    <x v="5"/>
    <n v="200"/>
    <x v="2"/>
    <n v="536.56391769243146"/>
    <x v="0"/>
    <n v="563.39211357705301"/>
    <n v="0"/>
    <x v="0"/>
    <x v="24"/>
  </r>
  <r>
    <x v="214"/>
    <x v="7"/>
    <n v="166"/>
    <x v="1"/>
    <n v="528.42147025397662"/>
    <x v="1"/>
    <n v="554.84254376667548"/>
    <n v="0"/>
    <x v="0"/>
    <x v="8"/>
  </r>
  <r>
    <x v="215"/>
    <x v="1"/>
    <n v="140"/>
    <x v="1"/>
    <n v="524.91698067679863"/>
    <x v="1"/>
    <n v="551.16282971063856"/>
    <n v="0.02"/>
    <x v="0"/>
    <x v="1"/>
  </r>
  <r>
    <x v="47"/>
    <x v="6"/>
    <n v="142"/>
    <x v="0"/>
    <n v="547.58404414342658"/>
    <x v="0"/>
    <n v="574.96324635059796"/>
    <n v="0"/>
    <x v="0"/>
    <x v="10"/>
  </r>
  <r>
    <x v="161"/>
    <x v="3"/>
    <n v="195"/>
    <x v="0"/>
    <n v="539.37997715240544"/>
    <x v="0"/>
    <n v="566.34897601002569"/>
    <n v="0.03"/>
    <x v="1"/>
    <x v="45"/>
  </r>
  <r>
    <x v="8"/>
    <x v="5"/>
    <n v="200"/>
    <x v="2"/>
    <n v="519.91429201309165"/>
    <x v="1"/>
    <n v="545.9100066137463"/>
    <n v="0"/>
    <x v="1"/>
    <x v="37"/>
  </r>
  <r>
    <x v="216"/>
    <x v="4"/>
    <n v="175"/>
    <x v="2"/>
    <n v="522.4517978016238"/>
    <x v="1"/>
    <n v="548.57438769170506"/>
    <n v="0"/>
    <x v="0"/>
    <x v="5"/>
  </r>
  <r>
    <x v="72"/>
    <x v="5"/>
    <n v="200"/>
    <x v="2"/>
    <n v="540.21105970088593"/>
    <x v="0"/>
    <n v="567.22161268593027"/>
    <n v="0.03"/>
    <x v="0"/>
    <x v="25"/>
  </r>
  <r>
    <x v="217"/>
    <x v="8"/>
    <n v="188"/>
    <x v="0"/>
    <n v="543.09090183460648"/>
    <x v="0"/>
    <n v="570.24544692633685"/>
    <n v="0.01"/>
    <x v="0"/>
    <x v="3"/>
  </r>
  <r>
    <x v="218"/>
    <x v="2"/>
    <n v="250"/>
    <x v="0"/>
    <n v="526.66478387583447"/>
    <x v="1"/>
    <n v="552.99802306962624"/>
    <n v="0.02"/>
    <x v="0"/>
    <x v="26"/>
  </r>
  <r>
    <x v="90"/>
    <x v="1"/>
    <n v="140"/>
    <x v="1"/>
    <n v="547.80352643998594"/>
    <x v="0"/>
    <n v="575.19370276198526"/>
    <n v="0.02"/>
    <x v="0"/>
    <x v="32"/>
  </r>
  <r>
    <x v="219"/>
    <x v="4"/>
    <n v="175"/>
    <x v="2"/>
    <n v="514.47597559456972"/>
    <x v="1"/>
    <n v="540.19977437429827"/>
    <n v="0.01"/>
    <x v="0"/>
    <x v="36"/>
  </r>
  <r>
    <x v="45"/>
    <x v="8"/>
    <n v="188"/>
    <x v="0"/>
    <n v="524.15958993361892"/>
    <x v="1"/>
    <n v="550.36756943029991"/>
    <n v="0.01"/>
    <x v="0"/>
    <x v="35"/>
  </r>
  <r>
    <x v="208"/>
    <x v="6"/>
    <n v="142"/>
    <x v="1"/>
    <n v="526.99792362320477"/>
    <x v="1"/>
    <n v="553.34781980436503"/>
    <n v="0.03"/>
    <x v="0"/>
    <x v="29"/>
  </r>
  <r>
    <x v="220"/>
    <x v="6"/>
    <n v="142"/>
    <x v="1"/>
    <n v="522.6260450386917"/>
    <x v="1"/>
    <n v="548.75734729062629"/>
    <n v="0.03"/>
    <x v="0"/>
    <x v="29"/>
  </r>
  <r>
    <x v="135"/>
    <x v="0"/>
    <n v="280"/>
    <x v="0"/>
    <n v="518.37773160789584"/>
    <x v="1"/>
    <n v="544.29661818829061"/>
    <n v="0.02"/>
    <x v="0"/>
    <x v="6"/>
  </r>
  <r>
    <x v="221"/>
    <x v="4"/>
    <n v="175"/>
    <x v="2"/>
    <n v="532.45649871660771"/>
    <x v="0"/>
    <n v="559.07932365243812"/>
    <n v="0.02"/>
    <x v="0"/>
    <x v="9"/>
  </r>
  <r>
    <x v="144"/>
    <x v="4"/>
    <n v="175"/>
    <x v="2"/>
    <n v="507.89616855035911"/>
    <x v="1"/>
    <n v="533.29097697787711"/>
    <n v="0.03"/>
    <x v="0"/>
    <x v="9"/>
  </r>
  <r>
    <x v="222"/>
    <x v="2"/>
    <n v="250"/>
    <x v="0"/>
    <n v="527.18470927640647"/>
    <x v="1"/>
    <n v="553.54394474022683"/>
    <n v="0"/>
    <x v="0"/>
    <x v="15"/>
  </r>
  <r>
    <x v="166"/>
    <x v="2"/>
    <n v="250"/>
    <x v="0"/>
    <n v="508.10024355727819"/>
    <x v="1"/>
    <n v="533.5052557351421"/>
    <n v="0.03"/>
    <x v="1"/>
    <x v="46"/>
  </r>
  <r>
    <x v="110"/>
    <x v="0"/>
    <n v="280"/>
    <x v="0"/>
    <n v="508.66638135530138"/>
    <x v="1"/>
    <n v="534.09970042306645"/>
    <n v="0.01"/>
    <x v="0"/>
    <x v="6"/>
  </r>
  <r>
    <x v="137"/>
    <x v="5"/>
    <n v="200"/>
    <x v="2"/>
    <n v="550.23"/>
    <x v="0"/>
    <n v="577.74150000000009"/>
    <n v="0.02"/>
    <x v="0"/>
    <x v="17"/>
  </r>
  <r>
    <x v="30"/>
    <x v="7"/>
    <n v="166"/>
    <x v="1"/>
    <n v="512.55413259164015"/>
    <x v="1"/>
    <n v="538.18183922122216"/>
    <n v="0"/>
    <x v="1"/>
    <x v="7"/>
  </r>
  <r>
    <x v="145"/>
    <x v="1"/>
    <n v="140"/>
    <x v="1"/>
    <n v="547.27760155945725"/>
    <x v="0"/>
    <n v="574.64148163743016"/>
    <n v="0"/>
    <x v="1"/>
    <x v="8"/>
  </r>
  <r>
    <x v="115"/>
    <x v="3"/>
    <n v="195"/>
    <x v="0"/>
    <n v="549.43494697327696"/>
    <x v="0"/>
    <n v="576.90669432194079"/>
    <n v="0"/>
    <x v="0"/>
    <x v="12"/>
  </r>
  <r>
    <x v="223"/>
    <x v="4"/>
    <n v="175"/>
    <x v="2"/>
    <n v="510.41635272200256"/>
    <x v="1"/>
    <n v="535.93717035810266"/>
    <n v="0"/>
    <x v="0"/>
    <x v="1"/>
  </r>
  <r>
    <x v="9"/>
    <x v="7"/>
    <n v="166"/>
    <x v="1"/>
    <n v="541.27906749260183"/>
    <x v="0"/>
    <n v="568.34302086723198"/>
    <n v="0.03"/>
    <x v="0"/>
    <x v="35"/>
  </r>
  <r>
    <x v="182"/>
    <x v="5"/>
    <n v="200"/>
    <x v="2"/>
    <n v="558.0946519419922"/>
    <x v="0"/>
    <n v="585.99938453909181"/>
    <n v="0.01"/>
    <x v="0"/>
    <x v="28"/>
  </r>
  <r>
    <x v="69"/>
    <x v="0"/>
    <n v="280"/>
    <x v="0"/>
    <n v="510.66854459622209"/>
    <x v="1"/>
    <n v="536.20197182603317"/>
    <n v="0.01"/>
    <x v="0"/>
    <x v="34"/>
  </r>
  <r>
    <x v="224"/>
    <x v="3"/>
    <n v="195"/>
    <x v="0"/>
    <n v="538.25006054006371"/>
    <x v="0"/>
    <n v="565.16256356706697"/>
    <n v="0.01"/>
    <x v="0"/>
    <x v="30"/>
  </r>
  <r>
    <x v="132"/>
    <x v="7"/>
    <n v="166"/>
    <x v="1"/>
    <n v="538.88773816585399"/>
    <x v="0"/>
    <n v="565.83212507414669"/>
    <n v="0.01"/>
    <x v="0"/>
    <x v="2"/>
  </r>
  <r>
    <x v="139"/>
    <x v="8"/>
    <n v="188"/>
    <x v="0"/>
    <n v="515.41950118633395"/>
    <x v="1"/>
    <n v="541.19047624565064"/>
    <n v="0"/>
    <x v="0"/>
    <x v="18"/>
  </r>
  <r>
    <x v="225"/>
    <x v="1"/>
    <n v="140"/>
    <x v="1"/>
    <n v="512.98553655050637"/>
    <x v="1"/>
    <n v="538.63481337803171"/>
    <n v="0.02"/>
    <x v="0"/>
    <x v="1"/>
  </r>
  <r>
    <x v="215"/>
    <x v="4"/>
    <n v="175"/>
    <x v="2"/>
    <n v="544.85816874335796"/>
    <x v="0"/>
    <n v="572.10107718052586"/>
    <n v="0.01"/>
    <x v="0"/>
    <x v="1"/>
  </r>
  <r>
    <x v="226"/>
    <x v="8"/>
    <n v="188"/>
    <x v="0"/>
    <n v="533.85712443350894"/>
    <x v="0"/>
    <n v="560.54998065518441"/>
    <n v="0"/>
    <x v="1"/>
    <x v="2"/>
  </r>
  <r>
    <x v="136"/>
    <x v="4"/>
    <n v="175"/>
    <x v="2"/>
    <n v="505.70969438265092"/>
    <x v="1"/>
    <n v="530.99517910178349"/>
    <n v="0.01"/>
    <x v="0"/>
    <x v="11"/>
  </r>
  <r>
    <x v="55"/>
    <x v="8"/>
    <n v="188"/>
    <x v="0"/>
    <n v="532.29663835473639"/>
    <x v="0"/>
    <n v="558.91147027247325"/>
    <n v="0.02"/>
    <x v="0"/>
    <x v="30"/>
  </r>
  <r>
    <x v="53"/>
    <x v="2"/>
    <n v="250"/>
    <x v="0"/>
    <n v="505.32138449850936"/>
    <x v="1"/>
    <n v="530.58745372343481"/>
    <n v="0.03"/>
    <x v="0"/>
    <x v="9"/>
  </r>
  <r>
    <x v="44"/>
    <x v="3"/>
    <n v="195"/>
    <x v="0"/>
    <n v="533.07847596721967"/>
    <x v="0"/>
    <n v="559.73239976558068"/>
    <n v="0"/>
    <x v="0"/>
    <x v="19"/>
  </r>
  <r>
    <x v="227"/>
    <x v="1"/>
    <n v="140"/>
    <x v="1"/>
    <n v="542.13112772032491"/>
    <x v="0"/>
    <n v="569.23768410634113"/>
    <n v="0"/>
    <x v="1"/>
    <x v="16"/>
  </r>
  <r>
    <x v="228"/>
    <x v="8"/>
    <n v="188"/>
    <x v="0"/>
    <n v="508.79178333497566"/>
    <x v="1"/>
    <n v="534.23137250172442"/>
    <n v="0.01"/>
    <x v="0"/>
    <x v="0"/>
  </r>
  <r>
    <x v="229"/>
    <x v="8"/>
    <n v="188"/>
    <x v="0"/>
    <n v="506.95684395735316"/>
    <x v="1"/>
    <n v="532.30468615522079"/>
    <n v="0"/>
    <x v="1"/>
    <x v="2"/>
  </r>
  <r>
    <x v="230"/>
    <x v="5"/>
    <n v="200"/>
    <x v="2"/>
    <n v="521.36561658641313"/>
    <x v="1"/>
    <n v="547.43389741573378"/>
    <n v="0.01"/>
    <x v="1"/>
    <x v="35"/>
  </r>
  <r>
    <x v="93"/>
    <x v="2"/>
    <n v="250"/>
    <x v="0"/>
    <n v="539.56511537964616"/>
    <x v="0"/>
    <n v="566.54337114862847"/>
    <n v="0.01"/>
    <x v="0"/>
    <x v="34"/>
  </r>
  <r>
    <x v="231"/>
    <x v="4"/>
    <n v="175"/>
    <x v="2"/>
    <n v="507.89616855035911"/>
    <x v="1"/>
    <n v="533.29097697787711"/>
    <n v="0.01"/>
    <x v="0"/>
    <x v="13"/>
  </r>
  <r>
    <x v="232"/>
    <x v="3"/>
    <n v="195"/>
    <x v="0"/>
    <n v="538.13672391894579"/>
    <x v="0"/>
    <n v="565.04356011489313"/>
    <n v="0.02"/>
    <x v="1"/>
    <x v="16"/>
  </r>
  <r>
    <x v="192"/>
    <x v="1"/>
    <n v="140"/>
    <x v="1"/>
    <n v="500.91080893899834"/>
    <x v="1"/>
    <n v="525.95634938594833"/>
    <n v="0.02"/>
    <x v="0"/>
    <x v="1"/>
  </r>
  <r>
    <x v="233"/>
    <x v="2"/>
    <n v="250"/>
    <x v="0"/>
    <n v="547.83819443321772"/>
    <x v="0"/>
    <n v="575.23010415487863"/>
    <n v="0.02"/>
    <x v="0"/>
    <x v="6"/>
  </r>
  <r>
    <x v="29"/>
    <x v="1"/>
    <n v="140"/>
    <x v="1"/>
    <n v="544.81542066803195"/>
    <x v="0"/>
    <n v="572.05619170143359"/>
    <n v="0.02"/>
    <x v="0"/>
    <x v="28"/>
  </r>
  <r>
    <x v="234"/>
    <x v="4"/>
    <n v="175"/>
    <x v="2"/>
    <n v="507.89616855035911"/>
    <x v="1"/>
    <n v="533.29097697787711"/>
    <n v="0"/>
    <x v="0"/>
    <x v="30"/>
  </r>
  <r>
    <x v="235"/>
    <x v="8"/>
    <n v="188"/>
    <x v="0"/>
    <n v="514.7653111294976"/>
    <x v="1"/>
    <n v="540.50357668597246"/>
    <n v="0.01"/>
    <x v="1"/>
    <x v="12"/>
  </r>
  <r>
    <x v="154"/>
    <x v="1"/>
    <n v="140"/>
    <x v="1"/>
    <n v="502.61150454409471"/>
    <x v="1"/>
    <n v="527.74207977129947"/>
    <n v="0.01"/>
    <x v="0"/>
    <x v="9"/>
  </r>
  <r>
    <x v="236"/>
    <x v="3"/>
    <n v="195"/>
    <x v="0"/>
    <n v="506.72615802364908"/>
    <x v="1"/>
    <n v="532.0624659248316"/>
    <n v="0.02"/>
    <x v="0"/>
    <x v="25"/>
  </r>
  <r>
    <x v="237"/>
    <x v="6"/>
    <n v="142"/>
    <x v="1"/>
    <n v="549.42087750418432"/>
    <x v="0"/>
    <n v="576.89192137939358"/>
    <n v="0.02"/>
    <x v="0"/>
    <x v="8"/>
  </r>
  <r>
    <x v="238"/>
    <x v="8"/>
    <n v="188"/>
    <x v="0"/>
    <n v="500.42486897209892"/>
    <x v="1"/>
    <n v="525.44611242070391"/>
    <n v="0"/>
    <x v="0"/>
    <x v="4"/>
  </r>
  <r>
    <x v="88"/>
    <x v="1"/>
    <n v="140"/>
    <x v="1"/>
    <n v="509.51203695403092"/>
    <x v="1"/>
    <n v="534.98763880173249"/>
    <n v="0.03"/>
    <x v="1"/>
    <x v="46"/>
  </r>
  <r>
    <x v="201"/>
    <x v="5"/>
    <n v="200"/>
    <x v="2"/>
    <n v="534.25402656077313"/>
    <x v="0"/>
    <n v="560.96672788881176"/>
    <n v="0.02"/>
    <x v="0"/>
    <x v="14"/>
  </r>
  <r>
    <x v="8"/>
    <x v="4"/>
    <n v="175"/>
    <x v="2"/>
    <n v="509.93563226607239"/>
    <x v="1"/>
    <n v="535.43241387937599"/>
    <n v="0.01"/>
    <x v="0"/>
    <x v="0"/>
  </r>
  <r>
    <x v="94"/>
    <x v="5"/>
    <n v="200"/>
    <x v="2"/>
    <n v="532.96820316191133"/>
    <x v="0"/>
    <n v="559.61661332000688"/>
    <n v="0.01"/>
    <x v="0"/>
    <x v="25"/>
  </r>
  <r>
    <x v="239"/>
    <x v="2"/>
    <n v="250"/>
    <x v="0"/>
    <n v="506.76386896911845"/>
    <x v="1"/>
    <n v="532.10206241757442"/>
    <n v="0.02"/>
    <x v="0"/>
    <x v="34"/>
  </r>
  <r>
    <x v="240"/>
    <x v="4"/>
    <n v="175"/>
    <x v="2"/>
    <n v="511.13727902466235"/>
    <x v="1"/>
    <n v="536.69414297589549"/>
    <n v="0"/>
    <x v="0"/>
    <x v="24"/>
  </r>
  <r>
    <x v="241"/>
    <x v="4"/>
    <n v="175"/>
    <x v="2"/>
    <n v="505.53964147398165"/>
    <x v="1"/>
    <n v="530.81662354768071"/>
    <n v="0.01"/>
    <x v="1"/>
    <x v="24"/>
  </r>
  <r>
    <x v="201"/>
    <x v="6"/>
    <n v="142"/>
    <x v="0"/>
    <n v="528.45187423913831"/>
    <x v="1"/>
    <n v="554.8744679510952"/>
    <n v="0.03"/>
    <x v="0"/>
    <x v="5"/>
  </r>
  <r>
    <x v="112"/>
    <x v="8"/>
    <n v="188"/>
    <x v="0"/>
    <n v="513.98188183620823"/>
    <x v="1"/>
    <n v="539.68097592801871"/>
    <n v="0.02"/>
    <x v="0"/>
    <x v="5"/>
  </r>
  <r>
    <x v="237"/>
    <x v="3"/>
    <n v="195"/>
    <x v="0"/>
    <n v="546.52124421135522"/>
    <x v="0"/>
    <n v="573.84730642192301"/>
    <n v="0"/>
    <x v="0"/>
    <x v="19"/>
  </r>
  <r>
    <x v="70"/>
    <x v="4"/>
    <n v="175"/>
    <x v="2"/>
    <n v="524.23792104938366"/>
    <x v="1"/>
    <n v="550.44981710185289"/>
    <n v="0.01"/>
    <x v="0"/>
    <x v="26"/>
  </r>
  <r>
    <x v="187"/>
    <x v="2"/>
    <n v="250"/>
    <x v="0"/>
    <n v="505.72825095034386"/>
    <x v="1"/>
    <n v="531.01466349786108"/>
    <n v="0"/>
    <x v="1"/>
    <x v="35"/>
  </r>
  <r>
    <x v="161"/>
    <x v="5"/>
    <n v="200"/>
    <x v="2"/>
    <n v="553.99350936238261"/>
    <x v="0"/>
    <n v="581.69318483050176"/>
    <n v="0"/>
    <x v="0"/>
    <x v="6"/>
  </r>
  <r>
    <x v="189"/>
    <x v="6"/>
    <n v="142"/>
    <x v="0"/>
    <n v="523.29850930918019"/>
    <x v="1"/>
    <n v="549.46343477463927"/>
    <n v="0.03"/>
    <x v="0"/>
    <x v="4"/>
  </r>
  <r>
    <x v="27"/>
    <x v="6"/>
    <n v="142"/>
    <x v="1"/>
    <n v="509.35701310124659"/>
    <x v="1"/>
    <n v="534.8248637563089"/>
    <n v="0"/>
    <x v="0"/>
    <x v="36"/>
  </r>
  <r>
    <x v="242"/>
    <x v="3"/>
    <n v="195"/>
    <x v="0"/>
    <n v="508.06586688207881"/>
    <x v="1"/>
    <n v="533.46916022618279"/>
    <n v="0.01"/>
    <x v="0"/>
    <x v="12"/>
  </r>
  <r>
    <x v="61"/>
    <x v="7"/>
    <n v="166"/>
    <x v="1"/>
    <n v="510.42115584924431"/>
    <x v="1"/>
    <n v="535.94221364170653"/>
    <n v="0.01"/>
    <x v="1"/>
    <x v="33"/>
  </r>
  <r>
    <x v="60"/>
    <x v="2"/>
    <n v="250"/>
    <x v="0"/>
    <n v="549.3462420083124"/>
    <x v="0"/>
    <n v="576.813554108728"/>
    <n v="0.01"/>
    <x v="1"/>
    <x v="5"/>
  </r>
  <r>
    <x v="96"/>
    <x v="3"/>
    <n v="195"/>
    <x v="0"/>
    <n v="539.37770600244312"/>
    <x v="0"/>
    <n v="566.34659130256534"/>
    <n v="0.02"/>
    <x v="0"/>
    <x v="13"/>
  </r>
  <r>
    <x v="238"/>
    <x v="5"/>
    <n v="200"/>
    <x v="2"/>
    <n v="536.2057467065315"/>
    <x v="0"/>
    <n v="563.01603404185812"/>
    <n v="0.02"/>
    <x v="0"/>
    <x v="6"/>
  </r>
  <r>
    <x v="165"/>
    <x v="4"/>
    <n v="175"/>
    <x v="2"/>
    <n v="539.19969883103204"/>
    <x v="0"/>
    <n v="566.15968377258366"/>
    <n v="0.01"/>
    <x v="1"/>
    <x v="10"/>
  </r>
  <r>
    <x v="243"/>
    <x v="4"/>
    <n v="175"/>
    <x v="2"/>
    <n v="512.85177527772157"/>
    <x v="1"/>
    <n v="538.4943640416077"/>
    <n v="0.02"/>
    <x v="0"/>
    <x v="2"/>
  </r>
  <r>
    <x v="197"/>
    <x v="4"/>
    <n v="175"/>
    <x v="2"/>
    <n v="502.62674294932458"/>
    <x v="1"/>
    <n v="527.75808009679088"/>
    <n v="0"/>
    <x v="0"/>
    <x v="25"/>
  </r>
  <r>
    <x v="244"/>
    <x v="8"/>
    <n v="188"/>
    <x v="0"/>
    <n v="509.5807992021264"/>
    <x v="1"/>
    <n v="535.05983916223272"/>
    <n v="0.01"/>
    <x v="1"/>
    <x v="6"/>
  </r>
  <r>
    <x v="196"/>
    <x v="1"/>
    <n v="140"/>
    <x v="1"/>
    <n v="511.58031278149701"/>
    <x v="1"/>
    <n v="537.15932842057191"/>
    <n v="0.03"/>
    <x v="0"/>
    <x v="10"/>
  </r>
  <r>
    <x v="101"/>
    <x v="8"/>
    <n v="188"/>
    <x v="0"/>
    <n v="537.7919134714266"/>
    <x v="0"/>
    <n v="564.6815091449979"/>
    <n v="0.02"/>
    <x v="0"/>
    <x v="19"/>
  </r>
  <r>
    <x v="245"/>
    <x v="6"/>
    <n v="142"/>
    <x v="0"/>
    <n v="526.13482278062565"/>
    <x v="1"/>
    <n v="552.44156391965691"/>
    <n v="0"/>
    <x v="0"/>
    <x v="6"/>
  </r>
  <r>
    <x v="175"/>
    <x v="3"/>
    <n v="195"/>
    <x v="0"/>
    <n v="507.03336944209332"/>
    <x v="1"/>
    <n v="532.38503791419805"/>
    <n v="0.01"/>
    <x v="0"/>
    <x v="14"/>
  </r>
  <r>
    <x v="176"/>
    <x v="0"/>
    <n v="280"/>
    <x v="0"/>
    <n v="518.84800324166645"/>
    <x v="1"/>
    <n v="544.79040340374979"/>
    <n v="0.01"/>
    <x v="0"/>
    <x v="18"/>
  </r>
  <r>
    <x v="236"/>
    <x v="4"/>
    <n v="175"/>
    <x v="2"/>
    <n v="537.56475412153395"/>
    <x v="0"/>
    <n v="564.44299182761063"/>
    <n v="0"/>
    <x v="0"/>
    <x v="28"/>
  </r>
  <r>
    <x v="26"/>
    <x v="2"/>
    <n v="250"/>
    <x v="0"/>
    <n v="506.2879191674192"/>
    <x v="1"/>
    <n v="531.60231512579014"/>
    <n v="0.03"/>
    <x v="1"/>
    <x v="23"/>
  </r>
  <r>
    <x v="67"/>
    <x v="5"/>
    <n v="200"/>
    <x v="2"/>
    <n v="537.22935764126669"/>
    <x v="0"/>
    <n v="564.09082552333007"/>
    <n v="0.02"/>
    <x v="0"/>
    <x v="2"/>
  </r>
  <r>
    <x v="106"/>
    <x v="7"/>
    <n v="166"/>
    <x v="1"/>
    <n v="517.82681095533007"/>
    <x v="1"/>
    <n v="543.71815150309658"/>
    <n v="0"/>
    <x v="1"/>
    <x v="0"/>
  </r>
  <r>
    <x v="112"/>
    <x v="8"/>
    <n v="188"/>
    <x v="0"/>
    <n v="523.92984432238336"/>
    <x v="1"/>
    <n v="550.12633653850253"/>
    <n v="0.02"/>
    <x v="0"/>
    <x v="27"/>
  </r>
  <r>
    <x v="15"/>
    <x v="3"/>
    <n v="195"/>
    <x v="0"/>
    <n v="532.4838110733217"/>
    <x v="0"/>
    <n v="559.10800162698786"/>
    <n v="0"/>
    <x v="0"/>
    <x v="34"/>
  </r>
  <r>
    <x v="24"/>
    <x v="5"/>
    <n v="200"/>
    <x v="2"/>
    <n v="542.66999999999996"/>
    <x v="0"/>
    <n v="569.80349999999999"/>
    <n v="0.01"/>
    <x v="0"/>
    <x v="26"/>
  </r>
  <r>
    <x v="79"/>
    <x v="3"/>
    <n v="195"/>
    <x v="0"/>
    <n v="520.41132397529145"/>
    <x v="1"/>
    <n v="546.43189017405609"/>
    <n v="0"/>
    <x v="0"/>
    <x v="34"/>
  </r>
  <r>
    <x v="238"/>
    <x v="2"/>
    <n v="250"/>
    <x v="0"/>
    <n v="507.6862882431551"/>
    <x v="1"/>
    <n v="533.07060265531288"/>
    <n v="0"/>
    <x v="0"/>
    <x v="34"/>
  </r>
  <r>
    <x v="99"/>
    <x v="3"/>
    <n v="195"/>
    <x v="0"/>
    <n v="549.00155933530186"/>
    <x v="0"/>
    <n v="576.45163730206696"/>
    <n v="0.02"/>
    <x v="1"/>
    <x v="30"/>
  </r>
  <r>
    <x v="246"/>
    <x v="1"/>
    <n v="140"/>
    <x v="1"/>
    <n v="542.35618954362235"/>
    <x v="0"/>
    <n v="569.47399902080349"/>
    <n v="0.03"/>
    <x v="1"/>
    <x v="16"/>
  </r>
  <r>
    <x v="247"/>
    <x v="5"/>
    <n v="200"/>
    <x v="2"/>
    <n v="543.39946581101231"/>
    <x v="0"/>
    <n v="570.56943910156292"/>
    <n v="0"/>
    <x v="0"/>
    <x v="28"/>
  </r>
  <r>
    <x v="163"/>
    <x v="6"/>
    <n v="142"/>
    <x v="1"/>
    <n v="549.63427278129893"/>
    <x v="0"/>
    <n v="577.11598642036392"/>
    <n v="0.01"/>
    <x v="0"/>
    <x v="6"/>
  </r>
  <r>
    <x v="135"/>
    <x v="2"/>
    <n v="250"/>
    <x v="0"/>
    <n v="521.6622026239329"/>
    <x v="1"/>
    <n v="547.74531275512959"/>
    <n v="0.02"/>
    <x v="1"/>
    <x v="26"/>
  </r>
  <r>
    <x v="248"/>
    <x v="5"/>
    <n v="200"/>
    <x v="2"/>
    <n v="518.35810286070682"/>
    <x v="1"/>
    <n v="544.27600800374216"/>
    <n v="0.01"/>
    <x v="0"/>
    <x v="13"/>
  </r>
  <r>
    <x v="92"/>
    <x v="7"/>
    <n v="166"/>
    <x v="1"/>
    <n v="529.43183962253261"/>
    <x v="1"/>
    <n v="555.90343160365921"/>
    <n v="0.03"/>
    <x v="0"/>
    <x v="10"/>
  </r>
  <r>
    <x v="249"/>
    <x v="3"/>
    <n v="195"/>
    <x v="0"/>
    <n v="546.90785865093494"/>
    <x v="0"/>
    <n v="574.25325158348176"/>
    <n v="0.02"/>
    <x v="0"/>
    <x v="5"/>
  </r>
  <r>
    <x v="250"/>
    <x v="1"/>
    <n v="140"/>
    <x v="1"/>
    <n v="549.87492476365333"/>
    <x v="0"/>
    <n v="577.36867100183599"/>
    <n v="0.03"/>
    <x v="0"/>
    <x v="5"/>
  </r>
  <r>
    <x v="85"/>
    <x v="3"/>
    <n v="195"/>
    <x v="0"/>
    <n v="546.07840419587046"/>
    <x v="0"/>
    <n v="573.38232440566401"/>
    <n v="0.02"/>
    <x v="1"/>
    <x v="6"/>
  </r>
  <r>
    <x v="239"/>
    <x v="2"/>
    <n v="250"/>
    <x v="0"/>
    <n v="516.56997951892936"/>
    <x v="1"/>
    <n v="542.3984784948758"/>
    <n v="0"/>
    <x v="0"/>
    <x v="6"/>
  </r>
  <r>
    <x v="251"/>
    <x v="4"/>
    <n v="175"/>
    <x v="2"/>
    <n v="500.04057511004066"/>
    <x v="1"/>
    <n v="525.04260386554267"/>
    <n v="0.01"/>
    <x v="0"/>
    <x v="25"/>
  </r>
  <r>
    <x v="29"/>
    <x v="2"/>
    <n v="250"/>
    <x v="0"/>
    <n v="521.83560028065858"/>
    <x v="1"/>
    <n v="547.92738029469149"/>
    <n v="0.03"/>
    <x v="0"/>
    <x v="6"/>
  </r>
  <r>
    <x v="239"/>
    <x v="3"/>
    <n v="195"/>
    <x v="0"/>
    <n v="533.0251733694522"/>
    <x v="0"/>
    <n v="559.67643203792488"/>
    <n v="0"/>
    <x v="1"/>
    <x v="37"/>
  </r>
  <r>
    <x v="137"/>
    <x v="2"/>
    <n v="250"/>
    <x v="0"/>
    <n v="539.98713473847965"/>
    <x v="0"/>
    <n v="566.98649147540368"/>
    <n v="0.02"/>
    <x v="0"/>
    <x v="5"/>
  </r>
  <r>
    <x v="42"/>
    <x v="5"/>
    <n v="200"/>
    <x v="2"/>
    <n v="535.35037588459727"/>
    <x v="0"/>
    <n v="562.11789467882716"/>
    <n v="0.01"/>
    <x v="0"/>
    <x v="15"/>
  </r>
  <r>
    <x v="133"/>
    <x v="8"/>
    <n v="188"/>
    <x v="0"/>
    <n v="503.97026321730846"/>
    <x v="1"/>
    <n v="529.1687763781739"/>
    <n v="0.03"/>
    <x v="0"/>
    <x v="29"/>
  </r>
  <r>
    <x v="46"/>
    <x v="5"/>
    <n v="200"/>
    <x v="2"/>
    <n v="521.6159136281085"/>
    <x v="1"/>
    <n v="547.69670930951395"/>
    <n v="0.02"/>
    <x v="1"/>
    <x v="20"/>
  </r>
  <r>
    <x v="252"/>
    <x v="5"/>
    <n v="200"/>
    <x v="2"/>
    <n v="545.68068179612783"/>
    <x v="0"/>
    <n v="572.9647158859342"/>
    <n v="0"/>
    <x v="0"/>
    <x v="10"/>
  </r>
  <r>
    <x v="121"/>
    <x v="5"/>
    <n v="200"/>
    <x v="2"/>
    <n v="522.21181452852397"/>
    <x v="1"/>
    <n v="548.32240525495024"/>
    <n v="0"/>
    <x v="0"/>
    <x v="16"/>
  </r>
  <r>
    <x v="83"/>
    <x v="1"/>
    <n v="140"/>
    <x v="1"/>
    <n v="531.77694487017925"/>
    <x v="0"/>
    <n v="558.36579211368826"/>
    <n v="0.03"/>
    <x v="0"/>
    <x v="30"/>
  </r>
  <r>
    <x v="25"/>
    <x v="7"/>
    <n v="166"/>
    <x v="1"/>
    <n v="514.76183036319617"/>
    <x v="1"/>
    <n v="540.49992188135604"/>
    <n v="0.01"/>
    <x v="0"/>
    <x v="20"/>
  </r>
  <r>
    <x v="253"/>
    <x v="0"/>
    <n v="280"/>
    <x v="0"/>
    <n v="531.26829825660661"/>
    <x v="0"/>
    <n v="557.83171316943697"/>
    <n v="0"/>
    <x v="1"/>
    <x v="28"/>
  </r>
  <r>
    <x v="254"/>
    <x v="1"/>
    <n v="140"/>
    <x v="1"/>
    <n v="506.86607160697076"/>
    <x v="1"/>
    <n v="532.20937518731932"/>
    <n v="0.03"/>
    <x v="0"/>
    <x v="18"/>
  </r>
  <r>
    <x v="73"/>
    <x v="7"/>
    <n v="166"/>
    <x v="1"/>
    <n v="541.58293134930682"/>
    <x v="0"/>
    <n v="568.6620779167722"/>
    <n v="0.03"/>
    <x v="0"/>
    <x v="14"/>
  </r>
  <r>
    <x v="159"/>
    <x v="8"/>
    <n v="188"/>
    <x v="0"/>
    <n v="518.55961671719706"/>
    <x v="1"/>
    <n v="544.48759755305696"/>
    <n v="0.02"/>
    <x v="0"/>
    <x v="17"/>
  </r>
  <r>
    <x v="173"/>
    <x v="3"/>
    <n v="195"/>
    <x v="0"/>
    <n v="526.80150257392506"/>
    <x v="1"/>
    <n v="553.14157770262136"/>
    <n v="0.03"/>
    <x v="0"/>
    <x v="24"/>
  </r>
  <r>
    <x v="40"/>
    <x v="4"/>
    <n v="175"/>
    <x v="2"/>
    <n v="501.18648277586635"/>
    <x v="1"/>
    <n v="526.24580691465974"/>
    <n v="0"/>
    <x v="0"/>
    <x v="9"/>
  </r>
  <r>
    <x v="191"/>
    <x v="6"/>
    <n v="142"/>
    <x v="1"/>
    <n v="537.4569585050931"/>
    <x v="0"/>
    <n v="564.32980643034773"/>
    <n v="0.01"/>
    <x v="0"/>
    <x v="15"/>
  </r>
  <r>
    <x v="133"/>
    <x v="7"/>
    <n v="166"/>
    <x v="1"/>
    <n v="505.58538920002957"/>
    <x v="1"/>
    <n v="530.86465866003107"/>
    <n v="0.03"/>
    <x v="0"/>
    <x v="26"/>
  </r>
  <r>
    <x v="242"/>
    <x v="5"/>
    <n v="200"/>
    <x v="2"/>
    <n v="543.67037032596636"/>
    <x v="0"/>
    <n v="570.85388884226472"/>
    <n v="0.01"/>
    <x v="1"/>
    <x v="33"/>
  </r>
  <r>
    <x v="255"/>
    <x v="8"/>
    <n v="188"/>
    <x v="0"/>
    <n v="501.21767839876793"/>
    <x v="1"/>
    <n v="526.27856231870635"/>
    <n v="0.03"/>
    <x v="0"/>
    <x v="16"/>
  </r>
  <r>
    <x v="60"/>
    <x v="7"/>
    <n v="166"/>
    <x v="1"/>
    <n v="532.79600267828846"/>
    <x v="0"/>
    <n v="559.43580281220295"/>
    <n v="0.01"/>
    <x v="0"/>
    <x v="8"/>
  </r>
  <r>
    <x v="256"/>
    <x v="0"/>
    <n v="280"/>
    <x v="0"/>
    <n v="531.85037146939976"/>
    <x v="0"/>
    <n v="558.44289004286975"/>
    <n v="0.02"/>
    <x v="1"/>
    <x v="8"/>
  </r>
  <r>
    <x v="257"/>
    <x v="2"/>
    <n v="250"/>
    <x v="0"/>
    <n v="507.08260563103704"/>
    <x v="1"/>
    <n v="532.43673591258892"/>
    <n v="0"/>
    <x v="0"/>
    <x v="14"/>
  </r>
  <r>
    <x v="253"/>
    <x v="2"/>
    <n v="250"/>
    <x v="0"/>
    <n v="550.39822965560415"/>
    <x v="0"/>
    <n v="577.91814113838439"/>
    <n v="0.01"/>
    <x v="1"/>
    <x v="22"/>
  </r>
  <r>
    <x v="258"/>
    <x v="8"/>
    <n v="188"/>
    <x v="0"/>
    <n v="515.89053163930384"/>
    <x v="1"/>
    <n v="541.68505822126906"/>
    <n v="0.03"/>
    <x v="0"/>
    <x v="5"/>
  </r>
  <r>
    <x v="11"/>
    <x v="3"/>
    <n v="195"/>
    <x v="0"/>
    <n v="505.01203840343715"/>
    <x v="1"/>
    <n v="530.26264032360905"/>
    <n v="0.03"/>
    <x v="0"/>
    <x v="11"/>
  </r>
  <r>
    <x v="259"/>
    <x v="5"/>
    <n v="200"/>
    <x v="2"/>
    <n v="545.51220313700105"/>
    <x v="0"/>
    <n v="572.78781329385117"/>
    <n v="0.01"/>
    <x v="0"/>
    <x v="1"/>
  </r>
  <r>
    <x v="115"/>
    <x v="0"/>
    <n v="280"/>
    <x v="0"/>
    <n v="531.34531123882971"/>
    <x v="0"/>
    <n v="557.91257680077126"/>
    <n v="0.01"/>
    <x v="0"/>
    <x v="6"/>
  </r>
  <r>
    <x v="60"/>
    <x v="0"/>
    <n v="280"/>
    <x v="0"/>
    <n v="516.11872842161483"/>
    <x v="1"/>
    <n v="541.92466484269562"/>
    <n v="0.03"/>
    <x v="0"/>
    <x v="11"/>
  </r>
  <r>
    <x v="147"/>
    <x v="0"/>
    <n v="280"/>
    <x v="0"/>
    <n v="503.84611358416169"/>
    <x v="1"/>
    <n v="529.03841926336975"/>
    <n v="0.01"/>
    <x v="1"/>
    <x v="47"/>
  </r>
  <r>
    <x v="260"/>
    <x v="8"/>
    <n v="188"/>
    <x v="0"/>
    <n v="524.36540949677055"/>
    <x v="1"/>
    <n v="550.58367997160906"/>
    <n v="0"/>
    <x v="1"/>
    <x v="4"/>
  </r>
  <r>
    <x v="60"/>
    <x v="3"/>
    <n v="195"/>
    <x v="0"/>
    <n v="504.66670750914"/>
    <x v="1"/>
    <n v="529.90004288459704"/>
    <n v="0.02"/>
    <x v="0"/>
    <x v="16"/>
  </r>
  <r>
    <x v="69"/>
    <x v="2"/>
    <n v="250"/>
    <x v="0"/>
    <n v="504.58611217264388"/>
    <x v="1"/>
    <n v="529.8154177812761"/>
    <n v="0.01"/>
    <x v="0"/>
    <x v="28"/>
  </r>
  <r>
    <x v="63"/>
    <x v="2"/>
    <n v="250"/>
    <x v="0"/>
    <n v="502.34193097546722"/>
    <x v="1"/>
    <n v="527.45902752424058"/>
    <n v="0.03"/>
    <x v="0"/>
    <x v="10"/>
  </r>
  <r>
    <x v="261"/>
    <x v="7"/>
    <n v="166"/>
    <x v="1"/>
    <n v="541.87469727349617"/>
    <x v="0"/>
    <n v="568.96843213717102"/>
    <n v="0.02"/>
    <x v="0"/>
    <x v="35"/>
  </r>
  <r>
    <x v="165"/>
    <x v="4"/>
    <n v="175"/>
    <x v="2"/>
    <n v="531.16275919399595"/>
    <x v="0"/>
    <n v="557.72089715369577"/>
    <n v="0"/>
    <x v="0"/>
    <x v="11"/>
  </r>
  <r>
    <x v="262"/>
    <x v="6"/>
    <n v="142"/>
    <x v="1"/>
    <n v="546.14310904693411"/>
    <x v="0"/>
    <n v="573.45026449928082"/>
    <n v="0.01"/>
    <x v="0"/>
    <x v="36"/>
  </r>
  <r>
    <x v="253"/>
    <x v="2"/>
    <n v="250"/>
    <x v="0"/>
    <n v="534.26458771706893"/>
    <x v="0"/>
    <n v="560.97781710292236"/>
    <n v="0.02"/>
    <x v="0"/>
    <x v="32"/>
  </r>
  <r>
    <x v="208"/>
    <x v="8"/>
    <n v="188"/>
    <x v="0"/>
    <n v="526.55190945578852"/>
    <x v="1"/>
    <n v="552.87950492857794"/>
    <n v="0.01"/>
    <x v="0"/>
    <x v="12"/>
  </r>
  <r>
    <x v="148"/>
    <x v="3"/>
    <n v="195"/>
    <x v="0"/>
    <n v="509.91441085479073"/>
    <x v="1"/>
    <n v="535.41013139753034"/>
    <n v="0.02"/>
    <x v="0"/>
    <x v="18"/>
  </r>
  <r>
    <x v="263"/>
    <x v="1"/>
    <n v="140"/>
    <x v="1"/>
    <n v="502.51480701667424"/>
    <x v="1"/>
    <n v="527.64054736750802"/>
    <n v="0"/>
    <x v="0"/>
    <x v="1"/>
  </r>
  <r>
    <x v="94"/>
    <x v="7"/>
    <n v="166"/>
    <x v="1"/>
    <n v="526.4488692915138"/>
    <x v="1"/>
    <n v="552.77131275608951"/>
    <n v="0"/>
    <x v="0"/>
    <x v="19"/>
  </r>
  <r>
    <x v="264"/>
    <x v="1"/>
    <n v="140"/>
    <x v="1"/>
    <n v="524.71051030503713"/>
    <x v="1"/>
    <n v="550.94603582028901"/>
    <n v="0.02"/>
    <x v="1"/>
    <x v="7"/>
  </r>
  <r>
    <x v="57"/>
    <x v="6"/>
    <n v="142"/>
    <x v="1"/>
    <n v="520.59807262704908"/>
    <x v="1"/>
    <n v="546.62797625840153"/>
    <n v="0"/>
    <x v="1"/>
    <x v="41"/>
  </r>
  <r>
    <x v="265"/>
    <x v="8"/>
    <n v="188"/>
    <x v="0"/>
    <n v="539.85588072002156"/>
    <x v="0"/>
    <n v="566.84867475602266"/>
    <n v="0.01"/>
    <x v="0"/>
    <x v="30"/>
  </r>
  <r>
    <x v="240"/>
    <x v="7"/>
    <n v="166"/>
    <x v="1"/>
    <n v="537.91033839824286"/>
    <x v="0"/>
    <n v="564.80585531815507"/>
    <n v="0"/>
    <x v="1"/>
    <x v="39"/>
  </r>
  <r>
    <x v="243"/>
    <x v="4"/>
    <n v="175"/>
    <x v="2"/>
    <n v="504.03187067627914"/>
    <x v="1"/>
    <n v="529.23346421009308"/>
    <n v="0"/>
    <x v="1"/>
    <x v="30"/>
  </r>
  <r>
    <x v="181"/>
    <x v="3"/>
    <n v="195"/>
    <x v="0"/>
    <n v="549.70825898503972"/>
    <x v="0"/>
    <n v="577.19367193429173"/>
    <n v="0.02"/>
    <x v="1"/>
    <x v="11"/>
  </r>
  <r>
    <x v="119"/>
    <x v="3"/>
    <n v="195"/>
    <x v="0"/>
    <n v="529.02164869088938"/>
    <x v="1"/>
    <n v="555.47273112543382"/>
    <n v="0"/>
    <x v="0"/>
    <x v="29"/>
  </r>
  <r>
    <x v="210"/>
    <x v="6"/>
    <n v="142"/>
    <x v="0"/>
    <n v="515.12024255404958"/>
    <x v="1"/>
    <n v="540.87625468175213"/>
    <n v="0.02"/>
    <x v="0"/>
    <x v="14"/>
  </r>
  <r>
    <x v="180"/>
    <x v="6"/>
    <n v="142"/>
    <x v="1"/>
    <n v="511.22133368462164"/>
    <x v="1"/>
    <n v="536.78240036885279"/>
    <n v="0"/>
    <x v="0"/>
    <x v="20"/>
  </r>
  <r>
    <x v="266"/>
    <x v="4"/>
    <n v="175"/>
    <x v="2"/>
    <n v="511.13727902466235"/>
    <x v="1"/>
    <n v="536.69414297589549"/>
    <n v="0.02"/>
    <x v="0"/>
    <x v="16"/>
  </r>
  <r>
    <x v="162"/>
    <x v="0"/>
    <n v="280"/>
    <x v="0"/>
    <n v="540.10253187827311"/>
    <x v="0"/>
    <n v="567.10765847218681"/>
    <n v="0.03"/>
    <x v="0"/>
    <x v="18"/>
  </r>
  <r>
    <x v="188"/>
    <x v="7"/>
    <n v="166"/>
    <x v="1"/>
    <n v="506.34671053461898"/>
    <x v="1"/>
    <n v="531.66404606134995"/>
    <n v="0.01"/>
    <x v="1"/>
    <x v="16"/>
  </r>
  <r>
    <x v="267"/>
    <x v="2"/>
    <n v="250"/>
    <x v="0"/>
    <n v="519.2590230224223"/>
    <x v="1"/>
    <n v="545.22197417354346"/>
    <n v="0.03"/>
    <x v="0"/>
    <x v="14"/>
  </r>
  <r>
    <x v="169"/>
    <x v="2"/>
    <n v="250"/>
    <x v="0"/>
    <n v="507.41755509488303"/>
    <x v="1"/>
    <n v="532.78843284962716"/>
    <n v="0"/>
    <x v="0"/>
    <x v="15"/>
  </r>
  <r>
    <x v="178"/>
    <x v="3"/>
    <n v="195"/>
    <x v="0"/>
    <n v="521.70649778070492"/>
    <x v="1"/>
    <n v="547.79182266974021"/>
    <n v="0.03"/>
    <x v="0"/>
    <x v="34"/>
  </r>
  <r>
    <x v="268"/>
    <x v="5"/>
    <n v="200"/>
    <x v="2"/>
    <n v="538.09406861323441"/>
    <x v="0"/>
    <n v="564.99877204389611"/>
    <n v="0"/>
    <x v="1"/>
    <x v="26"/>
  </r>
  <r>
    <x v="70"/>
    <x v="8"/>
    <n v="188"/>
    <x v="0"/>
    <n v="533.33890567738035"/>
    <x v="0"/>
    <n v="560.00585096124939"/>
    <n v="0"/>
    <x v="0"/>
    <x v="30"/>
  </r>
  <r>
    <x v="39"/>
    <x v="8"/>
    <n v="188"/>
    <x v="0"/>
    <n v="531.86676476165849"/>
    <x v="0"/>
    <n v="558.46010299974148"/>
    <n v="0.03"/>
    <x v="1"/>
    <x v="42"/>
  </r>
  <r>
    <x v="49"/>
    <x v="5"/>
    <n v="200"/>
    <x v="2"/>
    <n v="531.49451619363663"/>
    <x v="0"/>
    <n v="558.06924200331844"/>
    <n v="0.01"/>
    <x v="0"/>
    <x v="5"/>
  </r>
  <r>
    <x v="269"/>
    <x v="7"/>
    <n v="166"/>
    <x v="1"/>
    <n v="506.30659228296736"/>
    <x v="1"/>
    <n v="531.62192189711573"/>
    <n v="0.02"/>
    <x v="0"/>
    <x v="24"/>
  </r>
  <r>
    <x v="270"/>
    <x v="1"/>
    <n v="140"/>
    <x v="1"/>
    <n v="530.66363114675369"/>
    <x v="0"/>
    <n v="557.19681270409137"/>
    <n v="0"/>
    <x v="1"/>
    <x v="7"/>
  </r>
  <r>
    <x v="117"/>
    <x v="2"/>
    <n v="250"/>
    <x v="0"/>
    <n v="547.89199247025317"/>
    <x v="0"/>
    <n v="575.28659209376588"/>
    <n v="0.02"/>
    <x v="0"/>
    <x v="1"/>
  </r>
  <r>
    <x v="161"/>
    <x v="3"/>
    <n v="195"/>
    <x v="0"/>
    <n v="543.52467608222287"/>
    <x v="0"/>
    <n v="570.70090988633399"/>
    <n v="0"/>
    <x v="0"/>
    <x v="0"/>
  </r>
  <r>
    <x v="73"/>
    <x v="6"/>
    <n v="142"/>
    <x v="1"/>
    <n v="520.86239618760146"/>
    <x v="1"/>
    <n v="546.90551599698153"/>
    <n v="0"/>
    <x v="0"/>
    <x v="5"/>
  </r>
  <r>
    <x v="227"/>
    <x v="0"/>
    <n v="280"/>
    <x v="0"/>
    <n v="505.9258838648675"/>
    <x v="1"/>
    <n v="531.2221780581109"/>
    <n v="0.01"/>
    <x v="0"/>
    <x v="8"/>
  </r>
  <r>
    <x v="271"/>
    <x v="0"/>
    <n v="280"/>
    <x v="0"/>
    <n v="523.24764626297838"/>
    <x v="1"/>
    <n v="549.41002857612727"/>
    <n v="0.02"/>
    <x v="1"/>
    <x v="22"/>
  </r>
  <r>
    <x v="146"/>
    <x v="8"/>
    <n v="188"/>
    <x v="0"/>
    <n v="533.72761103206631"/>
    <x v="0"/>
    <n v="560.4139915836696"/>
    <n v="0"/>
    <x v="0"/>
    <x v="35"/>
  </r>
  <r>
    <x v="227"/>
    <x v="1"/>
    <n v="140"/>
    <x v="1"/>
    <n v="539.52473744919007"/>
    <x v="0"/>
    <n v="566.50097432164955"/>
    <n v="0"/>
    <x v="0"/>
    <x v="19"/>
  </r>
  <r>
    <x v="128"/>
    <x v="7"/>
    <n v="166"/>
    <x v="1"/>
    <n v="504.80356256091454"/>
    <x v="1"/>
    <n v="530.04374068896027"/>
    <n v="0.01"/>
    <x v="1"/>
    <x v="27"/>
  </r>
  <r>
    <x v="272"/>
    <x v="6"/>
    <n v="142"/>
    <x v="1"/>
    <n v="510.99614338026549"/>
    <x v="1"/>
    <n v="536.54595054927881"/>
    <n v="0.02"/>
    <x v="0"/>
    <x v="26"/>
  </r>
  <r>
    <x v="40"/>
    <x v="8"/>
    <n v="188"/>
    <x v="0"/>
    <n v="549.35417348039846"/>
    <x v="0"/>
    <n v="576.8218821544184"/>
    <n v="0.02"/>
    <x v="0"/>
    <x v="7"/>
  </r>
  <r>
    <x v="242"/>
    <x v="7"/>
    <n v="166"/>
    <x v="1"/>
    <n v="509.06292636335183"/>
    <x v="1"/>
    <n v="534.5160726815194"/>
    <n v="0"/>
    <x v="0"/>
    <x v="5"/>
  </r>
  <r>
    <x v="273"/>
    <x v="8"/>
    <n v="188"/>
    <x v="0"/>
    <n v="524.42804802667615"/>
    <x v="1"/>
    <n v="550.64945042801003"/>
    <n v="0"/>
    <x v="0"/>
    <x v="6"/>
  </r>
  <r>
    <x v="121"/>
    <x v="7"/>
    <n v="166"/>
    <x v="1"/>
    <n v="521.23525429116671"/>
    <x v="1"/>
    <n v="547.29701700572502"/>
    <n v="0.01"/>
    <x v="0"/>
    <x v="5"/>
  </r>
  <r>
    <x v="244"/>
    <x v="7"/>
    <n v="166"/>
    <x v="1"/>
    <n v="523.4082054203127"/>
    <x v="1"/>
    <n v="549.57861569132831"/>
    <n v="0.02"/>
    <x v="1"/>
    <x v="47"/>
  </r>
  <r>
    <x v="38"/>
    <x v="6"/>
    <n v="142"/>
    <x v="1"/>
    <n v="523.81069784908686"/>
    <x v="1"/>
    <n v="550.00123274154123"/>
    <n v="0.01"/>
    <x v="1"/>
    <x v="3"/>
  </r>
  <r>
    <x v="8"/>
    <x v="1"/>
    <n v="140"/>
    <x v="1"/>
    <n v="540.28924067213029"/>
    <x v="0"/>
    <n v="567.30370270573678"/>
    <n v="0"/>
    <x v="0"/>
    <x v="36"/>
  </r>
  <r>
    <x v="149"/>
    <x v="2"/>
    <n v="250"/>
    <x v="0"/>
    <n v="537.67503914547706"/>
    <x v="0"/>
    <n v="564.55879110275089"/>
    <n v="0"/>
    <x v="1"/>
    <x v="2"/>
  </r>
  <r>
    <x v="254"/>
    <x v="7"/>
    <n v="166"/>
    <x v="1"/>
    <n v="503.20694533604728"/>
    <x v="1"/>
    <n v="528.36729260284972"/>
    <n v="0.03"/>
    <x v="1"/>
    <x v="33"/>
  </r>
  <r>
    <x v="177"/>
    <x v="7"/>
    <n v="166"/>
    <x v="1"/>
    <n v="502.62361863034988"/>
    <x v="1"/>
    <n v="527.75479956186734"/>
    <n v="0"/>
    <x v="1"/>
    <x v="38"/>
  </r>
  <r>
    <x v="50"/>
    <x v="4"/>
    <n v="175"/>
    <x v="2"/>
    <n v="503.8324133865035"/>
    <x v="1"/>
    <n v="529.02403405582868"/>
    <n v="0"/>
    <x v="1"/>
    <x v="13"/>
  </r>
  <r>
    <x v="9"/>
    <x v="0"/>
    <n v="280"/>
    <x v="0"/>
    <n v="512.37855653956285"/>
    <x v="1"/>
    <n v="537.99748436654102"/>
    <n v="0"/>
    <x v="0"/>
    <x v="17"/>
  </r>
  <r>
    <x v="140"/>
    <x v="7"/>
    <n v="166"/>
    <x v="1"/>
    <n v="535.40147563129995"/>
    <x v="0"/>
    <n v="562.17154941286492"/>
    <n v="0"/>
    <x v="1"/>
    <x v="37"/>
  </r>
  <r>
    <x v="65"/>
    <x v="0"/>
    <n v="280"/>
    <x v="0"/>
    <n v="545.19890935209878"/>
    <x v="0"/>
    <n v="572.45885481970379"/>
    <n v="0.02"/>
    <x v="0"/>
    <x v="19"/>
  </r>
  <r>
    <x v="271"/>
    <x v="5"/>
    <n v="200"/>
    <x v="2"/>
    <n v="544.6696087523087"/>
    <x v="0"/>
    <n v="571.90308918992412"/>
    <n v="0"/>
    <x v="0"/>
    <x v="25"/>
  </r>
  <r>
    <x v="274"/>
    <x v="7"/>
    <n v="166"/>
    <x v="1"/>
    <n v="516.60459942036778"/>
    <x v="1"/>
    <n v="542.43482939138619"/>
    <n v="0.01"/>
    <x v="1"/>
    <x v="11"/>
  </r>
  <r>
    <x v="119"/>
    <x v="3"/>
    <n v="195"/>
    <x v="0"/>
    <n v="522.82570096529707"/>
    <x v="1"/>
    <n v="548.96698601356195"/>
    <n v="0.01"/>
    <x v="0"/>
    <x v="8"/>
  </r>
  <r>
    <x v="21"/>
    <x v="8"/>
    <n v="188"/>
    <x v="0"/>
    <n v="546.55517356210476"/>
    <x v="0"/>
    <n v="573.88293224021004"/>
    <n v="0.01"/>
    <x v="0"/>
    <x v="18"/>
  </r>
  <r>
    <x v="262"/>
    <x v="2"/>
    <n v="250"/>
    <x v="0"/>
    <n v="539.62489464655027"/>
    <x v="0"/>
    <n v="566.60613937887786"/>
    <n v="0"/>
    <x v="0"/>
    <x v="17"/>
  </r>
  <r>
    <x v="65"/>
    <x v="0"/>
    <n v="280"/>
    <x v="0"/>
    <n v="537.21471381050469"/>
    <x v="0"/>
    <n v="564.07544950102999"/>
    <n v="0.01"/>
    <x v="0"/>
    <x v="10"/>
  </r>
  <r>
    <x v="275"/>
    <x v="3"/>
    <n v="195"/>
    <x v="0"/>
    <n v="500.88839893969543"/>
    <x v="1"/>
    <n v="525.93281888668025"/>
    <n v="0"/>
    <x v="0"/>
    <x v="10"/>
  </r>
  <r>
    <x v="271"/>
    <x v="5"/>
    <n v="200"/>
    <x v="2"/>
    <n v="552.05773254976793"/>
    <x v="0"/>
    <n v="579.66061917725631"/>
    <n v="0.01"/>
    <x v="0"/>
    <x v="34"/>
  </r>
  <r>
    <x v="208"/>
    <x v="4"/>
    <n v="175"/>
    <x v="2"/>
    <n v="507.89616855035911"/>
    <x v="1"/>
    <n v="533.29097697787711"/>
    <n v="0.02"/>
    <x v="0"/>
    <x v="8"/>
  </r>
  <r>
    <x v="276"/>
    <x v="5"/>
    <n v="200"/>
    <x v="2"/>
    <n v="525.93689880134571"/>
    <x v="1"/>
    <n v="552.23374374141304"/>
    <n v="0.03"/>
    <x v="0"/>
    <x v="34"/>
  </r>
  <r>
    <x v="208"/>
    <x v="6"/>
    <n v="142"/>
    <x v="1"/>
    <n v="529.79297609250352"/>
    <x v="1"/>
    <n v="556.2826248971287"/>
    <n v="0.01"/>
    <x v="0"/>
    <x v="26"/>
  </r>
  <r>
    <x v="149"/>
    <x v="0"/>
    <n v="280"/>
    <x v="0"/>
    <n v="526.41915784573303"/>
    <x v="1"/>
    <n v="552.74011573801965"/>
    <n v="0.03"/>
    <x v="0"/>
    <x v="36"/>
  </r>
  <r>
    <x v="277"/>
    <x v="2"/>
    <n v="250"/>
    <x v="0"/>
    <n v="532.78790233959444"/>
    <x v="0"/>
    <n v="559.42729745657414"/>
    <n v="0.01"/>
    <x v="1"/>
    <x v="23"/>
  </r>
  <r>
    <x v="139"/>
    <x v="8"/>
    <n v="188"/>
    <x v="0"/>
    <n v="519.82835447961861"/>
    <x v="1"/>
    <n v="545.81977220359954"/>
    <n v="0.03"/>
    <x v="0"/>
    <x v="6"/>
  </r>
  <r>
    <x v="278"/>
    <x v="2"/>
    <n v="250"/>
    <x v="0"/>
    <n v="511.97867147885881"/>
    <x v="1"/>
    <n v="537.5776050528018"/>
    <n v="0.01"/>
    <x v="0"/>
    <x v="4"/>
  </r>
  <r>
    <x v="47"/>
    <x v="8"/>
    <n v="188"/>
    <x v="0"/>
    <n v="518.3390398569627"/>
    <x v="1"/>
    <n v="544.25599184981081"/>
    <n v="0.02"/>
    <x v="0"/>
    <x v="1"/>
  </r>
  <r>
    <x v="268"/>
    <x v="3"/>
    <n v="195"/>
    <x v="0"/>
    <n v="517.02772779663701"/>
    <x v="1"/>
    <n v="542.87911418646888"/>
    <n v="0.03"/>
    <x v="0"/>
    <x v="14"/>
  </r>
  <r>
    <x v="279"/>
    <x v="7"/>
    <n v="166"/>
    <x v="1"/>
    <n v="541.94244498178068"/>
    <x v="0"/>
    <n v="569.03956723086969"/>
    <n v="0.02"/>
    <x v="0"/>
    <x v="30"/>
  </r>
  <r>
    <x v="280"/>
    <x v="2"/>
    <n v="250"/>
    <x v="0"/>
    <n v="537.21503821484112"/>
    <x v="0"/>
    <n v="564.07579012558324"/>
    <n v="0"/>
    <x v="0"/>
    <x v="13"/>
  </r>
  <r>
    <x v="124"/>
    <x v="2"/>
    <n v="250"/>
    <x v="0"/>
    <n v="517.41843785104902"/>
    <x v="1"/>
    <n v="543.28935974360149"/>
    <n v="0.03"/>
    <x v="0"/>
    <x v="20"/>
  </r>
  <r>
    <x v="281"/>
    <x v="5"/>
    <n v="200"/>
    <x v="2"/>
    <n v="550.65"/>
    <x v="0"/>
    <n v="578.1825"/>
    <n v="0.01"/>
    <x v="0"/>
    <x v="4"/>
  </r>
  <r>
    <x v="164"/>
    <x v="8"/>
    <n v="188"/>
    <x v="0"/>
    <n v="523.28121813739563"/>
    <x v="1"/>
    <n v="549.44527904426548"/>
    <n v="0.01"/>
    <x v="0"/>
    <x v="19"/>
  </r>
  <r>
    <x v="282"/>
    <x v="5"/>
    <n v="200"/>
    <x v="2"/>
    <n v="528.58633978958187"/>
    <x v="1"/>
    <n v="555.01565677906103"/>
    <n v="0"/>
    <x v="0"/>
    <x v="11"/>
  </r>
  <r>
    <x v="96"/>
    <x v="8"/>
    <n v="188"/>
    <x v="0"/>
    <n v="544.71540532719519"/>
    <x v="0"/>
    <n v="571.95117559355492"/>
    <n v="0.02"/>
    <x v="1"/>
    <x v="20"/>
  </r>
  <r>
    <x v="9"/>
    <x v="6"/>
    <n v="142"/>
    <x v="1"/>
    <n v="546.28000571486155"/>
    <x v="0"/>
    <n v="573.59400600060462"/>
    <n v="0.03"/>
    <x v="0"/>
    <x v="30"/>
  </r>
  <r>
    <x v="283"/>
    <x v="5"/>
    <n v="200"/>
    <x v="2"/>
    <n v="543.4782464670734"/>
    <x v="0"/>
    <n v="570.65215879042705"/>
    <n v="0.02"/>
    <x v="0"/>
    <x v="2"/>
  </r>
  <r>
    <x v="246"/>
    <x v="2"/>
    <n v="250"/>
    <x v="0"/>
    <n v="525.40798329514655"/>
    <x v="1"/>
    <n v="551.6783824599039"/>
    <n v="0"/>
    <x v="0"/>
    <x v="13"/>
  </r>
  <r>
    <x v="241"/>
    <x v="3"/>
    <n v="195"/>
    <x v="0"/>
    <n v="518.34523330012144"/>
    <x v="1"/>
    <n v="544.26249496512753"/>
    <n v="0"/>
    <x v="1"/>
    <x v="36"/>
  </r>
  <r>
    <x v="54"/>
    <x v="4"/>
    <n v="175"/>
    <x v="2"/>
    <n v="501.3169569298534"/>
    <x v="1"/>
    <n v="526.38280477634612"/>
    <n v="0"/>
    <x v="0"/>
    <x v="9"/>
  </r>
  <r>
    <x v="83"/>
    <x v="0"/>
    <n v="280"/>
    <x v="0"/>
    <n v="542.1899344729718"/>
    <x v="0"/>
    <n v="569.29943119662039"/>
    <n v="0.01"/>
    <x v="1"/>
    <x v="19"/>
  </r>
  <r>
    <x v="134"/>
    <x v="5"/>
    <n v="200"/>
    <x v="2"/>
    <n v="530.39353243736241"/>
    <x v="0"/>
    <n v="556.91320905923055"/>
    <n v="0.03"/>
    <x v="0"/>
    <x v="29"/>
  </r>
  <r>
    <x v="284"/>
    <x v="4"/>
    <n v="175"/>
    <x v="2"/>
    <n v="532.25552371509912"/>
    <x v="0"/>
    <n v="558.86829990085414"/>
    <n v="0.03"/>
    <x v="1"/>
    <x v="28"/>
  </r>
  <r>
    <x v="145"/>
    <x v="1"/>
    <n v="140"/>
    <x v="1"/>
    <n v="544.81650924966016"/>
    <x v="0"/>
    <n v="572.05733471214319"/>
    <n v="0.01"/>
    <x v="1"/>
    <x v="32"/>
  </r>
  <r>
    <x v="24"/>
    <x v="2"/>
    <n v="250"/>
    <x v="0"/>
    <n v="532.6538947894278"/>
    <x v="0"/>
    <n v="559.28658952889919"/>
    <n v="0.03"/>
    <x v="1"/>
    <x v="11"/>
  </r>
  <r>
    <x v="64"/>
    <x v="5"/>
    <n v="200"/>
    <x v="2"/>
    <n v="535.85293610820554"/>
    <x v="0"/>
    <n v="562.64558291361584"/>
    <n v="0"/>
    <x v="1"/>
    <x v="4"/>
  </r>
  <r>
    <x v="48"/>
    <x v="0"/>
    <n v="280"/>
    <x v="0"/>
    <n v="530.87245290978535"/>
    <x v="0"/>
    <n v="557.41607555527469"/>
    <n v="0.03"/>
    <x v="0"/>
    <x v="4"/>
  </r>
  <r>
    <x v="241"/>
    <x v="8"/>
    <n v="188"/>
    <x v="0"/>
    <n v="522.19953968751906"/>
    <x v="1"/>
    <n v="548.30951667189504"/>
    <n v="0.01"/>
    <x v="0"/>
    <x v="26"/>
  </r>
  <r>
    <x v="154"/>
    <x v="5"/>
    <n v="200"/>
    <x v="2"/>
    <n v="547.83463978413965"/>
    <x v="0"/>
    <n v="575.22637177334661"/>
    <n v="0.01"/>
    <x v="0"/>
    <x v="14"/>
  </r>
  <r>
    <x v="263"/>
    <x v="5"/>
    <n v="200"/>
    <x v="2"/>
    <n v="522.16015480231908"/>
    <x v="1"/>
    <n v="548.26816254243511"/>
    <n v="0.02"/>
    <x v="0"/>
    <x v="28"/>
  </r>
  <r>
    <x v="217"/>
    <x v="6"/>
    <n v="142"/>
    <x v="0"/>
    <n v="531.95491614083312"/>
    <x v="0"/>
    <n v="558.55266194787475"/>
    <n v="0"/>
    <x v="0"/>
    <x v="20"/>
  </r>
  <r>
    <x v="64"/>
    <x v="0"/>
    <n v="280"/>
    <x v="0"/>
    <n v="530.23830202840963"/>
    <x v="0"/>
    <n v="556.75021712983016"/>
    <n v="0.01"/>
    <x v="1"/>
    <x v="44"/>
  </r>
  <r>
    <x v="208"/>
    <x v="2"/>
    <n v="250"/>
    <x v="0"/>
    <n v="529.6683432467189"/>
    <x v="1"/>
    <n v="556.15176040905487"/>
    <n v="0.03"/>
    <x v="0"/>
    <x v="12"/>
  </r>
  <r>
    <x v="285"/>
    <x v="4"/>
    <n v="175"/>
    <x v="2"/>
    <n v="527.64822887822265"/>
    <x v="1"/>
    <n v="554.03064032213376"/>
    <n v="0"/>
    <x v="0"/>
    <x v="13"/>
  </r>
  <r>
    <x v="108"/>
    <x v="3"/>
    <n v="195"/>
    <x v="0"/>
    <n v="518.1746492595812"/>
    <x v="1"/>
    <n v="544.08338172256026"/>
    <n v="0.03"/>
    <x v="0"/>
    <x v="26"/>
  </r>
  <r>
    <x v="64"/>
    <x v="5"/>
    <n v="200"/>
    <x v="2"/>
    <n v="554.68648786791528"/>
    <x v="0"/>
    <n v="582.42081226131108"/>
    <n v="0.03"/>
    <x v="0"/>
    <x v="25"/>
  </r>
  <r>
    <x v="219"/>
    <x v="4"/>
    <n v="175"/>
    <x v="2"/>
    <n v="512.84038113121005"/>
    <x v="1"/>
    <n v="538.48240018777062"/>
    <n v="0.02"/>
    <x v="0"/>
    <x v="16"/>
  </r>
  <r>
    <x v="11"/>
    <x v="7"/>
    <n v="166"/>
    <x v="1"/>
    <n v="529.47898007613094"/>
    <x v="1"/>
    <n v="555.95292907993746"/>
    <n v="0.03"/>
    <x v="0"/>
    <x v="10"/>
  </r>
  <r>
    <x v="88"/>
    <x v="6"/>
    <n v="142"/>
    <x v="1"/>
    <n v="524.5844883882246"/>
    <x v="1"/>
    <n v="550.81371280763585"/>
    <n v="0"/>
    <x v="1"/>
    <x v="27"/>
  </r>
  <r>
    <x v="286"/>
    <x v="0"/>
    <n v="280"/>
    <x v="0"/>
    <n v="548.25877836929794"/>
    <x v="0"/>
    <n v="575.67171728776282"/>
    <n v="0.02"/>
    <x v="0"/>
    <x v="29"/>
  </r>
  <r>
    <x v="137"/>
    <x v="6"/>
    <n v="142"/>
    <x v="1"/>
    <n v="506.07000668463661"/>
    <x v="1"/>
    <n v="531.37350701886851"/>
    <n v="0.02"/>
    <x v="0"/>
    <x v="30"/>
  </r>
  <r>
    <x v="287"/>
    <x v="7"/>
    <n v="166"/>
    <x v="1"/>
    <n v="541.12327376568192"/>
    <x v="0"/>
    <n v="568.17943745396599"/>
    <n v="0.03"/>
    <x v="0"/>
    <x v="1"/>
  </r>
  <r>
    <x v="259"/>
    <x v="1"/>
    <n v="140"/>
    <x v="1"/>
    <n v="517.16408131779644"/>
    <x v="1"/>
    <n v="543.02228538368627"/>
    <n v="0.01"/>
    <x v="0"/>
    <x v="24"/>
  </r>
  <r>
    <x v="288"/>
    <x v="4"/>
    <n v="175"/>
    <x v="2"/>
    <n v="507.89616855035911"/>
    <x v="1"/>
    <n v="533.29097697787711"/>
    <n v="0.02"/>
    <x v="1"/>
    <x v="47"/>
  </r>
  <r>
    <x v="18"/>
    <x v="0"/>
    <n v="280"/>
    <x v="0"/>
    <n v="502.64807343433313"/>
    <x v="1"/>
    <n v="527.78047710604983"/>
    <n v="0"/>
    <x v="1"/>
    <x v="8"/>
  </r>
  <r>
    <x v="240"/>
    <x v="3"/>
    <n v="195"/>
    <x v="0"/>
    <n v="519.59103099940967"/>
    <x v="1"/>
    <n v="545.57058254938022"/>
    <n v="0.01"/>
    <x v="0"/>
    <x v="24"/>
  </r>
  <r>
    <x v="192"/>
    <x v="7"/>
    <n v="166"/>
    <x v="1"/>
    <n v="543.47029685448979"/>
    <x v="0"/>
    <n v="570.64381169721435"/>
    <n v="0.01"/>
    <x v="0"/>
    <x v="8"/>
  </r>
  <r>
    <x v="162"/>
    <x v="0"/>
    <n v="280"/>
    <x v="0"/>
    <n v="546.95445596823447"/>
    <x v="0"/>
    <n v="574.30217876664619"/>
    <n v="0.01"/>
    <x v="0"/>
    <x v="0"/>
  </r>
  <r>
    <x v="106"/>
    <x v="8"/>
    <n v="188"/>
    <x v="0"/>
    <n v="544.36848335437207"/>
    <x v="0"/>
    <n v="571.58690752209066"/>
    <n v="0"/>
    <x v="0"/>
    <x v="18"/>
  </r>
  <r>
    <x v="19"/>
    <x v="3"/>
    <n v="195"/>
    <x v="0"/>
    <n v="523.08713907648325"/>
    <x v="1"/>
    <n v="549.24149603030742"/>
    <n v="0.01"/>
    <x v="0"/>
    <x v="34"/>
  </r>
  <r>
    <x v="76"/>
    <x v="6"/>
    <n v="142"/>
    <x v="1"/>
    <n v="530.94573189117546"/>
    <x v="0"/>
    <n v="557.4930184857343"/>
    <n v="0.03"/>
    <x v="0"/>
    <x v="28"/>
  </r>
  <r>
    <x v="33"/>
    <x v="2"/>
    <n v="250"/>
    <x v="0"/>
    <n v="510.63596071507163"/>
    <x v="1"/>
    <n v="536.16775875082521"/>
    <n v="0.02"/>
    <x v="1"/>
    <x v="48"/>
  </r>
  <r>
    <x v="275"/>
    <x v="2"/>
    <n v="250"/>
    <x v="0"/>
    <n v="508.44836504062823"/>
    <x v="1"/>
    <n v="533.87078329265967"/>
    <n v="0.01"/>
    <x v="0"/>
    <x v="4"/>
  </r>
  <r>
    <x v="95"/>
    <x v="4"/>
    <n v="175"/>
    <x v="2"/>
    <n v="511.76260125348745"/>
    <x v="1"/>
    <n v="537.35073131616184"/>
    <n v="0.01"/>
    <x v="1"/>
    <x v="19"/>
  </r>
  <r>
    <x v="8"/>
    <x v="6"/>
    <n v="142"/>
    <x v="1"/>
    <n v="514.68442692855751"/>
    <x v="1"/>
    <n v="540.41864827498546"/>
    <n v="0.03"/>
    <x v="1"/>
    <x v="28"/>
  </r>
  <r>
    <x v="158"/>
    <x v="7"/>
    <n v="166"/>
    <x v="1"/>
    <n v="534.42611231462342"/>
    <x v="0"/>
    <n v="561.14741793035466"/>
    <n v="0.02"/>
    <x v="1"/>
    <x v="33"/>
  </r>
  <r>
    <x v="221"/>
    <x v="8"/>
    <n v="188"/>
    <x v="0"/>
    <n v="528.09399639154435"/>
    <x v="1"/>
    <n v="554.49869621112157"/>
    <n v="0.03"/>
    <x v="0"/>
    <x v="48"/>
  </r>
  <r>
    <x v="227"/>
    <x v="5"/>
    <n v="200"/>
    <x v="2"/>
    <n v="543.21360858298249"/>
    <x v="0"/>
    <n v="570.37428901213161"/>
    <n v="0.02"/>
    <x v="1"/>
    <x v="7"/>
  </r>
  <r>
    <x v="274"/>
    <x v="3"/>
    <n v="195"/>
    <x v="0"/>
    <n v="503.47273125745687"/>
    <x v="1"/>
    <n v="528.64636782032971"/>
    <n v="0.01"/>
    <x v="0"/>
    <x v="1"/>
  </r>
  <r>
    <x v="0"/>
    <x v="3"/>
    <n v="195"/>
    <x v="0"/>
    <n v="505.8985412928605"/>
    <x v="1"/>
    <n v="531.19346835750355"/>
    <n v="0.02"/>
    <x v="0"/>
    <x v="36"/>
  </r>
  <r>
    <x v="274"/>
    <x v="0"/>
    <n v="280"/>
    <x v="0"/>
    <n v="500.03582764977273"/>
    <x v="1"/>
    <n v="525.03761903226143"/>
    <n v="0.03"/>
    <x v="0"/>
    <x v="25"/>
  </r>
  <r>
    <x v="36"/>
    <x v="4"/>
    <n v="175"/>
    <x v="2"/>
    <n v="505.82492148140136"/>
    <x v="1"/>
    <n v="531.11616755547141"/>
    <n v="0.03"/>
    <x v="0"/>
    <x v="13"/>
  </r>
  <r>
    <x v="168"/>
    <x v="8"/>
    <n v="188"/>
    <x v="0"/>
    <n v="530.01502027620427"/>
    <x v="0"/>
    <n v="556.51577129001453"/>
    <n v="0.01"/>
    <x v="0"/>
    <x v="0"/>
  </r>
  <r>
    <x v="5"/>
    <x v="3"/>
    <n v="195"/>
    <x v="0"/>
    <n v="526.5248706214561"/>
    <x v="1"/>
    <n v="552.85111415252891"/>
    <n v="0.01"/>
    <x v="0"/>
    <x v="36"/>
  </r>
  <r>
    <x v="157"/>
    <x v="3"/>
    <n v="195"/>
    <x v="0"/>
    <n v="542.12496549290699"/>
    <x v="0"/>
    <n v="569.23121376755239"/>
    <n v="0.03"/>
    <x v="0"/>
    <x v="17"/>
  </r>
  <r>
    <x v="268"/>
    <x v="1"/>
    <n v="140"/>
    <x v="1"/>
    <n v="542.53785335116027"/>
    <x v="0"/>
    <n v="569.66474601871835"/>
    <n v="0"/>
    <x v="0"/>
    <x v="36"/>
  </r>
  <r>
    <x v="68"/>
    <x v="0"/>
    <n v="280"/>
    <x v="0"/>
    <n v="501.21952607193089"/>
    <x v="1"/>
    <n v="526.28050237552748"/>
    <n v="0.02"/>
    <x v="0"/>
    <x v="19"/>
  </r>
  <r>
    <x v="22"/>
    <x v="7"/>
    <n v="166"/>
    <x v="1"/>
    <n v="510.94797067655963"/>
    <x v="1"/>
    <n v="536.49536921038759"/>
    <n v="0"/>
    <x v="0"/>
    <x v="36"/>
  </r>
  <r>
    <x v="109"/>
    <x v="3"/>
    <n v="195"/>
    <x v="0"/>
    <n v="548.31337467658159"/>
    <x v="0"/>
    <n v="575.72904341041067"/>
    <n v="0"/>
    <x v="1"/>
    <x v="28"/>
  </r>
  <r>
    <x v="143"/>
    <x v="2"/>
    <n v="250"/>
    <x v="0"/>
    <n v="546.47155431550709"/>
    <x v="0"/>
    <n v="573.79513203128249"/>
    <n v="0.02"/>
    <x v="0"/>
    <x v="8"/>
  </r>
  <r>
    <x v="190"/>
    <x v="5"/>
    <n v="200"/>
    <x v="2"/>
    <n v="527.10026580046451"/>
    <x v="1"/>
    <n v="553.45527909048781"/>
    <n v="0.01"/>
    <x v="1"/>
    <x v="30"/>
  </r>
  <r>
    <x v="289"/>
    <x v="2"/>
    <n v="250"/>
    <x v="0"/>
    <n v="513.52077218519844"/>
    <x v="1"/>
    <n v="539.19681079445843"/>
    <n v="0.03"/>
    <x v="0"/>
    <x v="8"/>
  </r>
  <r>
    <x v="40"/>
    <x v="5"/>
    <n v="200"/>
    <x v="2"/>
    <n v="536.20364153033825"/>
    <x v="0"/>
    <n v="563.01382360685523"/>
    <n v="0.03"/>
    <x v="0"/>
    <x v="19"/>
  </r>
  <r>
    <x v="59"/>
    <x v="0"/>
    <n v="280"/>
    <x v="0"/>
    <n v="513.27083835303802"/>
    <x v="1"/>
    <n v="538.93438027068999"/>
    <n v="0.01"/>
    <x v="0"/>
    <x v="16"/>
  </r>
  <r>
    <x v="283"/>
    <x v="7"/>
    <n v="166"/>
    <x v="1"/>
    <n v="522.0609467102322"/>
    <x v="1"/>
    <n v="548.16399404574383"/>
    <n v="0.03"/>
    <x v="1"/>
    <x v="33"/>
  </r>
  <r>
    <x v="9"/>
    <x v="0"/>
    <n v="280"/>
    <x v="0"/>
    <n v="550.51633801169737"/>
    <x v="0"/>
    <n v="578.04215491228229"/>
    <n v="0.03"/>
    <x v="0"/>
    <x v="8"/>
  </r>
  <r>
    <x v="108"/>
    <x v="0"/>
    <n v="280"/>
    <x v="0"/>
    <n v="514.38605155574078"/>
    <x v="1"/>
    <n v="540.10535413352784"/>
    <n v="0.03"/>
    <x v="0"/>
    <x v="17"/>
  </r>
  <r>
    <x v="232"/>
    <x v="8"/>
    <n v="188"/>
    <x v="0"/>
    <n v="530.94586352274291"/>
    <x v="0"/>
    <n v="557.49315669888006"/>
    <n v="0"/>
    <x v="0"/>
    <x v="8"/>
  </r>
  <r>
    <x v="91"/>
    <x v="6"/>
    <n v="142"/>
    <x v="1"/>
    <n v="523.27777204627"/>
    <x v="1"/>
    <n v="549.44166064858348"/>
    <n v="0.03"/>
    <x v="0"/>
    <x v="35"/>
  </r>
  <r>
    <x v="221"/>
    <x v="8"/>
    <n v="188"/>
    <x v="0"/>
    <n v="543.81087125293016"/>
    <x v="0"/>
    <n v="571.00141481557671"/>
    <n v="0"/>
    <x v="1"/>
    <x v="15"/>
  </r>
  <r>
    <x v="290"/>
    <x v="6"/>
    <n v="142"/>
    <x v="1"/>
    <n v="507.94777438141227"/>
    <x v="1"/>
    <n v="533.34516310048286"/>
    <n v="0.03"/>
    <x v="1"/>
    <x v="18"/>
  </r>
  <r>
    <x v="202"/>
    <x v="6"/>
    <n v="142"/>
    <x v="0"/>
    <n v="530.86622963091668"/>
    <x v="0"/>
    <n v="557.40954111246253"/>
    <n v="0.01"/>
    <x v="0"/>
    <x v="1"/>
  </r>
  <r>
    <x v="36"/>
    <x v="2"/>
    <n v="250"/>
    <x v="0"/>
    <n v="507.26412116870779"/>
    <x v="1"/>
    <n v="532.62732722714316"/>
    <n v="0"/>
    <x v="1"/>
    <x v="33"/>
  </r>
  <r>
    <x v="291"/>
    <x v="0"/>
    <n v="280"/>
    <x v="0"/>
    <n v="540.8899485038728"/>
    <x v="0"/>
    <n v="567.93444592906644"/>
    <n v="0.02"/>
    <x v="0"/>
    <x v="5"/>
  </r>
  <r>
    <x v="33"/>
    <x v="8"/>
    <n v="188"/>
    <x v="0"/>
    <n v="528.30286687008447"/>
    <x v="1"/>
    <n v="554.71801021358874"/>
    <n v="0.02"/>
    <x v="0"/>
    <x v="26"/>
  </r>
  <r>
    <x v="269"/>
    <x v="2"/>
    <n v="250"/>
    <x v="0"/>
    <n v="542.66656919190427"/>
    <x v="0"/>
    <n v="569.79989765149946"/>
    <n v="0.01"/>
    <x v="0"/>
    <x v="29"/>
  </r>
  <r>
    <x v="172"/>
    <x v="0"/>
    <n v="280"/>
    <x v="0"/>
    <n v="526.67390101446745"/>
    <x v="1"/>
    <n v="553.0075960651908"/>
    <n v="0"/>
    <x v="0"/>
    <x v="17"/>
  </r>
  <r>
    <x v="177"/>
    <x v="8"/>
    <n v="188"/>
    <x v="0"/>
    <n v="500.16458419135779"/>
    <x v="1"/>
    <n v="525.17281340092575"/>
    <n v="0.03"/>
    <x v="1"/>
    <x v="29"/>
  </r>
  <r>
    <x v="292"/>
    <x v="0"/>
    <n v="280"/>
    <x v="0"/>
    <n v="524.05834255266655"/>
    <x v="1"/>
    <n v="550.26125968029987"/>
    <n v="0.01"/>
    <x v="1"/>
    <x v="40"/>
  </r>
  <r>
    <x v="14"/>
    <x v="4"/>
    <n v="175"/>
    <x v="2"/>
    <n v="507.6198523565854"/>
    <x v="1"/>
    <n v="533.00084497441469"/>
    <n v="0.01"/>
    <x v="0"/>
    <x v="18"/>
  </r>
  <r>
    <x v="149"/>
    <x v="3"/>
    <n v="195"/>
    <x v="0"/>
    <n v="525.853041315474"/>
    <x v="1"/>
    <n v="552.14569338124772"/>
    <n v="0"/>
    <x v="0"/>
    <x v="0"/>
  </r>
  <r>
    <x v="263"/>
    <x v="7"/>
    <n v="166"/>
    <x v="1"/>
    <n v="542.97291232321732"/>
    <x v="0"/>
    <n v="570.12155793937825"/>
    <n v="0.01"/>
    <x v="0"/>
    <x v="8"/>
  </r>
  <r>
    <x v="154"/>
    <x v="7"/>
    <n v="166"/>
    <x v="1"/>
    <n v="529.21157768185276"/>
    <x v="1"/>
    <n v="555.67215656594544"/>
    <n v="0"/>
    <x v="0"/>
    <x v="1"/>
  </r>
  <r>
    <x v="293"/>
    <x v="5"/>
    <n v="200"/>
    <x v="2"/>
    <n v="542.5333323241166"/>
    <x v="0"/>
    <n v="569.65999894032245"/>
    <n v="0.01"/>
    <x v="0"/>
    <x v="13"/>
  </r>
  <r>
    <x v="140"/>
    <x v="2"/>
    <n v="250"/>
    <x v="0"/>
    <n v="518.70566324201172"/>
    <x v="1"/>
    <n v="544.64094640411236"/>
    <n v="0"/>
    <x v="0"/>
    <x v="11"/>
  </r>
  <r>
    <x v="238"/>
    <x v="3"/>
    <n v="195"/>
    <x v="0"/>
    <n v="502.01006306822183"/>
    <x v="1"/>
    <n v="527.11056622163289"/>
    <n v="0.01"/>
    <x v="0"/>
    <x v="30"/>
  </r>
  <r>
    <x v="270"/>
    <x v="3"/>
    <n v="195"/>
    <x v="0"/>
    <n v="500.40550379554952"/>
    <x v="1"/>
    <n v="525.42577898532704"/>
    <n v="0"/>
    <x v="1"/>
    <x v="28"/>
  </r>
  <r>
    <x v="294"/>
    <x v="0"/>
    <n v="280"/>
    <x v="0"/>
    <n v="540.62687848062433"/>
    <x v="0"/>
    <n v="567.65822240465559"/>
    <n v="0"/>
    <x v="0"/>
    <x v="3"/>
  </r>
  <r>
    <x v="287"/>
    <x v="3"/>
    <n v="195"/>
    <x v="0"/>
    <n v="502.5489993845722"/>
    <x v="1"/>
    <n v="527.67644935380088"/>
    <n v="0"/>
    <x v="0"/>
    <x v="5"/>
  </r>
  <r>
    <x v="82"/>
    <x v="4"/>
    <n v="175"/>
    <x v="2"/>
    <n v="519.89249645017844"/>
    <x v="1"/>
    <n v="545.88712127268741"/>
    <n v="0.02"/>
    <x v="0"/>
    <x v="18"/>
  </r>
  <r>
    <x v="200"/>
    <x v="2"/>
    <n v="250"/>
    <x v="0"/>
    <n v="547.98601678048908"/>
    <x v="0"/>
    <n v="575.38531761951356"/>
    <n v="0.01"/>
    <x v="0"/>
    <x v="15"/>
  </r>
  <r>
    <x v="193"/>
    <x v="7"/>
    <n v="166"/>
    <x v="1"/>
    <n v="525.71771303587775"/>
    <x v="1"/>
    <n v="552.00359868767168"/>
    <n v="0.01"/>
    <x v="0"/>
    <x v="3"/>
  </r>
  <r>
    <x v="268"/>
    <x v="5"/>
    <n v="200"/>
    <x v="2"/>
    <n v="550.23"/>
    <x v="0"/>
    <n v="577.74150000000009"/>
    <n v="0.02"/>
    <x v="0"/>
    <x v="2"/>
  </r>
  <r>
    <x v="295"/>
    <x v="2"/>
    <n v="250"/>
    <x v="0"/>
    <n v="519.22564181611779"/>
    <x v="1"/>
    <n v="545.18692390692365"/>
    <n v="0.01"/>
    <x v="1"/>
    <x v="21"/>
  </r>
  <r>
    <x v="22"/>
    <x v="7"/>
    <n v="166"/>
    <x v="1"/>
    <n v="526.3682835329746"/>
    <x v="1"/>
    <n v="552.68669770962333"/>
    <n v="0"/>
    <x v="0"/>
    <x v="5"/>
  </r>
  <r>
    <x v="130"/>
    <x v="0"/>
    <n v="280"/>
    <x v="0"/>
    <n v="509.75043102963264"/>
    <x v="1"/>
    <n v="535.23795258111431"/>
    <n v="0.01"/>
    <x v="0"/>
    <x v="11"/>
  </r>
  <r>
    <x v="296"/>
    <x v="1"/>
    <n v="140"/>
    <x v="1"/>
    <n v="527.75537985386381"/>
    <x v="1"/>
    <n v="554.14314884655698"/>
    <n v="0.02"/>
    <x v="0"/>
    <x v="20"/>
  </r>
  <r>
    <x v="87"/>
    <x v="7"/>
    <n v="166"/>
    <x v="1"/>
    <n v="543.85740588236513"/>
    <x v="0"/>
    <n v="571.05027617648341"/>
    <n v="0.02"/>
    <x v="0"/>
    <x v="36"/>
  </r>
  <r>
    <x v="111"/>
    <x v="2"/>
    <n v="250"/>
    <x v="0"/>
    <n v="526.11179584882575"/>
    <x v="1"/>
    <n v="552.41738564126706"/>
    <n v="0.02"/>
    <x v="1"/>
    <x v="20"/>
  </r>
  <r>
    <x v="297"/>
    <x v="1"/>
    <n v="140"/>
    <x v="1"/>
    <n v="501.28895283814836"/>
    <x v="1"/>
    <n v="526.35340048005583"/>
    <n v="0.03"/>
    <x v="0"/>
    <x v="20"/>
  </r>
  <r>
    <x v="54"/>
    <x v="0"/>
    <n v="280"/>
    <x v="0"/>
    <n v="503.34006849081743"/>
    <x v="1"/>
    <n v="528.50707191535832"/>
    <n v="0.02"/>
    <x v="0"/>
    <x v="11"/>
  </r>
  <r>
    <x v="182"/>
    <x v="6"/>
    <n v="142"/>
    <x v="0"/>
    <n v="539.31790019317941"/>
    <x v="0"/>
    <n v="566.28379520283841"/>
    <n v="0.01"/>
    <x v="0"/>
    <x v="3"/>
  </r>
  <r>
    <x v="2"/>
    <x v="3"/>
    <n v="195"/>
    <x v="0"/>
    <n v="522.06468903930272"/>
    <x v="1"/>
    <n v="548.16792349126786"/>
    <n v="0.02"/>
    <x v="0"/>
    <x v="0"/>
  </r>
  <r>
    <x v="198"/>
    <x v="2"/>
    <n v="250"/>
    <x v="0"/>
    <n v="514.6804149659929"/>
    <x v="1"/>
    <n v="540.41443571429261"/>
    <n v="0.01"/>
    <x v="1"/>
    <x v="29"/>
  </r>
  <r>
    <x v="190"/>
    <x v="3"/>
    <n v="195"/>
    <x v="0"/>
    <n v="548.27828542503266"/>
    <x v="0"/>
    <n v="575.69219969628432"/>
    <n v="0.02"/>
    <x v="0"/>
    <x v="25"/>
  </r>
  <r>
    <x v="298"/>
    <x v="3"/>
    <n v="195"/>
    <x v="0"/>
    <n v="510.69792114966003"/>
    <x v="1"/>
    <n v="536.23281720714306"/>
    <n v="0"/>
    <x v="1"/>
    <x v="39"/>
  </r>
  <r>
    <x v="83"/>
    <x v="8"/>
    <n v="188"/>
    <x v="0"/>
    <n v="534.53923232434863"/>
    <x v="0"/>
    <n v="561.26619394056604"/>
    <n v="0.02"/>
    <x v="0"/>
    <x v="34"/>
  </r>
  <r>
    <x v="8"/>
    <x v="4"/>
    <n v="175"/>
    <x v="2"/>
    <n v="504.25680232212835"/>
    <x v="1"/>
    <n v="529.46964243823481"/>
    <n v="0.03"/>
    <x v="0"/>
    <x v="18"/>
  </r>
  <r>
    <x v="299"/>
    <x v="1"/>
    <n v="140"/>
    <x v="1"/>
    <n v="533.07847006041175"/>
    <x v="0"/>
    <n v="559.73239356343231"/>
    <n v="0.03"/>
    <x v="0"/>
    <x v="20"/>
  </r>
  <r>
    <x v="298"/>
    <x v="0"/>
    <n v="280"/>
    <x v="0"/>
    <n v="546.18555941195518"/>
    <x v="0"/>
    <n v="573.49483738255299"/>
    <n v="0.01"/>
    <x v="0"/>
    <x v="4"/>
  </r>
  <r>
    <x v="89"/>
    <x v="7"/>
    <n v="166"/>
    <x v="1"/>
    <n v="517.95498633118314"/>
    <x v="1"/>
    <n v="543.85273564774229"/>
    <n v="0.01"/>
    <x v="1"/>
    <x v="34"/>
  </r>
  <r>
    <x v="120"/>
    <x v="0"/>
    <n v="280"/>
    <x v="0"/>
    <n v="529.90941696490518"/>
    <x v="1"/>
    <n v="556.40488781315048"/>
    <n v="0.01"/>
    <x v="0"/>
    <x v="6"/>
  </r>
  <r>
    <x v="300"/>
    <x v="1"/>
    <n v="140"/>
    <x v="1"/>
    <n v="525.39046045464966"/>
    <x v="1"/>
    <n v="551.65998347738218"/>
    <n v="0.03"/>
    <x v="1"/>
    <x v="33"/>
  </r>
  <r>
    <x v="63"/>
    <x v="8"/>
    <n v="188"/>
    <x v="0"/>
    <n v="504.78443203100505"/>
    <x v="1"/>
    <n v="530.02365363255535"/>
    <n v="0.02"/>
    <x v="1"/>
    <x v="21"/>
  </r>
  <r>
    <x v="301"/>
    <x v="0"/>
    <n v="280"/>
    <x v="0"/>
    <n v="505.48107830802655"/>
    <x v="1"/>
    <n v="530.75513222342795"/>
    <n v="0.03"/>
    <x v="0"/>
    <x v="34"/>
  </r>
  <r>
    <x v="148"/>
    <x v="0"/>
    <n v="280"/>
    <x v="0"/>
    <n v="515.63173352261128"/>
    <x v="1"/>
    <n v="541.41332019874187"/>
    <n v="0.03"/>
    <x v="0"/>
    <x v="20"/>
  </r>
  <r>
    <x v="69"/>
    <x v="8"/>
    <n v="188"/>
    <x v="0"/>
    <n v="530.26828441546604"/>
    <x v="0"/>
    <n v="556.78169863623941"/>
    <n v="0"/>
    <x v="0"/>
    <x v="31"/>
  </r>
  <r>
    <x v="302"/>
    <x v="3"/>
    <n v="195"/>
    <x v="0"/>
    <n v="549.55340633273045"/>
    <x v="0"/>
    <n v="577.03107664936704"/>
    <n v="0.01"/>
    <x v="0"/>
    <x v="0"/>
  </r>
  <r>
    <x v="228"/>
    <x v="8"/>
    <n v="188"/>
    <x v="0"/>
    <n v="544.77566079511962"/>
    <x v="0"/>
    <n v="572.01444383487558"/>
    <n v="0.01"/>
    <x v="0"/>
    <x v="34"/>
  </r>
  <r>
    <x v="303"/>
    <x v="6"/>
    <n v="142"/>
    <x v="1"/>
    <n v="504.35662908520771"/>
    <x v="1"/>
    <n v="529.57446053946808"/>
    <n v="0.03"/>
    <x v="0"/>
    <x v="5"/>
  </r>
  <r>
    <x v="30"/>
    <x v="5"/>
    <n v="200"/>
    <x v="2"/>
    <n v="538.2869108014811"/>
    <x v="0"/>
    <n v="565.20125634155522"/>
    <n v="0.01"/>
    <x v="0"/>
    <x v="19"/>
  </r>
  <r>
    <x v="240"/>
    <x v="1"/>
    <n v="140"/>
    <x v="1"/>
    <n v="513.568798428234"/>
    <x v="1"/>
    <n v="539.24723834964573"/>
    <n v="0.02"/>
    <x v="0"/>
    <x v="4"/>
  </r>
  <r>
    <x v="7"/>
    <x v="8"/>
    <n v="188"/>
    <x v="0"/>
    <n v="547.04871732136235"/>
    <x v="0"/>
    <n v="574.40115318743051"/>
    <n v="0.01"/>
    <x v="0"/>
    <x v="11"/>
  </r>
  <r>
    <x v="142"/>
    <x v="3"/>
    <n v="195"/>
    <x v="0"/>
    <n v="529.71064752651364"/>
    <x v="1"/>
    <n v="556.19617990283939"/>
    <n v="0.02"/>
    <x v="0"/>
    <x v="19"/>
  </r>
  <r>
    <x v="248"/>
    <x v="8"/>
    <n v="188"/>
    <x v="0"/>
    <n v="530.05583695087353"/>
    <x v="0"/>
    <n v="556.5586287984172"/>
    <n v="0"/>
    <x v="1"/>
    <x v="5"/>
  </r>
  <r>
    <x v="177"/>
    <x v="1"/>
    <n v="140"/>
    <x v="1"/>
    <n v="549.3853539593274"/>
    <x v="0"/>
    <n v="576.85462165729382"/>
    <n v="0"/>
    <x v="0"/>
    <x v="15"/>
  </r>
  <r>
    <x v="256"/>
    <x v="5"/>
    <n v="200"/>
    <x v="2"/>
    <n v="538.8115819887289"/>
    <x v="0"/>
    <n v="565.75216108816539"/>
    <n v="0.03"/>
    <x v="1"/>
    <x v="44"/>
  </r>
  <r>
    <x v="175"/>
    <x v="5"/>
    <n v="200"/>
    <x v="2"/>
    <n v="536.77600302544397"/>
    <x v="0"/>
    <n v="563.61480317671624"/>
    <n v="0.02"/>
    <x v="0"/>
    <x v="0"/>
  </r>
  <r>
    <x v="280"/>
    <x v="8"/>
    <n v="188"/>
    <x v="0"/>
    <n v="522.37786306209182"/>
    <x v="1"/>
    <n v="548.49675621519646"/>
    <n v="0.02"/>
    <x v="0"/>
    <x v="11"/>
  </r>
  <r>
    <x v="126"/>
    <x v="4"/>
    <n v="175"/>
    <x v="2"/>
    <n v="522.033900165874"/>
    <x v="1"/>
    <n v="548.13559517416775"/>
    <n v="0"/>
    <x v="0"/>
    <x v="35"/>
  </r>
  <r>
    <x v="269"/>
    <x v="2"/>
    <n v="250"/>
    <x v="0"/>
    <n v="510.92517789339763"/>
    <x v="1"/>
    <n v="536.47143678806754"/>
    <n v="0.01"/>
    <x v="0"/>
    <x v="5"/>
  </r>
  <r>
    <x v="11"/>
    <x v="1"/>
    <n v="140"/>
    <x v="1"/>
    <n v="512.35483074345484"/>
    <x v="1"/>
    <n v="537.97257228062756"/>
    <n v="0"/>
    <x v="0"/>
    <x v="18"/>
  </r>
  <r>
    <x v="128"/>
    <x v="2"/>
    <n v="250"/>
    <x v="0"/>
    <n v="529.8660328805081"/>
    <x v="1"/>
    <n v="556.35933452453355"/>
    <n v="0.02"/>
    <x v="0"/>
    <x v="7"/>
  </r>
  <r>
    <x v="78"/>
    <x v="8"/>
    <n v="188"/>
    <x v="0"/>
    <n v="535.28122750353759"/>
    <x v="0"/>
    <n v="562.04528887871447"/>
    <n v="0.02"/>
    <x v="1"/>
    <x v="18"/>
  </r>
  <r>
    <x v="31"/>
    <x v="4"/>
    <n v="175"/>
    <x v="2"/>
    <n v="519.55903254121222"/>
    <x v="1"/>
    <n v="545.53698416827285"/>
    <n v="0.03"/>
    <x v="1"/>
    <x v="8"/>
  </r>
  <r>
    <x v="132"/>
    <x v="8"/>
    <n v="188"/>
    <x v="0"/>
    <n v="518.00753188659655"/>
    <x v="1"/>
    <n v="543.90790848092638"/>
    <n v="0"/>
    <x v="1"/>
    <x v="25"/>
  </r>
  <r>
    <x v="304"/>
    <x v="3"/>
    <n v="195"/>
    <x v="0"/>
    <n v="521.70039646871646"/>
    <x v="1"/>
    <n v="547.78541629215226"/>
    <n v="0"/>
    <x v="0"/>
    <x v="9"/>
  </r>
  <r>
    <x v="88"/>
    <x v="6"/>
    <n v="142"/>
    <x v="1"/>
    <n v="511.36656431489064"/>
    <x v="1"/>
    <n v="536.93489253063524"/>
    <n v="0.03"/>
    <x v="0"/>
    <x v="9"/>
  </r>
  <r>
    <x v="43"/>
    <x v="4"/>
    <n v="175"/>
    <x v="2"/>
    <n v="530.93114975799381"/>
    <x v="0"/>
    <n v="557.4777072458935"/>
    <n v="0"/>
    <x v="0"/>
    <x v="12"/>
  </r>
  <r>
    <x v="64"/>
    <x v="0"/>
    <n v="280"/>
    <x v="0"/>
    <n v="538.80650393926862"/>
    <x v="0"/>
    <n v="565.74682913623212"/>
    <n v="0"/>
    <x v="1"/>
    <x v="28"/>
  </r>
  <r>
    <x v="305"/>
    <x v="3"/>
    <n v="195"/>
    <x v="0"/>
    <n v="517.56604251553563"/>
    <x v="1"/>
    <n v="543.44434464131245"/>
    <n v="0.01"/>
    <x v="0"/>
    <x v="36"/>
  </r>
  <r>
    <x v="306"/>
    <x v="4"/>
    <n v="175"/>
    <x v="2"/>
    <n v="503.2014665674651"/>
    <x v="1"/>
    <n v="528.3615398958384"/>
    <n v="0.03"/>
    <x v="0"/>
    <x v="0"/>
  </r>
  <r>
    <x v="215"/>
    <x v="2"/>
    <n v="250"/>
    <x v="0"/>
    <n v="501.96749411094061"/>
    <x v="1"/>
    <n v="527.06586881648764"/>
    <n v="0.01"/>
    <x v="1"/>
    <x v="30"/>
  </r>
  <r>
    <x v="129"/>
    <x v="3"/>
    <n v="195"/>
    <x v="0"/>
    <n v="515.01843363902026"/>
    <x v="1"/>
    <n v="540.76935532097127"/>
    <n v="0"/>
    <x v="1"/>
    <x v="20"/>
  </r>
  <r>
    <x v="85"/>
    <x v="0"/>
    <n v="280"/>
    <x v="0"/>
    <n v="526.68765246250678"/>
    <x v="1"/>
    <n v="553.02203508563218"/>
    <n v="0.03"/>
    <x v="0"/>
    <x v="11"/>
  </r>
  <r>
    <x v="62"/>
    <x v="5"/>
    <n v="200"/>
    <x v="2"/>
    <n v="517.28613752249476"/>
    <x v="1"/>
    <n v="543.15044439861947"/>
    <n v="0.03"/>
    <x v="0"/>
    <x v="0"/>
  </r>
  <r>
    <x v="194"/>
    <x v="0"/>
    <n v="280"/>
    <x v="0"/>
    <n v="549.12921384136462"/>
    <x v="0"/>
    <n v="576.58567453343289"/>
    <n v="0.02"/>
    <x v="0"/>
    <x v="7"/>
  </r>
  <r>
    <x v="192"/>
    <x v="6"/>
    <n v="142"/>
    <x v="1"/>
    <n v="526.39591085245047"/>
    <x v="1"/>
    <n v="552.71570639507297"/>
    <n v="0.02"/>
    <x v="0"/>
    <x v="6"/>
  </r>
  <r>
    <x v="302"/>
    <x v="2"/>
    <n v="250"/>
    <x v="0"/>
    <n v="502.82680123166028"/>
    <x v="1"/>
    <n v="527.96814129324332"/>
    <n v="0"/>
    <x v="0"/>
    <x v="3"/>
  </r>
  <r>
    <x v="113"/>
    <x v="1"/>
    <n v="140"/>
    <x v="1"/>
    <n v="549.1256399582162"/>
    <x v="0"/>
    <n v="576.58192195612708"/>
    <n v="0.03"/>
    <x v="0"/>
    <x v="0"/>
  </r>
  <r>
    <x v="6"/>
    <x v="3"/>
    <n v="195"/>
    <x v="0"/>
    <n v="519.97455570640341"/>
    <x v="1"/>
    <n v="545.97328349172358"/>
    <n v="0.02"/>
    <x v="0"/>
    <x v="29"/>
  </r>
  <r>
    <x v="25"/>
    <x v="4"/>
    <n v="175"/>
    <x v="2"/>
    <n v="527.60356131963817"/>
    <x v="1"/>
    <n v="553.98373938562008"/>
    <n v="0.01"/>
    <x v="0"/>
    <x v="13"/>
  </r>
  <r>
    <x v="20"/>
    <x v="8"/>
    <n v="188"/>
    <x v="0"/>
    <n v="504.99604253373127"/>
    <x v="1"/>
    <n v="530.2458446604179"/>
    <n v="0.01"/>
    <x v="1"/>
    <x v="3"/>
  </r>
  <r>
    <x v="31"/>
    <x v="7"/>
    <n v="166"/>
    <x v="0"/>
    <n v="525.64331205395047"/>
    <x v="1"/>
    <n v="551.92547765664801"/>
    <n v="0.03"/>
    <x v="0"/>
    <x v="10"/>
  </r>
  <r>
    <x v="261"/>
    <x v="8"/>
    <n v="188"/>
    <x v="0"/>
    <n v="546.80065236636074"/>
    <x v="0"/>
    <n v="574.14068498467884"/>
    <n v="0.02"/>
    <x v="1"/>
    <x v="33"/>
  </r>
  <r>
    <x v="115"/>
    <x v="1"/>
    <n v="140"/>
    <x v="1"/>
    <n v="530.76326705546944"/>
    <x v="0"/>
    <n v="557.30143040824294"/>
    <n v="0"/>
    <x v="0"/>
    <x v="30"/>
  </r>
  <r>
    <x v="287"/>
    <x v="0"/>
    <n v="280"/>
    <x v="0"/>
    <n v="542.88932038044459"/>
    <x v="0"/>
    <n v="570.03378639946686"/>
    <n v="0.03"/>
    <x v="1"/>
    <x v="16"/>
  </r>
  <r>
    <x v="307"/>
    <x v="5"/>
    <n v="200"/>
    <x v="2"/>
    <n v="545.65014594292188"/>
    <x v="0"/>
    <n v="572.93265324006802"/>
    <n v="0"/>
    <x v="1"/>
    <x v="37"/>
  </r>
  <r>
    <x v="282"/>
    <x v="8"/>
    <n v="188"/>
    <x v="0"/>
    <n v="538.90553574051501"/>
    <x v="0"/>
    <n v="565.85081252754082"/>
    <n v="0.01"/>
    <x v="1"/>
    <x v="35"/>
  </r>
  <r>
    <x v="11"/>
    <x v="3"/>
    <n v="195"/>
    <x v="0"/>
    <n v="539.87213503858038"/>
    <x v="0"/>
    <n v="566.86574179050945"/>
    <n v="0.01"/>
    <x v="1"/>
    <x v="21"/>
  </r>
  <r>
    <x v="262"/>
    <x v="3"/>
    <n v="195"/>
    <x v="0"/>
    <n v="513.14564871540188"/>
    <x v="1"/>
    <n v="538.80293115117195"/>
    <n v="0.01"/>
    <x v="0"/>
    <x v="18"/>
  </r>
  <r>
    <x v="81"/>
    <x v="2"/>
    <n v="250"/>
    <x v="0"/>
    <n v="515.7883006577149"/>
    <x v="1"/>
    <n v="541.57771569060071"/>
    <n v="0"/>
    <x v="0"/>
    <x v="10"/>
  </r>
  <r>
    <x v="308"/>
    <x v="0"/>
    <n v="280"/>
    <x v="0"/>
    <n v="528.57084954365018"/>
    <x v="1"/>
    <n v="554.99939202083272"/>
    <n v="0.01"/>
    <x v="0"/>
    <x v="19"/>
  </r>
  <r>
    <x v="49"/>
    <x v="3"/>
    <n v="195"/>
    <x v="0"/>
    <n v="512.24325313624558"/>
    <x v="1"/>
    <n v="537.85541579305789"/>
    <n v="0.03"/>
    <x v="0"/>
    <x v="0"/>
  </r>
  <r>
    <x v="309"/>
    <x v="4"/>
    <n v="175"/>
    <x v="2"/>
    <n v="518.00619953647947"/>
    <x v="1"/>
    <n v="543.90650951330349"/>
    <n v="0.02"/>
    <x v="0"/>
    <x v="12"/>
  </r>
  <r>
    <x v="48"/>
    <x v="6"/>
    <n v="142"/>
    <x v="1"/>
    <n v="509.6483838133081"/>
    <x v="1"/>
    <n v="535.13080300397348"/>
    <n v="0.02"/>
    <x v="0"/>
    <x v="5"/>
  </r>
  <r>
    <x v="310"/>
    <x v="4"/>
    <n v="175"/>
    <x v="2"/>
    <n v="547.11310365072131"/>
    <x v="0"/>
    <n v="574.46875883325743"/>
    <n v="0.01"/>
    <x v="1"/>
    <x v="35"/>
  </r>
  <r>
    <x v="101"/>
    <x v="2"/>
    <n v="250"/>
    <x v="0"/>
    <n v="540.27752751118442"/>
    <x v="0"/>
    <n v="567.29140388674364"/>
    <n v="0.02"/>
    <x v="1"/>
    <x v="4"/>
  </r>
  <r>
    <x v="75"/>
    <x v="1"/>
    <n v="140"/>
    <x v="1"/>
    <n v="537.46602560608426"/>
    <x v="0"/>
    <n v="564.33932688638845"/>
    <n v="0.03"/>
    <x v="0"/>
    <x v="29"/>
  </r>
  <r>
    <x v="113"/>
    <x v="3"/>
    <n v="195"/>
    <x v="0"/>
    <n v="532.19083159355068"/>
    <x v="0"/>
    <n v="558.80037317322819"/>
    <n v="0"/>
    <x v="0"/>
    <x v="12"/>
  </r>
  <r>
    <x v="76"/>
    <x v="3"/>
    <n v="195"/>
    <x v="0"/>
    <n v="525.61322797539833"/>
    <x v="1"/>
    <n v="551.89388937416823"/>
    <n v="0.01"/>
    <x v="0"/>
    <x v="5"/>
  </r>
  <r>
    <x v="124"/>
    <x v="3"/>
    <n v="195"/>
    <x v="0"/>
    <n v="514.80788197298807"/>
    <x v="1"/>
    <n v="540.54827607163747"/>
    <n v="0"/>
    <x v="0"/>
    <x v="12"/>
  </r>
  <r>
    <x v="231"/>
    <x v="6"/>
    <n v="142"/>
    <x v="1"/>
    <n v="523.2056635117824"/>
    <x v="1"/>
    <n v="549.36594668737155"/>
    <n v="0.01"/>
    <x v="0"/>
    <x v="6"/>
  </r>
  <r>
    <x v="311"/>
    <x v="5"/>
    <n v="200"/>
    <x v="2"/>
    <n v="539.73310148700239"/>
    <x v="0"/>
    <n v="566.71975656135248"/>
    <n v="0"/>
    <x v="1"/>
    <x v="9"/>
  </r>
  <r>
    <x v="257"/>
    <x v="0"/>
    <n v="280"/>
    <x v="0"/>
    <n v="543.92540672301766"/>
    <x v="0"/>
    <n v="571.12167705916852"/>
    <n v="0.03"/>
    <x v="1"/>
    <x v="24"/>
  </r>
  <r>
    <x v="20"/>
    <x v="2"/>
    <n v="250"/>
    <x v="0"/>
    <n v="521.70658226940668"/>
    <x v="1"/>
    <n v="547.79191138287706"/>
    <n v="0.03"/>
    <x v="0"/>
    <x v="4"/>
  </r>
  <r>
    <x v="178"/>
    <x v="6"/>
    <n v="142"/>
    <x v="1"/>
    <n v="547.50722972466247"/>
    <x v="0"/>
    <n v="574.88259121089561"/>
    <n v="0.01"/>
    <x v="0"/>
    <x v="8"/>
  </r>
  <r>
    <x v="65"/>
    <x v="0"/>
    <n v="280"/>
    <x v="0"/>
    <n v="526.98141139237396"/>
    <x v="1"/>
    <n v="553.33048196199263"/>
    <n v="0.03"/>
    <x v="0"/>
    <x v="9"/>
  </r>
  <r>
    <x v="312"/>
    <x v="4"/>
    <n v="175"/>
    <x v="2"/>
    <n v="511.13727902466235"/>
    <x v="1"/>
    <n v="536.69414297589549"/>
    <n v="0.03"/>
    <x v="0"/>
    <x v="48"/>
  </r>
  <r>
    <x v="156"/>
    <x v="0"/>
    <n v="280"/>
    <x v="0"/>
    <n v="523.26421168802153"/>
    <x v="1"/>
    <n v="549.42742227242263"/>
    <n v="0.03"/>
    <x v="0"/>
    <x v="3"/>
  </r>
  <r>
    <x v="306"/>
    <x v="8"/>
    <n v="188"/>
    <x v="0"/>
    <n v="533.53690328030825"/>
    <x v="0"/>
    <n v="560.21374844432364"/>
    <n v="0"/>
    <x v="0"/>
    <x v="1"/>
  </r>
  <r>
    <x v="150"/>
    <x v="0"/>
    <n v="280"/>
    <x v="0"/>
    <n v="501.49657548048162"/>
    <x v="1"/>
    <n v="526.57140425450575"/>
    <n v="0"/>
    <x v="0"/>
    <x v="5"/>
  </r>
  <r>
    <x v="103"/>
    <x v="0"/>
    <n v="280"/>
    <x v="0"/>
    <n v="502.97795800297718"/>
    <x v="1"/>
    <n v="528.12685590312606"/>
    <n v="0.02"/>
    <x v="0"/>
    <x v="1"/>
  </r>
  <r>
    <x v="176"/>
    <x v="5"/>
    <n v="200"/>
    <x v="2"/>
    <n v="562.17999999999995"/>
    <x v="0"/>
    <n v="590.28899999999999"/>
    <n v="0.03"/>
    <x v="0"/>
    <x v="14"/>
  </r>
  <r>
    <x v="207"/>
    <x v="4"/>
    <n v="175"/>
    <x v="2"/>
    <n v="545.88335811400611"/>
    <x v="0"/>
    <n v="573.17752601970642"/>
    <n v="0.02"/>
    <x v="0"/>
    <x v="35"/>
  </r>
  <r>
    <x v="271"/>
    <x v="0"/>
    <n v="280"/>
    <x v="0"/>
    <n v="500.37571980906796"/>
    <x v="1"/>
    <n v="525.39450579952143"/>
    <n v="0.03"/>
    <x v="0"/>
    <x v="0"/>
  </r>
  <r>
    <x v="114"/>
    <x v="7"/>
    <n v="166"/>
    <x v="1"/>
    <n v="537.27291188332129"/>
    <x v="0"/>
    <n v="564.13655747748737"/>
    <n v="0"/>
    <x v="1"/>
    <x v="25"/>
  </r>
  <r>
    <x v="231"/>
    <x v="6"/>
    <n v="142"/>
    <x v="0"/>
    <n v="525.89618979125407"/>
    <x v="1"/>
    <n v="552.19099928081675"/>
    <n v="0"/>
    <x v="1"/>
    <x v="6"/>
  </r>
  <r>
    <x v="268"/>
    <x v="1"/>
    <n v="140"/>
    <x v="1"/>
    <n v="536.49640644151441"/>
    <x v="0"/>
    <n v="563.32122676359018"/>
    <n v="0.02"/>
    <x v="0"/>
    <x v="10"/>
  </r>
  <r>
    <x v="110"/>
    <x v="5"/>
    <n v="200"/>
    <x v="2"/>
    <n v="526.53663855911327"/>
    <x v="1"/>
    <n v="552.86347048706898"/>
    <n v="0.02"/>
    <x v="0"/>
    <x v="1"/>
  </r>
  <r>
    <x v="221"/>
    <x v="2"/>
    <n v="250"/>
    <x v="0"/>
    <n v="501.51521435603627"/>
    <x v="1"/>
    <n v="526.59097507383808"/>
    <n v="0.01"/>
    <x v="0"/>
    <x v="36"/>
  </r>
  <r>
    <x v="270"/>
    <x v="2"/>
    <n v="250"/>
    <x v="0"/>
    <n v="544.86811314442821"/>
    <x v="0"/>
    <n v="572.11151880164959"/>
    <n v="0.02"/>
    <x v="0"/>
    <x v="7"/>
  </r>
  <r>
    <x v="279"/>
    <x v="3"/>
    <n v="195"/>
    <x v="0"/>
    <n v="536.09505375334538"/>
    <x v="0"/>
    <n v="562.89980644101263"/>
    <n v="0.03"/>
    <x v="1"/>
    <x v="19"/>
  </r>
  <r>
    <x v="193"/>
    <x v="5"/>
    <n v="200"/>
    <x v="2"/>
    <n v="546.34797305946449"/>
    <x v="0"/>
    <n v="573.66537171243772"/>
    <n v="0.01"/>
    <x v="0"/>
    <x v="29"/>
  </r>
  <r>
    <x v="270"/>
    <x v="8"/>
    <n v="188"/>
    <x v="0"/>
    <n v="501.09398567226708"/>
    <x v="1"/>
    <n v="526.14868495588041"/>
    <n v="0.03"/>
    <x v="0"/>
    <x v="8"/>
  </r>
  <r>
    <x v="52"/>
    <x v="0"/>
    <n v="280"/>
    <x v="0"/>
    <n v="537.8737787348764"/>
    <x v="0"/>
    <n v="564.76746767162024"/>
    <n v="0.01"/>
    <x v="0"/>
    <x v="19"/>
  </r>
  <r>
    <x v="224"/>
    <x v="7"/>
    <n v="166"/>
    <x v="1"/>
    <n v="544.18732495628137"/>
    <x v="0"/>
    <n v="571.39669120409542"/>
    <n v="0.02"/>
    <x v="1"/>
    <x v="40"/>
  </r>
  <r>
    <x v="75"/>
    <x v="6"/>
    <n v="142"/>
    <x v="1"/>
    <n v="534.31615411692655"/>
    <x v="0"/>
    <n v="561.03196182277293"/>
    <n v="0.01"/>
    <x v="1"/>
    <x v="33"/>
  </r>
  <r>
    <x v="313"/>
    <x v="4"/>
    <n v="175"/>
    <x v="2"/>
    <n v="533.48738384847911"/>
    <x v="0"/>
    <n v="560.16175304090314"/>
    <n v="0"/>
    <x v="0"/>
    <x v="34"/>
  </r>
  <r>
    <x v="186"/>
    <x v="0"/>
    <n v="280"/>
    <x v="0"/>
    <n v="507.93660460957108"/>
    <x v="1"/>
    <n v="533.33343484004968"/>
    <n v="0.01"/>
    <x v="0"/>
    <x v="36"/>
  </r>
  <r>
    <x v="73"/>
    <x v="0"/>
    <n v="280"/>
    <x v="0"/>
    <n v="523.71531895304452"/>
    <x v="1"/>
    <n v="549.90108490069679"/>
    <n v="0"/>
    <x v="0"/>
    <x v="25"/>
  </r>
  <r>
    <x v="163"/>
    <x v="3"/>
    <n v="195"/>
    <x v="0"/>
    <n v="547.23405959444972"/>
    <x v="0"/>
    <n v="574.59576257417223"/>
    <n v="0"/>
    <x v="1"/>
    <x v="30"/>
  </r>
  <r>
    <x v="236"/>
    <x v="4"/>
    <n v="175"/>
    <x v="2"/>
    <n v="507.27889473413779"/>
    <x v="1"/>
    <n v="532.64283947084471"/>
    <n v="0.01"/>
    <x v="0"/>
    <x v="13"/>
  </r>
  <r>
    <x v="295"/>
    <x v="0"/>
    <n v="280"/>
    <x v="0"/>
    <n v="505.36821607134698"/>
    <x v="1"/>
    <n v="530.63662687491433"/>
    <n v="0.02"/>
    <x v="0"/>
    <x v="25"/>
  </r>
  <r>
    <x v="276"/>
    <x v="4"/>
    <n v="175"/>
    <x v="2"/>
    <n v="507.89616855035911"/>
    <x v="1"/>
    <n v="533.29097697787711"/>
    <n v="0.02"/>
    <x v="1"/>
    <x v="21"/>
  </r>
  <r>
    <x v="294"/>
    <x v="3"/>
    <n v="195"/>
    <x v="0"/>
    <n v="545.41809676782032"/>
    <x v="0"/>
    <n v="572.68900160621138"/>
    <n v="0"/>
    <x v="0"/>
    <x v="28"/>
  </r>
  <r>
    <x v="6"/>
    <x v="4"/>
    <n v="175"/>
    <x v="2"/>
    <n v="542.89278297311012"/>
    <x v="0"/>
    <n v="570.03742212176564"/>
    <n v="0.03"/>
    <x v="0"/>
    <x v="19"/>
  </r>
  <r>
    <x v="25"/>
    <x v="4"/>
    <n v="175"/>
    <x v="2"/>
    <n v="507.89616855035911"/>
    <x v="1"/>
    <n v="533.29097697787711"/>
    <n v="0.02"/>
    <x v="0"/>
    <x v="11"/>
  </r>
  <r>
    <x v="314"/>
    <x v="7"/>
    <n v="166"/>
    <x v="1"/>
    <n v="514.9970930647869"/>
    <x v="1"/>
    <n v="540.74694771802626"/>
    <n v="0.01"/>
    <x v="0"/>
    <x v="13"/>
  </r>
  <r>
    <x v="315"/>
    <x v="7"/>
    <n v="166"/>
    <x v="1"/>
    <n v="542.46370961570574"/>
    <x v="0"/>
    <n v="569.58689509649105"/>
    <n v="0.02"/>
    <x v="1"/>
    <x v="40"/>
  </r>
  <r>
    <x v="293"/>
    <x v="7"/>
    <n v="166"/>
    <x v="1"/>
    <n v="538.61618232653655"/>
    <x v="0"/>
    <n v="565.54699144286337"/>
    <n v="0.02"/>
    <x v="0"/>
    <x v="42"/>
  </r>
  <r>
    <x v="316"/>
    <x v="3"/>
    <n v="195"/>
    <x v="0"/>
    <n v="539.35666458718879"/>
    <x v="0"/>
    <n v="566.32449781654827"/>
    <n v="0.01"/>
    <x v="0"/>
    <x v="25"/>
  </r>
  <r>
    <x v="18"/>
    <x v="0"/>
    <n v="280"/>
    <x v="0"/>
    <n v="515.40966025181933"/>
    <x v="1"/>
    <n v="541.18014326441028"/>
    <n v="0.02"/>
    <x v="0"/>
    <x v="18"/>
  </r>
  <r>
    <x v="162"/>
    <x v="8"/>
    <n v="188"/>
    <x v="0"/>
    <n v="543.5296624419916"/>
    <x v="0"/>
    <n v="570.70614556409123"/>
    <n v="0.01"/>
    <x v="0"/>
    <x v="24"/>
  </r>
  <r>
    <x v="301"/>
    <x v="4"/>
    <n v="175"/>
    <x v="2"/>
    <n v="511.13727902466235"/>
    <x v="1"/>
    <n v="536.69414297589549"/>
    <n v="0"/>
    <x v="0"/>
    <x v="18"/>
  </r>
  <r>
    <x v="76"/>
    <x v="3"/>
    <n v="195"/>
    <x v="0"/>
    <n v="545.76401380552852"/>
    <x v="0"/>
    <n v="573.05221449580495"/>
    <n v="0.03"/>
    <x v="1"/>
    <x v="30"/>
  </r>
  <r>
    <x v="291"/>
    <x v="6"/>
    <n v="142"/>
    <x v="1"/>
    <n v="503.5986081194867"/>
    <x v="1"/>
    <n v="528.77853852546104"/>
    <n v="0.01"/>
    <x v="0"/>
    <x v="20"/>
  </r>
  <r>
    <x v="228"/>
    <x v="5"/>
    <n v="200"/>
    <x v="2"/>
    <n v="549.58272872960151"/>
    <x v="0"/>
    <n v="577.06186516608159"/>
    <n v="0.02"/>
    <x v="1"/>
    <x v="29"/>
  </r>
  <r>
    <x v="47"/>
    <x v="8"/>
    <n v="188"/>
    <x v="0"/>
    <n v="541.09857390431262"/>
    <x v="0"/>
    <n v="568.15350259952822"/>
    <n v="0.02"/>
    <x v="0"/>
    <x v="36"/>
  </r>
  <r>
    <x v="228"/>
    <x v="2"/>
    <n v="250"/>
    <x v="0"/>
    <n v="500.51155467037552"/>
    <x v="1"/>
    <n v="525.53713240389436"/>
    <n v="0.01"/>
    <x v="0"/>
    <x v="16"/>
  </r>
  <r>
    <x v="23"/>
    <x v="8"/>
    <n v="188"/>
    <x v="0"/>
    <n v="523.35905879624625"/>
    <x v="1"/>
    <n v="549.52701173605863"/>
    <n v="0.01"/>
    <x v="0"/>
    <x v="7"/>
  </r>
  <r>
    <x v="38"/>
    <x v="1"/>
    <n v="140"/>
    <x v="1"/>
    <n v="513.46040394408101"/>
    <x v="1"/>
    <n v="539.1334241412851"/>
    <n v="0.01"/>
    <x v="0"/>
    <x v="17"/>
  </r>
  <r>
    <x v="29"/>
    <x v="6"/>
    <n v="142"/>
    <x v="1"/>
    <n v="550.36148407439759"/>
    <x v="0"/>
    <n v="577.87955827811754"/>
    <n v="0.03"/>
    <x v="0"/>
    <x v="3"/>
  </r>
  <r>
    <x v="174"/>
    <x v="0"/>
    <n v="280"/>
    <x v="0"/>
    <n v="543.82097233426975"/>
    <x v="0"/>
    <n v="571.01202095098324"/>
    <n v="0.03"/>
    <x v="1"/>
    <x v="24"/>
  </r>
  <r>
    <x v="285"/>
    <x v="0"/>
    <n v="280"/>
    <x v="0"/>
    <n v="509.5478211519594"/>
    <x v="1"/>
    <n v="535.02521220955737"/>
    <n v="0.02"/>
    <x v="1"/>
    <x v="16"/>
  </r>
  <r>
    <x v="73"/>
    <x v="4"/>
    <n v="175"/>
    <x v="2"/>
    <n v="535.22551871216001"/>
    <x v="0"/>
    <n v="561.98679464776808"/>
    <n v="0.03"/>
    <x v="0"/>
    <x v="3"/>
  </r>
  <r>
    <x v="7"/>
    <x v="2"/>
    <n v="250"/>
    <x v="0"/>
    <n v="504.75070570974003"/>
    <x v="1"/>
    <n v="529.9882409952271"/>
    <n v="0"/>
    <x v="1"/>
    <x v="45"/>
  </r>
  <r>
    <x v="170"/>
    <x v="2"/>
    <n v="250"/>
    <x v="0"/>
    <n v="533.34037083643307"/>
    <x v="0"/>
    <n v="560.00738937825474"/>
    <n v="0.02"/>
    <x v="0"/>
    <x v="28"/>
  </r>
  <r>
    <x v="271"/>
    <x v="3"/>
    <n v="195"/>
    <x v="0"/>
    <n v="515.68118045896972"/>
    <x v="1"/>
    <n v="541.46523948191827"/>
    <n v="0.01"/>
    <x v="0"/>
    <x v="7"/>
  </r>
  <r>
    <x v="46"/>
    <x v="4"/>
    <n v="175"/>
    <x v="2"/>
    <n v="539.18567086526946"/>
    <x v="0"/>
    <n v="566.14495440853295"/>
    <n v="0.01"/>
    <x v="0"/>
    <x v="24"/>
  </r>
  <r>
    <x v="270"/>
    <x v="3"/>
    <n v="195"/>
    <x v="0"/>
    <n v="529.20852633157665"/>
    <x v="1"/>
    <n v="555.66895264815548"/>
    <n v="0.01"/>
    <x v="0"/>
    <x v="10"/>
  </r>
  <r>
    <x v="251"/>
    <x v="8"/>
    <n v="188"/>
    <x v="0"/>
    <n v="506.84599266231544"/>
    <x v="1"/>
    <n v="532.18829229543121"/>
    <n v="0.01"/>
    <x v="0"/>
    <x v="7"/>
  </r>
  <r>
    <x v="82"/>
    <x v="7"/>
    <n v="166"/>
    <x v="1"/>
    <n v="522.65932039593008"/>
    <x v="1"/>
    <n v="548.79228641572661"/>
    <n v="0.01"/>
    <x v="0"/>
    <x v="3"/>
  </r>
  <r>
    <x v="224"/>
    <x v="0"/>
    <n v="280"/>
    <x v="0"/>
    <n v="502.11650149895468"/>
    <x v="1"/>
    <n v="527.22232657390248"/>
    <n v="0.01"/>
    <x v="0"/>
    <x v="7"/>
  </r>
  <r>
    <x v="317"/>
    <x v="5"/>
    <n v="200"/>
    <x v="2"/>
    <n v="552.7262620403144"/>
    <x v="0"/>
    <n v="580.36257514233012"/>
    <n v="0.02"/>
    <x v="1"/>
    <x v="24"/>
  </r>
  <r>
    <x v="242"/>
    <x v="7"/>
    <n v="166"/>
    <x v="1"/>
    <n v="518.43565114083776"/>
    <x v="1"/>
    <n v="544.35743369787963"/>
    <n v="0.02"/>
    <x v="0"/>
    <x v="20"/>
  </r>
  <r>
    <x v="193"/>
    <x v="8"/>
    <n v="188"/>
    <x v="0"/>
    <n v="531.76137612871025"/>
    <x v="0"/>
    <n v="558.34944493514581"/>
    <n v="0.03"/>
    <x v="1"/>
    <x v="7"/>
  </r>
  <r>
    <x v="148"/>
    <x v="6"/>
    <n v="142"/>
    <x v="1"/>
    <n v="540.7835666829651"/>
    <x v="0"/>
    <n v="567.82274501711333"/>
    <n v="0.01"/>
    <x v="0"/>
    <x v="14"/>
  </r>
  <r>
    <x v="141"/>
    <x v="1"/>
    <n v="140"/>
    <x v="1"/>
    <n v="521.75968466355698"/>
    <x v="1"/>
    <n v="547.84766889673483"/>
    <n v="0"/>
    <x v="0"/>
    <x v="24"/>
  </r>
  <r>
    <x v="287"/>
    <x v="0"/>
    <n v="280"/>
    <x v="0"/>
    <n v="542.01291510223018"/>
    <x v="0"/>
    <n v="569.11356085734167"/>
    <n v="0.02"/>
    <x v="1"/>
    <x v="28"/>
  </r>
  <r>
    <x v="239"/>
    <x v="5"/>
    <n v="200"/>
    <x v="2"/>
    <n v="550.23"/>
    <x v="0"/>
    <n v="577.74150000000009"/>
    <n v="0.02"/>
    <x v="0"/>
    <x v="25"/>
  </r>
  <r>
    <x v="273"/>
    <x v="6"/>
    <n v="142"/>
    <x v="1"/>
    <n v="509.38746090465338"/>
    <x v="1"/>
    <n v="534.8568339498861"/>
    <n v="0.01"/>
    <x v="0"/>
    <x v="8"/>
  </r>
  <r>
    <x v="318"/>
    <x v="5"/>
    <n v="200"/>
    <x v="2"/>
    <n v="522.35211865455312"/>
    <x v="1"/>
    <n v="548.46972458728078"/>
    <n v="0.02"/>
    <x v="1"/>
    <x v="41"/>
  </r>
  <r>
    <x v="319"/>
    <x v="4"/>
    <n v="175"/>
    <x v="2"/>
    <n v="521.22803130376178"/>
    <x v="1"/>
    <n v="547.28943286894992"/>
    <n v="0"/>
    <x v="1"/>
    <x v="10"/>
  </r>
  <r>
    <x v="129"/>
    <x v="0"/>
    <n v="280"/>
    <x v="0"/>
    <n v="544.05514084133029"/>
    <x v="0"/>
    <n v="571.25789788339682"/>
    <n v="0"/>
    <x v="1"/>
    <x v="30"/>
  </r>
  <r>
    <x v="37"/>
    <x v="7"/>
    <n v="166"/>
    <x v="1"/>
    <n v="526.81526501976532"/>
    <x v="1"/>
    <n v="553.15602827075361"/>
    <n v="0"/>
    <x v="1"/>
    <x v="2"/>
  </r>
  <r>
    <x v="115"/>
    <x v="6"/>
    <n v="142"/>
    <x v="1"/>
    <n v="518.88024891440273"/>
    <x v="1"/>
    <n v="544.82426136012293"/>
    <n v="0.03"/>
    <x v="0"/>
    <x v="12"/>
  </r>
  <r>
    <x v="226"/>
    <x v="1"/>
    <n v="140"/>
    <x v="1"/>
    <n v="539.68497452919564"/>
    <x v="0"/>
    <n v="566.66922325565542"/>
    <n v="0.03"/>
    <x v="0"/>
    <x v="9"/>
  </r>
  <r>
    <x v="24"/>
    <x v="5"/>
    <n v="200"/>
    <x v="2"/>
    <n v="541.59818431397343"/>
    <x v="0"/>
    <n v="568.67809352967208"/>
    <n v="0.03"/>
    <x v="0"/>
    <x v="11"/>
  </r>
  <r>
    <x v="247"/>
    <x v="7"/>
    <n v="166"/>
    <x v="1"/>
    <n v="549.87678997211151"/>
    <x v="0"/>
    <n v="577.37062947071706"/>
    <n v="0.01"/>
    <x v="0"/>
    <x v="42"/>
  </r>
  <r>
    <x v="235"/>
    <x v="0"/>
    <n v="280"/>
    <x v="0"/>
    <n v="523.8288389247673"/>
    <x v="1"/>
    <n v="550.02028087100564"/>
    <n v="0.02"/>
    <x v="0"/>
    <x v="20"/>
  </r>
  <r>
    <x v="129"/>
    <x v="8"/>
    <n v="188"/>
    <x v="0"/>
    <n v="525.40700059648134"/>
    <x v="1"/>
    <n v="551.67735062630538"/>
    <n v="0.02"/>
    <x v="1"/>
    <x v="21"/>
  </r>
  <r>
    <x v="270"/>
    <x v="0"/>
    <n v="280"/>
    <x v="0"/>
    <n v="519.39564906714531"/>
    <x v="1"/>
    <n v="545.36543152050263"/>
    <n v="0"/>
    <x v="0"/>
    <x v="14"/>
  </r>
  <r>
    <x v="298"/>
    <x v="0"/>
    <n v="280"/>
    <x v="0"/>
    <n v="505.69337008163711"/>
    <x v="1"/>
    <n v="530.97803858571899"/>
    <n v="0.03"/>
    <x v="0"/>
    <x v="30"/>
  </r>
  <r>
    <x v="320"/>
    <x v="0"/>
    <n v="280"/>
    <x v="0"/>
    <n v="511.90812827056834"/>
    <x v="1"/>
    <n v="537.50353468409673"/>
    <n v="0.03"/>
    <x v="0"/>
    <x v="29"/>
  </r>
  <r>
    <x v="321"/>
    <x v="4"/>
    <n v="175"/>
    <x v="2"/>
    <n v="511.13727902466235"/>
    <x v="1"/>
    <n v="536.69414297589549"/>
    <n v="0.01"/>
    <x v="1"/>
    <x v="12"/>
  </r>
  <r>
    <x v="113"/>
    <x v="0"/>
    <n v="280"/>
    <x v="0"/>
    <n v="537.83785990057368"/>
    <x v="0"/>
    <n v="564.72975289560236"/>
    <n v="0.03"/>
    <x v="1"/>
    <x v="35"/>
  </r>
  <r>
    <x v="46"/>
    <x v="4"/>
    <n v="175"/>
    <x v="2"/>
    <n v="511.13727902466235"/>
    <x v="1"/>
    <n v="536.69414297589549"/>
    <n v="0.01"/>
    <x v="1"/>
    <x v="8"/>
  </r>
  <r>
    <x v="44"/>
    <x v="1"/>
    <n v="140"/>
    <x v="1"/>
    <n v="511.62442806610215"/>
    <x v="1"/>
    <n v="537.20564946940726"/>
    <n v="0.01"/>
    <x v="0"/>
    <x v="20"/>
  </r>
  <r>
    <x v="167"/>
    <x v="3"/>
    <n v="195"/>
    <x v="0"/>
    <n v="504.37596945427686"/>
    <x v="1"/>
    <n v="529.5947679269907"/>
    <n v="0.01"/>
    <x v="1"/>
    <x v="24"/>
  </r>
  <r>
    <x v="322"/>
    <x v="3"/>
    <n v="195"/>
    <x v="0"/>
    <n v="549.30949865262846"/>
    <x v="0"/>
    <n v="576.77497358525989"/>
    <n v="0"/>
    <x v="0"/>
    <x v="11"/>
  </r>
  <r>
    <x v="47"/>
    <x v="3"/>
    <n v="195"/>
    <x v="0"/>
    <n v="514.31888562843051"/>
    <x v="1"/>
    <n v="540.03482990985208"/>
    <n v="0.03"/>
    <x v="0"/>
    <x v="7"/>
  </r>
  <r>
    <x v="146"/>
    <x v="0"/>
    <n v="280"/>
    <x v="0"/>
    <n v="549.88080863228606"/>
    <x v="0"/>
    <n v="577.37484906390034"/>
    <n v="0.01"/>
    <x v="0"/>
    <x v="0"/>
  </r>
  <r>
    <x v="74"/>
    <x v="7"/>
    <n v="166"/>
    <x v="1"/>
    <n v="543.43548538063988"/>
    <x v="0"/>
    <n v="570.60725964967185"/>
    <n v="0"/>
    <x v="0"/>
    <x v="7"/>
  </r>
  <r>
    <x v="315"/>
    <x v="1"/>
    <n v="140"/>
    <x v="1"/>
    <n v="546.73292111387127"/>
    <x v="0"/>
    <n v="574.06956716956483"/>
    <n v="0.02"/>
    <x v="1"/>
    <x v="40"/>
  </r>
  <r>
    <x v="185"/>
    <x v="5"/>
    <n v="200"/>
    <x v="2"/>
    <n v="527.9324894266274"/>
    <x v="1"/>
    <n v="554.32911389795879"/>
    <n v="0.03"/>
    <x v="0"/>
    <x v="5"/>
  </r>
  <r>
    <x v="275"/>
    <x v="4"/>
    <n v="175"/>
    <x v="2"/>
    <n v="510.80253447598898"/>
    <x v="1"/>
    <n v="536.34266119978849"/>
    <n v="0.02"/>
    <x v="1"/>
    <x v="2"/>
  </r>
  <r>
    <x v="98"/>
    <x v="4"/>
    <n v="175"/>
    <x v="2"/>
    <n v="506.03597139820249"/>
    <x v="1"/>
    <n v="531.33776996811264"/>
    <n v="0.01"/>
    <x v="0"/>
    <x v="19"/>
  </r>
  <r>
    <x v="131"/>
    <x v="3"/>
    <n v="195"/>
    <x v="0"/>
    <n v="512.36059930430201"/>
    <x v="1"/>
    <n v="537.97862926951711"/>
    <n v="0.02"/>
    <x v="1"/>
    <x v="30"/>
  </r>
  <r>
    <x v="73"/>
    <x v="7"/>
    <n v="166"/>
    <x v="1"/>
    <n v="545.43857372992352"/>
    <x v="0"/>
    <n v="572.71050241641967"/>
    <n v="0.02"/>
    <x v="0"/>
    <x v="8"/>
  </r>
  <r>
    <x v="216"/>
    <x v="3"/>
    <n v="195"/>
    <x v="0"/>
    <n v="509.48861206059473"/>
    <x v="1"/>
    <n v="534.96304266362449"/>
    <n v="0.03"/>
    <x v="0"/>
    <x v="5"/>
  </r>
  <r>
    <x v="31"/>
    <x v="0"/>
    <n v="280"/>
    <x v="0"/>
    <n v="522.93276759475248"/>
    <x v="1"/>
    <n v="549.0794059744901"/>
    <n v="0"/>
    <x v="0"/>
    <x v="13"/>
  </r>
  <r>
    <x v="246"/>
    <x v="4"/>
    <n v="175"/>
    <x v="2"/>
    <n v="550.69887278524402"/>
    <x v="0"/>
    <n v="578.23381642450624"/>
    <n v="0.03"/>
    <x v="0"/>
    <x v="18"/>
  </r>
  <r>
    <x v="47"/>
    <x v="5"/>
    <n v="200"/>
    <x v="2"/>
    <n v="525.25626345450928"/>
    <x v="1"/>
    <n v="551.51907662723477"/>
    <n v="0.02"/>
    <x v="1"/>
    <x v="24"/>
  </r>
  <r>
    <x v="88"/>
    <x v="4"/>
    <n v="175"/>
    <x v="2"/>
    <n v="500.15743807026956"/>
    <x v="1"/>
    <n v="525.16530997378311"/>
    <n v="0.01"/>
    <x v="0"/>
    <x v="0"/>
  </r>
  <r>
    <x v="138"/>
    <x v="7"/>
    <n v="166"/>
    <x v="1"/>
    <n v="504.88748385214603"/>
    <x v="1"/>
    <n v="530.13185804475336"/>
    <n v="0.01"/>
    <x v="0"/>
    <x v="8"/>
  </r>
  <r>
    <x v="265"/>
    <x v="2"/>
    <n v="250"/>
    <x v="0"/>
    <n v="536.14217715672567"/>
    <x v="0"/>
    <n v="562.94928601456195"/>
    <n v="0.02"/>
    <x v="0"/>
    <x v="36"/>
  </r>
  <r>
    <x v="119"/>
    <x v="8"/>
    <n v="188"/>
    <x v="0"/>
    <n v="536.6389636261747"/>
    <x v="0"/>
    <n v="563.4709118074835"/>
    <n v="0.02"/>
    <x v="0"/>
    <x v="7"/>
  </r>
  <r>
    <x v="39"/>
    <x v="0"/>
    <n v="280"/>
    <x v="0"/>
    <n v="513.85051910167658"/>
    <x v="1"/>
    <n v="539.54304505676043"/>
    <n v="0.01"/>
    <x v="1"/>
    <x v="47"/>
  </r>
  <r>
    <x v="11"/>
    <x v="6"/>
    <n v="142"/>
    <x v="1"/>
    <n v="530.23858942246261"/>
    <x v="0"/>
    <n v="556.75051889358576"/>
    <n v="0"/>
    <x v="0"/>
    <x v="34"/>
  </r>
  <r>
    <x v="323"/>
    <x v="8"/>
    <n v="188"/>
    <x v="0"/>
    <n v="523.09852963302637"/>
    <x v="1"/>
    <n v="549.25345611467776"/>
    <n v="0"/>
    <x v="0"/>
    <x v="13"/>
  </r>
  <r>
    <x v="93"/>
    <x v="8"/>
    <n v="188"/>
    <x v="0"/>
    <n v="545.32441632987502"/>
    <x v="0"/>
    <n v="572.59063714636875"/>
    <n v="0.03"/>
    <x v="1"/>
    <x v="12"/>
  </r>
  <r>
    <x v="37"/>
    <x v="5"/>
    <n v="200"/>
    <x v="2"/>
    <n v="544.96252415606887"/>
    <x v="0"/>
    <n v="572.21065036387233"/>
    <n v="0.02"/>
    <x v="1"/>
    <x v="43"/>
  </r>
  <r>
    <x v="64"/>
    <x v="7"/>
    <n v="166"/>
    <x v="1"/>
    <n v="521.8587499495934"/>
    <x v="1"/>
    <n v="547.95168744707314"/>
    <n v="0.03"/>
    <x v="1"/>
    <x v="49"/>
  </r>
  <r>
    <x v="192"/>
    <x v="1"/>
    <n v="140"/>
    <x v="1"/>
    <n v="504.35288780899828"/>
    <x v="1"/>
    <n v="529.57053219944817"/>
    <n v="0"/>
    <x v="1"/>
    <x v="34"/>
  </r>
  <r>
    <x v="77"/>
    <x v="3"/>
    <n v="195"/>
    <x v="0"/>
    <n v="503.42017125951588"/>
    <x v="1"/>
    <n v="528.59117982249165"/>
    <n v="0"/>
    <x v="0"/>
    <x v="3"/>
  </r>
  <r>
    <x v="264"/>
    <x v="5"/>
    <n v="200"/>
    <x v="2"/>
    <n v="517.00613651371259"/>
    <x v="1"/>
    <n v="542.8564433393982"/>
    <n v="0.03"/>
    <x v="0"/>
    <x v="28"/>
  </r>
  <r>
    <x v="217"/>
    <x v="3"/>
    <n v="195"/>
    <x v="0"/>
    <n v="512.95297511575973"/>
    <x v="1"/>
    <n v="538.60062387154778"/>
    <n v="0.02"/>
    <x v="0"/>
    <x v="24"/>
  </r>
  <r>
    <x v="291"/>
    <x v="8"/>
    <n v="188"/>
    <x v="0"/>
    <n v="512.10084523337628"/>
    <x v="1"/>
    <n v="537.70588749504509"/>
    <n v="0"/>
    <x v="0"/>
    <x v="27"/>
  </r>
  <r>
    <x v="156"/>
    <x v="6"/>
    <n v="142"/>
    <x v="1"/>
    <n v="503.04288241823997"/>
    <x v="1"/>
    <n v="528.19502653915197"/>
    <n v="0.01"/>
    <x v="0"/>
    <x v="11"/>
  </r>
  <r>
    <x v="20"/>
    <x v="7"/>
    <n v="166"/>
    <x v="1"/>
    <n v="513.62162190760773"/>
    <x v="1"/>
    <n v="539.3027030029881"/>
    <n v="0.02"/>
    <x v="0"/>
    <x v="10"/>
  </r>
  <r>
    <x v="33"/>
    <x v="5"/>
    <n v="200"/>
    <x v="2"/>
    <n v="532.20328846236953"/>
    <x v="0"/>
    <n v="558.813452885488"/>
    <n v="0.03"/>
    <x v="0"/>
    <x v="4"/>
  </r>
  <r>
    <x v="28"/>
    <x v="0"/>
    <n v="280"/>
    <x v="0"/>
    <n v="516.53198709196477"/>
    <x v="1"/>
    <n v="542.35858644656298"/>
    <n v="0.02"/>
    <x v="0"/>
    <x v="1"/>
  </r>
  <r>
    <x v="269"/>
    <x v="3"/>
    <n v="195"/>
    <x v="0"/>
    <n v="502.50440534558311"/>
    <x v="1"/>
    <n v="527.62962561286224"/>
    <n v="0"/>
    <x v="1"/>
    <x v="25"/>
  </r>
  <r>
    <x v="308"/>
    <x v="3"/>
    <n v="195"/>
    <x v="0"/>
    <n v="511.2161216376071"/>
    <x v="1"/>
    <n v="536.7769277194875"/>
    <n v="0.03"/>
    <x v="0"/>
    <x v="12"/>
  </r>
  <r>
    <x v="121"/>
    <x v="5"/>
    <n v="200"/>
    <x v="2"/>
    <n v="524.47294378170125"/>
    <x v="1"/>
    <n v="550.69659097078636"/>
    <n v="0.01"/>
    <x v="0"/>
    <x v="2"/>
  </r>
  <r>
    <x v="131"/>
    <x v="0"/>
    <n v="280"/>
    <x v="0"/>
    <n v="534.62255010785248"/>
    <x v="0"/>
    <n v="561.35367761324517"/>
    <n v="0.03"/>
    <x v="0"/>
    <x v="34"/>
  </r>
  <r>
    <x v="243"/>
    <x v="3"/>
    <n v="195"/>
    <x v="0"/>
    <n v="527.95956815583122"/>
    <x v="1"/>
    <n v="554.3575465636228"/>
    <n v="0.02"/>
    <x v="0"/>
    <x v="35"/>
  </r>
  <r>
    <x v="102"/>
    <x v="0"/>
    <n v="280"/>
    <x v="0"/>
    <n v="547.55329246827023"/>
    <x v="0"/>
    <n v="574.93095709168381"/>
    <n v="0.01"/>
    <x v="1"/>
    <x v="37"/>
  </r>
  <r>
    <x v="138"/>
    <x v="4"/>
    <n v="175"/>
    <x v="2"/>
    <n v="514.90860208037975"/>
    <x v="1"/>
    <n v="540.65403218439872"/>
    <n v="0.03"/>
    <x v="1"/>
    <x v="37"/>
  </r>
  <r>
    <x v="21"/>
    <x v="1"/>
    <n v="140"/>
    <x v="1"/>
    <n v="512.5687110689978"/>
    <x v="1"/>
    <n v="538.19714662244769"/>
    <n v="0.01"/>
    <x v="0"/>
    <x v="7"/>
  </r>
  <r>
    <x v="194"/>
    <x v="0"/>
    <n v="280"/>
    <x v="0"/>
    <n v="525.66338145820828"/>
    <x v="1"/>
    <n v="551.94655053111876"/>
    <n v="0.03"/>
    <x v="0"/>
    <x v="30"/>
  </r>
  <r>
    <x v="320"/>
    <x v="6"/>
    <n v="142"/>
    <x v="1"/>
    <n v="531.94791846057433"/>
    <x v="0"/>
    <n v="558.54531438360311"/>
    <n v="0.02"/>
    <x v="0"/>
    <x v="13"/>
  </r>
  <r>
    <x v="180"/>
    <x v="5"/>
    <n v="200"/>
    <x v="2"/>
    <n v="550.59430766312926"/>
    <x v="0"/>
    <n v="578.12402304628574"/>
    <n v="0.03"/>
    <x v="1"/>
    <x v="24"/>
  </r>
  <r>
    <x v="47"/>
    <x v="0"/>
    <n v="280"/>
    <x v="0"/>
    <n v="524.78814551174128"/>
    <x v="1"/>
    <n v="551.02755278732832"/>
    <n v="0.02"/>
    <x v="0"/>
    <x v="3"/>
  </r>
  <r>
    <x v="27"/>
    <x v="6"/>
    <n v="142"/>
    <x v="1"/>
    <n v="517.6984407549262"/>
    <x v="1"/>
    <n v="543.58336279267257"/>
    <n v="0"/>
    <x v="1"/>
    <x v="33"/>
  </r>
  <r>
    <x v="274"/>
    <x v="1"/>
    <n v="140"/>
    <x v="1"/>
    <n v="537.84112625972648"/>
    <x v="0"/>
    <n v="564.73318257271285"/>
    <n v="0"/>
    <x v="1"/>
    <x v="38"/>
  </r>
  <r>
    <x v="19"/>
    <x v="2"/>
    <n v="250"/>
    <x v="0"/>
    <n v="524.0553035979874"/>
    <x v="1"/>
    <n v="550.25806877788682"/>
    <n v="0.02"/>
    <x v="0"/>
    <x v="40"/>
  </r>
  <r>
    <x v="313"/>
    <x v="5"/>
    <n v="200"/>
    <x v="2"/>
    <n v="545.22635656546481"/>
    <x v="0"/>
    <n v="572.48767439373808"/>
    <n v="0.02"/>
    <x v="1"/>
    <x v="49"/>
  </r>
  <r>
    <x v="21"/>
    <x v="5"/>
    <n v="200"/>
    <x v="2"/>
    <n v="503.73814241736363"/>
    <x v="1"/>
    <n v="528.92504953823186"/>
    <n v="0.01"/>
    <x v="1"/>
    <x v="1"/>
  </r>
  <r>
    <x v="292"/>
    <x v="8"/>
    <n v="188"/>
    <x v="0"/>
    <n v="525.28697720375749"/>
    <x v="1"/>
    <n v="551.55132606394534"/>
    <n v="0"/>
    <x v="0"/>
    <x v="10"/>
  </r>
  <r>
    <x v="30"/>
    <x v="3"/>
    <n v="195"/>
    <x v="0"/>
    <n v="520.61798392423862"/>
    <x v="1"/>
    <n v="546.64888312045059"/>
    <n v="0.01"/>
    <x v="0"/>
    <x v="8"/>
  </r>
  <r>
    <x v="141"/>
    <x v="0"/>
    <n v="280"/>
    <x v="0"/>
    <n v="500.0695607629923"/>
    <x v="1"/>
    <n v="525.07303880114193"/>
    <n v="0.03"/>
    <x v="0"/>
    <x v="16"/>
  </r>
  <r>
    <x v="205"/>
    <x v="2"/>
    <n v="250"/>
    <x v="0"/>
    <n v="538.65748315434121"/>
    <x v="0"/>
    <n v="565.59035731205825"/>
    <n v="0.01"/>
    <x v="0"/>
    <x v="1"/>
  </r>
  <r>
    <x v="95"/>
    <x v="6"/>
    <n v="142"/>
    <x v="0"/>
    <n v="518.5553543680594"/>
    <x v="1"/>
    <n v="544.48312208646234"/>
    <n v="0"/>
    <x v="0"/>
    <x v="13"/>
  </r>
  <r>
    <x v="88"/>
    <x v="0"/>
    <n v="280"/>
    <x v="0"/>
    <n v="539.24792541262377"/>
    <x v="0"/>
    <n v="566.21032168325496"/>
    <n v="0.01"/>
    <x v="1"/>
    <x v="31"/>
  </r>
  <r>
    <x v="257"/>
    <x v="0"/>
    <n v="280"/>
    <x v="0"/>
    <n v="512.66464083393112"/>
    <x v="1"/>
    <n v="538.29787287562772"/>
    <n v="0.03"/>
    <x v="1"/>
    <x v="15"/>
  </r>
  <r>
    <x v="310"/>
    <x v="3"/>
    <n v="195"/>
    <x v="0"/>
    <n v="507.85912000002645"/>
    <x v="1"/>
    <n v="533.25207600002784"/>
    <n v="0.02"/>
    <x v="1"/>
    <x v="5"/>
  </r>
  <r>
    <x v="30"/>
    <x v="6"/>
    <n v="142"/>
    <x v="1"/>
    <n v="540.12436611571047"/>
    <x v="0"/>
    <n v="567.130584421496"/>
    <n v="0.02"/>
    <x v="0"/>
    <x v="7"/>
  </r>
  <r>
    <x v="324"/>
    <x v="0"/>
    <n v="280"/>
    <x v="0"/>
    <n v="510.60404242127879"/>
    <x v="1"/>
    <n v="536.1342445423428"/>
    <n v="0.03"/>
    <x v="0"/>
    <x v="6"/>
  </r>
  <r>
    <x v="230"/>
    <x v="2"/>
    <n v="250"/>
    <x v="0"/>
    <n v="528.07724235585465"/>
    <x v="1"/>
    <n v="554.48110447364741"/>
    <n v="0.02"/>
    <x v="0"/>
    <x v="26"/>
  </r>
  <r>
    <x v="243"/>
    <x v="4"/>
    <n v="175"/>
    <x v="2"/>
    <n v="519.28547295903081"/>
    <x v="1"/>
    <n v="545.2497466069824"/>
    <n v="0.02"/>
    <x v="1"/>
    <x v="1"/>
  </r>
  <r>
    <x v="8"/>
    <x v="6"/>
    <n v="142"/>
    <x v="0"/>
    <n v="516.37216607008577"/>
    <x v="1"/>
    <n v="542.1907743735901"/>
    <n v="0.03"/>
    <x v="0"/>
    <x v="35"/>
  </r>
  <r>
    <x v="12"/>
    <x v="4"/>
    <n v="175"/>
    <x v="2"/>
    <n v="512.60784521689584"/>
    <x v="1"/>
    <n v="538.23823747774065"/>
    <n v="0.03"/>
    <x v="0"/>
    <x v="12"/>
  </r>
  <r>
    <x v="209"/>
    <x v="6"/>
    <n v="142"/>
    <x v="1"/>
    <n v="506.56221988731613"/>
    <x v="1"/>
    <n v="531.89033088168196"/>
    <n v="0"/>
    <x v="0"/>
    <x v="10"/>
  </r>
  <r>
    <x v="133"/>
    <x v="7"/>
    <n v="166"/>
    <x v="1"/>
    <n v="509.6459187911214"/>
    <x v="1"/>
    <n v="535.12821473067754"/>
    <n v="0"/>
    <x v="0"/>
    <x v="19"/>
  </r>
  <r>
    <x v="42"/>
    <x v="8"/>
    <n v="188"/>
    <x v="0"/>
    <n v="538.79117699880499"/>
    <x v="0"/>
    <n v="565.73073584874521"/>
    <n v="0.01"/>
    <x v="0"/>
    <x v="18"/>
  </r>
  <r>
    <x v="73"/>
    <x v="7"/>
    <n v="166"/>
    <x v="1"/>
    <n v="510.29810371716121"/>
    <x v="1"/>
    <n v="535.81300890301929"/>
    <n v="0.03"/>
    <x v="1"/>
    <x v="30"/>
  </r>
  <r>
    <x v="210"/>
    <x v="4"/>
    <n v="175"/>
    <x v="2"/>
    <n v="513.24518597485894"/>
    <x v="1"/>
    <n v="538.90744527360187"/>
    <n v="0.03"/>
    <x v="0"/>
    <x v="34"/>
  </r>
  <r>
    <x v="58"/>
    <x v="0"/>
    <n v="280"/>
    <x v="0"/>
    <n v="535.83101830683609"/>
    <x v="0"/>
    <n v="562.62256922217796"/>
    <n v="0"/>
    <x v="0"/>
    <x v="30"/>
  </r>
  <r>
    <x v="325"/>
    <x v="4"/>
    <n v="175"/>
    <x v="2"/>
    <n v="515.65822749898416"/>
    <x v="1"/>
    <n v="541.44113887393337"/>
    <n v="0"/>
    <x v="0"/>
    <x v="0"/>
  </r>
  <r>
    <x v="316"/>
    <x v="5"/>
    <n v="200"/>
    <x v="2"/>
    <n v="546.14279888554665"/>
    <x v="0"/>
    <n v="573.44993882982396"/>
    <n v="0.02"/>
    <x v="0"/>
    <x v="4"/>
  </r>
  <r>
    <x v="120"/>
    <x v="2"/>
    <n v="250"/>
    <x v="0"/>
    <n v="522.4209918789702"/>
    <x v="1"/>
    <n v="548.54204147291875"/>
    <n v="0.01"/>
    <x v="1"/>
    <x v="3"/>
  </r>
  <r>
    <x v="298"/>
    <x v="2"/>
    <n v="250"/>
    <x v="0"/>
    <n v="521.82709859186889"/>
    <x v="1"/>
    <n v="547.91845352146231"/>
    <n v="0.01"/>
    <x v="0"/>
    <x v="30"/>
  </r>
  <r>
    <x v="307"/>
    <x v="2"/>
    <n v="250"/>
    <x v="0"/>
    <n v="532.10561668328137"/>
    <x v="0"/>
    <n v="558.71089751744546"/>
    <n v="0"/>
    <x v="0"/>
    <x v="17"/>
  </r>
  <r>
    <x v="37"/>
    <x v="7"/>
    <n v="166"/>
    <x v="1"/>
    <n v="543.17030865038032"/>
    <x v="0"/>
    <n v="570.32882408289936"/>
    <n v="0"/>
    <x v="1"/>
    <x v="42"/>
  </r>
  <r>
    <x v="326"/>
    <x v="6"/>
    <n v="142"/>
    <x v="1"/>
    <n v="525.75625703933201"/>
    <x v="1"/>
    <n v="552.04406989129859"/>
    <n v="0.03"/>
    <x v="1"/>
    <x v="25"/>
  </r>
  <r>
    <x v="313"/>
    <x v="3"/>
    <n v="195"/>
    <x v="0"/>
    <n v="533.81694524438353"/>
    <x v="0"/>
    <n v="560.50779250660275"/>
    <n v="0.02"/>
    <x v="1"/>
    <x v="28"/>
  </r>
  <r>
    <x v="327"/>
    <x v="8"/>
    <n v="188"/>
    <x v="0"/>
    <n v="518.72620027746143"/>
    <x v="1"/>
    <n v="544.66251029133457"/>
    <n v="0.03"/>
    <x v="1"/>
    <x v="24"/>
  </r>
  <r>
    <x v="37"/>
    <x v="5"/>
    <n v="200"/>
    <x v="2"/>
    <n v="522.36984915148423"/>
    <x v="1"/>
    <n v="548.48834160905847"/>
    <n v="0"/>
    <x v="0"/>
    <x v="19"/>
  </r>
  <r>
    <x v="293"/>
    <x v="2"/>
    <n v="250"/>
    <x v="0"/>
    <n v="548.14709788539403"/>
    <x v="0"/>
    <n v="575.55445277966373"/>
    <n v="0.03"/>
    <x v="0"/>
    <x v="17"/>
  </r>
  <r>
    <x v="155"/>
    <x v="4"/>
    <n v="175"/>
    <x v="2"/>
    <n v="518.25445927714645"/>
    <x v="1"/>
    <n v="544.16718224100384"/>
    <n v="0.03"/>
    <x v="0"/>
    <x v="18"/>
  </r>
  <r>
    <x v="47"/>
    <x v="6"/>
    <n v="142"/>
    <x v="1"/>
    <n v="509.45733688502423"/>
    <x v="1"/>
    <n v="534.93020372927549"/>
    <n v="0.01"/>
    <x v="0"/>
    <x v="4"/>
  </r>
  <r>
    <x v="88"/>
    <x v="5"/>
    <n v="200"/>
    <x v="2"/>
    <n v="537.10010834198147"/>
    <x v="0"/>
    <n v="563.95511375908052"/>
    <n v="0.01"/>
    <x v="1"/>
    <x v="30"/>
  </r>
  <r>
    <x v="133"/>
    <x v="1"/>
    <n v="140"/>
    <x v="1"/>
    <n v="500.3688099110841"/>
    <x v="1"/>
    <n v="525.38725040663837"/>
    <n v="0.03"/>
    <x v="0"/>
    <x v="36"/>
  </r>
  <r>
    <x v="91"/>
    <x v="4"/>
    <n v="175"/>
    <x v="2"/>
    <n v="518.27046302786675"/>
    <x v="1"/>
    <n v="544.18398617926016"/>
    <n v="0.01"/>
    <x v="1"/>
    <x v="27"/>
  </r>
  <r>
    <x v="328"/>
    <x v="1"/>
    <n v="140"/>
    <x v="1"/>
    <n v="521.76896680920981"/>
    <x v="1"/>
    <n v="547.85741514967037"/>
    <n v="0.02"/>
    <x v="1"/>
    <x v="14"/>
  </r>
  <r>
    <x v="280"/>
    <x v="2"/>
    <n v="250"/>
    <x v="0"/>
    <n v="504.48838529845125"/>
    <x v="1"/>
    <n v="529.71280456337388"/>
    <n v="0.03"/>
    <x v="0"/>
    <x v="36"/>
  </r>
  <r>
    <x v="7"/>
    <x v="2"/>
    <n v="250"/>
    <x v="0"/>
    <n v="540.43842704947747"/>
    <x v="0"/>
    <n v="567.46034840195136"/>
    <n v="0"/>
    <x v="1"/>
    <x v="20"/>
  </r>
  <r>
    <x v="290"/>
    <x v="6"/>
    <n v="142"/>
    <x v="0"/>
    <n v="538.07167201173888"/>
    <x v="0"/>
    <n v="564.9752556123259"/>
    <n v="0.03"/>
    <x v="0"/>
    <x v="6"/>
  </r>
  <r>
    <x v="254"/>
    <x v="0"/>
    <n v="280"/>
    <x v="0"/>
    <n v="521.52076680433493"/>
    <x v="1"/>
    <n v="547.59680514455169"/>
    <n v="0.01"/>
    <x v="1"/>
    <x v="4"/>
  </r>
  <r>
    <x v="173"/>
    <x v="3"/>
    <n v="195"/>
    <x v="0"/>
    <n v="522.23568809497556"/>
    <x v="1"/>
    <n v="548.3474724997244"/>
    <n v="0"/>
    <x v="1"/>
    <x v="30"/>
  </r>
  <r>
    <x v="30"/>
    <x v="8"/>
    <n v="188"/>
    <x v="0"/>
    <n v="511.45057095154971"/>
    <x v="1"/>
    <n v="537.02309949912717"/>
    <n v="0"/>
    <x v="1"/>
    <x v="20"/>
  </r>
  <r>
    <x v="82"/>
    <x v="3"/>
    <n v="195"/>
    <x v="0"/>
    <n v="521.10149236882808"/>
    <x v="1"/>
    <n v="547.15656698726946"/>
    <n v="0.01"/>
    <x v="1"/>
    <x v="43"/>
  </r>
  <r>
    <x v="13"/>
    <x v="7"/>
    <n v="166"/>
    <x v="1"/>
    <n v="513.77090762897114"/>
    <x v="1"/>
    <n v="539.45945301041968"/>
    <n v="0.02"/>
    <x v="0"/>
    <x v="14"/>
  </r>
  <r>
    <x v="265"/>
    <x v="5"/>
    <n v="200"/>
    <x v="2"/>
    <n v="520.78521068523605"/>
    <x v="1"/>
    <n v="546.82447121949792"/>
    <n v="0"/>
    <x v="0"/>
    <x v="25"/>
  </r>
  <r>
    <x v="266"/>
    <x v="1"/>
    <n v="140"/>
    <x v="1"/>
    <n v="542.5828881508296"/>
    <x v="0"/>
    <n v="569.71203255837111"/>
    <n v="0.02"/>
    <x v="0"/>
    <x v="24"/>
  </r>
  <r>
    <x v="241"/>
    <x v="4"/>
    <n v="175"/>
    <x v="2"/>
    <n v="511.13727902466235"/>
    <x v="1"/>
    <n v="536.69414297589549"/>
    <n v="0.01"/>
    <x v="0"/>
    <x v="30"/>
  </r>
  <r>
    <x v="170"/>
    <x v="5"/>
    <n v="200"/>
    <x v="2"/>
    <n v="525.9205092944012"/>
    <x v="1"/>
    <n v="552.21653475912126"/>
    <n v="0"/>
    <x v="1"/>
    <x v="42"/>
  </r>
  <r>
    <x v="291"/>
    <x v="5"/>
    <n v="200"/>
    <x v="2"/>
    <n v="528.86333820828986"/>
    <x v="1"/>
    <n v="555.30650511870442"/>
    <n v="0.03"/>
    <x v="1"/>
    <x v="4"/>
  </r>
  <r>
    <x v="214"/>
    <x v="6"/>
    <n v="142"/>
    <x v="0"/>
    <n v="519.55195623034888"/>
    <x v="1"/>
    <n v="545.52955404186639"/>
    <n v="0"/>
    <x v="0"/>
    <x v="24"/>
  </r>
  <r>
    <x v="80"/>
    <x v="7"/>
    <n v="166"/>
    <x v="1"/>
    <n v="538.27063836430716"/>
    <x v="0"/>
    <n v="565.18417028252259"/>
    <n v="0.03"/>
    <x v="0"/>
    <x v="9"/>
  </r>
  <r>
    <x v="70"/>
    <x v="3"/>
    <n v="195"/>
    <x v="0"/>
    <n v="523.69872419486546"/>
    <x v="1"/>
    <n v="549.8836604046088"/>
    <n v="0.02"/>
    <x v="1"/>
    <x v="25"/>
  </r>
  <r>
    <x v="209"/>
    <x v="3"/>
    <n v="195"/>
    <x v="0"/>
    <n v="504.60049294553892"/>
    <x v="1"/>
    <n v="529.83051759281591"/>
    <n v="0.01"/>
    <x v="0"/>
    <x v="29"/>
  </r>
  <r>
    <x v="116"/>
    <x v="5"/>
    <n v="200"/>
    <x v="2"/>
    <n v="551.92979771301452"/>
    <x v="0"/>
    <n v="579.52628759866525"/>
    <n v="0.03"/>
    <x v="0"/>
    <x v="10"/>
  </r>
  <r>
    <x v="51"/>
    <x v="4"/>
    <n v="175"/>
    <x v="2"/>
    <n v="515.87400451963276"/>
    <x v="1"/>
    <n v="541.6677047456144"/>
    <n v="0.02"/>
    <x v="0"/>
    <x v="30"/>
  </r>
  <r>
    <x v="299"/>
    <x v="2"/>
    <n v="250"/>
    <x v="0"/>
    <n v="547.45680116573749"/>
    <x v="0"/>
    <n v="574.82964122402439"/>
    <n v="0.03"/>
    <x v="0"/>
    <x v="6"/>
  </r>
  <r>
    <x v="34"/>
    <x v="7"/>
    <n v="166"/>
    <x v="1"/>
    <n v="539.77561972543208"/>
    <x v="0"/>
    <n v="566.76440071170373"/>
    <n v="0"/>
    <x v="0"/>
    <x v="11"/>
  </r>
  <r>
    <x v="69"/>
    <x v="5"/>
    <n v="200"/>
    <x v="2"/>
    <n v="538.87263656638333"/>
    <x v="0"/>
    <n v="565.81626839470255"/>
    <n v="0.01"/>
    <x v="0"/>
    <x v="28"/>
  </r>
  <r>
    <x v="83"/>
    <x v="0"/>
    <n v="280"/>
    <x v="0"/>
    <n v="510.42896741116056"/>
    <x v="1"/>
    <n v="535.95041578171856"/>
    <n v="0.03"/>
    <x v="0"/>
    <x v="3"/>
  </r>
  <r>
    <x v="57"/>
    <x v="7"/>
    <n v="166"/>
    <x v="1"/>
    <n v="531.90582908687702"/>
    <x v="0"/>
    <n v="558.50112054122087"/>
    <n v="0.01"/>
    <x v="0"/>
    <x v="20"/>
  </r>
  <r>
    <x v="31"/>
    <x v="0"/>
    <n v="280"/>
    <x v="0"/>
    <n v="519.06463378510125"/>
    <x v="1"/>
    <n v="545.01786547435631"/>
    <n v="0"/>
    <x v="1"/>
    <x v="44"/>
  </r>
  <r>
    <x v="20"/>
    <x v="3"/>
    <n v="195"/>
    <x v="0"/>
    <n v="509.72489246629357"/>
    <x v="1"/>
    <n v="535.21113708960831"/>
    <n v="0"/>
    <x v="0"/>
    <x v="8"/>
  </r>
  <r>
    <x v="165"/>
    <x v="6"/>
    <n v="142"/>
    <x v="1"/>
    <n v="530.98400640359978"/>
    <x v="0"/>
    <n v="557.53320672377981"/>
    <n v="0"/>
    <x v="0"/>
    <x v="24"/>
  </r>
  <r>
    <x v="3"/>
    <x v="8"/>
    <n v="188"/>
    <x v="0"/>
    <n v="530.85693253564659"/>
    <x v="0"/>
    <n v="557.3997791624289"/>
    <n v="0.03"/>
    <x v="0"/>
    <x v="28"/>
  </r>
  <r>
    <x v="165"/>
    <x v="2"/>
    <n v="250"/>
    <x v="0"/>
    <n v="531.69098536496676"/>
    <x v="0"/>
    <n v="558.2755346332151"/>
    <n v="0.01"/>
    <x v="0"/>
    <x v="4"/>
  </r>
  <r>
    <x v="1"/>
    <x v="5"/>
    <n v="200"/>
    <x v="2"/>
    <n v="547.6052016602589"/>
    <x v="0"/>
    <n v="574.98546174327191"/>
    <n v="0.02"/>
    <x v="1"/>
    <x v="8"/>
  </r>
  <r>
    <x v="113"/>
    <x v="0"/>
    <n v="280"/>
    <x v="0"/>
    <n v="548.72374274629692"/>
    <x v="0"/>
    <n v="576.15992988361177"/>
    <n v="0"/>
    <x v="0"/>
    <x v="11"/>
  </r>
  <r>
    <x v="329"/>
    <x v="2"/>
    <n v="250"/>
    <x v="0"/>
    <n v="531.73425697314087"/>
    <x v="0"/>
    <n v="558.32096982179792"/>
    <n v="0.03"/>
    <x v="0"/>
    <x v="5"/>
  </r>
  <r>
    <x v="62"/>
    <x v="3"/>
    <n v="195"/>
    <x v="0"/>
    <n v="509.0573205742694"/>
    <x v="1"/>
    <n v="534.51018660298291"/>
    <n v="0.01"/>
    <x v="0"/>
    <x v="32"/>
  </r>
  <r>
    <x v="55"/>
    <x v="4"/>
    <n v="175"/>
    <x v="2"/>
    <n v="511.13727902466235"/>
    <x v="1"/>
    <n v="536.69414297589549"/>
    <n v="0"/>
    <x v="0"/>
    <x v="4"/>
  </r>
  <r>
    <x v="310"/>
    <x v="2"/>
    <n v="250"/>
    <x v="0"/>
    <n v="505.66000096601056"/>
    <x v="1"/>
    <n v="530.94300101431111"/>
    <n v="0"/>
    <x v="0"/>
    <x v="5"/>
  </r>
  <r>
    <x v="34"/>
    <x v="7"/>
    <n v="166"/>
    <x v="1"/>
    <n v="507.44696552903224"/>
    <x v="1"/>
    <n v="532.81931380548383"/>
    <n v="0"/>
    <x v="0"/>
    <x v="3"/>
  </r>
  <r>
    <x v="37"/>
    <x v="4"/>
    <n v="175"/>
    <x v="2"/>
    <n v="522.35858451270997"/>
    <x v="1"/>
    <n v="548.47651373834549"/>
    <n v="0.02"/>
    <x v="1"/>
    <x v="46"/>
  </r>
  <r>
    <x v="214"/>
    <x v="1"/>
    <n v="140"/>
    <x v="1"/>
    <n v="524.84921573084011"/>
    <x v="1"/>
    <n v="551.0916765173821"/>
    <n v="0.01"/>
    <x v="1"/>
    <x v="25"/>
  </r>
  <r>
    <x v="229"/>
    <x v="0"/>
    <n v="280"/>
    <x v="0"/>
    <n v="504.28649989844598"/>
    <x v="1"/>
    <n v="529.5008248933683"/>
    <n v="0.02"/>
    <x v="0"/>
    <x v="28"/>
  </r>
  <r>
    <x v="10"/>
    <x v="3"/>
    <n v="195"/>
    <x v="0"/>
    <n v="536.95007939676725"/>
    <x v="0"/>
    <n v="563.79758336660564"/>
    <n v="0.03"/>
    <x v="0"/>
    <x v="13"/>
  </r>
  <r>
    <x v="240"/>
    <x v="5"/>
    <n v="200"/>
    <x v="2"/>
    <n v="529.64990910984761"/>
    <x v="1"/>
    <n v="556.13240456534004"/>
    <n v="0.01"/>
    <x v="1"/>
    <x v="26"/>
  </r>
  <r>
    <x v="75"/>
    <x v="2"/>
    <n v="250"/>
    <x v="0"/>
    <n v="505.34374041569208"/>
    <x v="1"/>
    <n v="530.61092743647669"/>
    <n v="0.02"/>
    <x v="0"/>
    <x v="35"/>
  </r>
  <r>
    <x v="40"/>
    <x v="3"/>
    <n v="195"/>
    <x v="0"/>
    <n v="540.56898934090987"/>
    <x v="0"/>
    <n v="567.59743880795543"/>
    <n v="0.03"/>
    <x v="1"/>
    <x v="3"/>
  </r>
  <r>
    <x v="313"/>
    <x v="6"/>
    <n v="142"/>
    <x v="1"/>
    <n v="536.02934738317799"/>
    <x v="0"/>
    <n v="562.83081475233689"/>
    <n v="0.02"/>
    <x v="0"/>
    <x v="36"/>
  </r>
  <r>
    <x v="175"/>
    <x v="2"/>
    <n v="250"/>
    <x v="0"/>
    <n v="550.31431262702972"/>
    <x v="0"/>
    <n v="577.83002825838128"/>
    <n v="0"/>
    <x v="0"/>
    <x v="26"/>
  </r>
  <r>
    <x v="330"/>
    <x v="3"/>
    <n v="195"/>
    <x v="0"/>
    <n v="522.66132742271566"/>
    <x v="1"/>
    <n v="548.79439379385144"/>
    <n v="0.01"/>
    <x v="1"/>
    <x v="21"/>
  </r>
  <r>
    <x v="241"/>
    <x v="4"/>
    <n v="175"/>
    <x v="2"/>
    <n v="507.89616855035911"/>
    <x v="1"/>
    <n v="533.29097697787711"/>
    <n v="0"/>
    <x v="0"/>
    <x v="19"/>
  </r>
  <r>
    <x v="127"/>
    <x v="0"/>
    <n v="280"/>
    <x v="0"/>
    <n v="532.84396887959429"/>
    <x v="0"/>
    <n v="559.48616732357402"/>
    <n v="0.02"/>
    <x v="0"/>
    <x v="16"/>
  </r>
  <r>
    <x v="111"/>
    <x v="5"/>
    <n v="200"/>
    <x v="2"/>
    <n v="535.22664521156457"/>
    <x v="0"/>
    <n v="561.9879774721428"/>
    <n v="0.02"/>
    <x v="0"/>
    <x v="0"/>
  </r>
  <r>
    <x v="111"/>
    <x v="5"/>
    <n v="200"/>
    <x v="2"/>
    <n v="551.34416342425357"/>
    <x v="0"/>
    <n v="578.91137159546622"/>
    <n v="0.03"/>
    <x v="0"/>
    <x v="17"/>
  </r>
  <r>
    <x v="246"/>
    <x v="5"/>
    <n v="200"/>
    <x v="2"/>
    <n v="550.11022919093011"/>
    <x v="0"/>
    <n v="577.6157406504766"/>
    <n v="0.03"/>
    <x v="0"/>
    <x v="36"/>
  </r>
  <r>
    <x v="50"/>
    <x v="4"/>
    <n v="175"/>
    <x v="2"/>
    <n v="525.1279664961321"/>
    <x v="1"/>
    <n v="551.38436482093869"/>
    <n v="0"/>
    <x v="1"/>
    <x v="48"/>
  </r>
  <r>
    <x v="331"/>
    <x v="5"/>
    <n v="200"/>
    <x v="2"/>
    <n v="530.0870444747261"/>
    <x v="0"/>
    <n v="556.5913966984624"/>
    <n v="0"/>
    <x v="0"/>
    <x v="10"/>
  </r>
  <r>
    <x v="185"/>
    <x v="1"/>
    <n v="140"/>
    <x v="1"/>
    <n v="512.11005681064762"/>
    <x v="1"/>
    <n v="537.71555965118"/>
    <n v="0"/>
    <x v="0"/>
    <x v="15"/>
  </r>
  <r>
    <x v="77"/>
    <x v="0"/>
    <n v="280"/>
    <x v="0"/>
    <n v="530.80128828675151"/>
    <x v="0"/>
    <n v="557.34135270108914"/>
    <n v="0.01"/>
    <x v="0"/>
    <x v="0"/>
  </r>
  <r>
    <x v="39"/>
    <x v="6"/>
    <n v="142"/>
    <x v="1"/>
    <n v="506.01014753085019"/>
    <x v="1"/>
    <n v="531.31065490739275"/>
    <n v="0.03"/>
    <x v="0"/>
    <x v="35"/>
  </r>
  <r>
    <x v="216"/>
    <x v="8"/>
    <n v="188"/>
    <x v="0"/>
    <n v="524.01763615404161"/>
    <x v="1"/>
    <n v="550.21851796174371"/>
    <n v="0.01"/>
    <x v="0"/>
    <x v="7"/>
  </r>
  <r>
    <x v="162"/>
    <x v="2"/>
    <n v="250"/>
    <x v="0"/>
    <n v="543.5594941294712"/>
    <x v="0"/>
    <n v="570.73746883594481"/>
    <n v="0.02"/>
    <x v="0"/>
    <x v="49"/>
  </r>
  <r>
    <x v="289"/>
    <x v="0"/>
    <n v="280"/>
    <x v="0"/>
    <n v="500.57086992610039"/>
    <x v="1"/>
    <n v="525.59941342240541"/>
    <n v="0.02"/>
    <x v="1"/>
    <x v="49"/>
  </r>
  <r>
    <x v="332"/>
    <x v="2"/>
    <n v="250"/>
    <x v="0"/>
    <n v="506.49248155956138"/>
    <x v="1"/>
    <n v="531.8171056375395"/>
    <n v="0.02"/>
    <x v="0"/>
    <x v="29"/>
  </r>
  <r>
    <x v="250"/>
    <x v="8"/>
    <n v="188"/>
    <x v="0"/>
    <n v="527.30198948940324"/>
    <x v="1"/>
    <n v="553.66708896387343"/>
    <n v="0"/>
    <x v="0"/>
    <x v="6"/>
  </r>
  <r>
    <x v="288"/>
    <x v="3"/>
    <n v="195"/>
    <x v="0"/>
    <n v="515.80396903981818"/>
    <x v="1"/>
    <n v="541.59416749180912"/>
    <n v="0"/>
    <x v="0"/>
    <x v="25"/>
  </r>
  <r>
    <x v="15"/>
    <x v="6"/>
    <n v="142"/>
    <x v="1"/>
    <n v="514.18093541531834"/>
    <x v="1"/>
    <n v="539.88998218608424"/>
    <n v="0.02"/>
    <x v="0"/>
    <x v="11"/>
  </r>
  <r>
    <x v="10"/>
    <x v="5"/>
    <n v="200"/>
    <x v="2"/>
    <n v="554.93409594257264"/>
    <x v="0"/>
    <n v="582.68080073970134"/>
    <n v="0.03"/>
    <x v="0"/>
    <x v="25"/>
  </r>
  <r>
    <x v="333"/>
    <x v="2"/>
    <n v="250"/>
    <x v="0"/>
    <n v="518.05021472657609"/>
    <x v="1"/>
    <n v="543.95272546290494"/>
    <n v="0"/>
    <x v="0"/>
    <x v="9"/>
  </r>
  <r>
    <x v="24"/>
    <x v="3"/>
    <n v="195"/>
    <x v="0"/>
    <n v="530.93543492126355"/>
    <x v="0"/>
    <n v="557.48220666732675"/>
    <n v="0"/>
    <x v="1"/>
    <x v="26"/>
  </r>
  <r>
    <x v="198"/>
    <x v="6"/>
    <n v="142"/>
    <x v="1"/>
    <n v="528.50016354920535"/>
    <x v="1"/>
    <n v="554.92517172666567"/>
    <n v="0.03"/>
    <x v="0"/>
    <x v="8"/>
  </r>
  <r>
    <x v="187"/>
    <x v="0"/>
    <n v="280"/>
    <x v="0"/>
    <n v="505.46858523936589"/>
    <x v="1"/>
    <n v="530.74201450133421"/>
    <n v="0.02"/>
    <x v="0"/>
    <x v="30"/>
  </r>
  <r>
    <x v="18"/>
    <x v="5"/>
    <n v="200"/>
    <x v="2"/>
    <n v="531.49888998096503"/>
    <x v="0"/>
    <n v="558.07383448001326"/>
    <n v="0.01"/>
    <x v="1"/>
    <x v="23"/>
  </r>
  <r>
    <x v="114"/>
    <x v="7"/>
    <n v="166"/>
    <x v="1"/>
    <n v="501.164691140164"/>
    <x v="1"/>
    <n v="526.22292569717217"/>
    <n v="0.01"/>
    <x v="0"/>
    <x v="20"/>
  </r>
  <r>
    <x v="102"/>
    <x v="7"/>
    <n v="166"/>
    <x v="1"/>
    <n v="505.26568734829561"/>
    <x v="1"/>
    <n v="530.52897171571044"/>
    <n v="0.03"/>
    <x v="0"/>
    <x v="3"/>
  </r>
  <r>
    <x v="160"/>
    <x v="8"/>
    <n v="188"/>
    <x v="0"/>
    <n v="518.14262970751497"/>
    <x v="1"/>
    <n v="544.04976119289074"/>
    <n v="0.01"/>
    <x v="1"/>
    <x v="19"/>
  </r>
  <r>
    <x v="286"/>
    <x v="5"/>
    <n v="200"/>
    <x v="2"/>
    <n v="536.15035114196689"/>
    <x v="0"/>
    <n v="562.95786869906522"/>
    <n v="0.01"/>
    <x v="0"/>
    <x v="28"/>
  </r>
  <r>
    <x v="45"/>
    <x v="4"/>
    <n v="175"/>
    <x v="2"/>
    <n v="549.81374811432397"/>
    <x v="0"/>
    <n v="577.30443552004022"/>
    <n v="0.01"/>
    <x v="0"/>
    <x v="36"/>
  </r>
  <r>
    <x v="108"/>
    <x v="6"/>
    <n v="142"/>
    <x v="1"/>
    <n v="544.52494005577137"/>
    <x v="0"/>
    <n v="571.75118705855994"/>
    <n v="0"/>
    <x v="1"/>
    <x v="21"/>
  </r>
  <r>
    <x v="213"/>
    <x v="7"/>
    <n v="166"/>
    <x v="1"/>
    <n v="500.90857264949591"/>
    <x v="1"/>
    <n v="525.9540012819707"/>
    <n v="0"/>
    <x v="1"/>
    <x v="30"/>
  </r>
  <r>
    <x v="244"/>
    <x v="2"/>
    <n v="250"/>
    <x v="0"/>
    <n v="505.83187925644052"/>
    <x v="1"/>
    <n v="531.12347321926256"/>
    <n v="0.02"/>
    <x v="1"/>
    <x v="11"/>
  </r>
  <r>
    <x v="21"/>
    <x v="0"/>
    <n v="280"/>
    <x v="0"/>
    <n v="509.1208864506898"/>
    <x v="1"/>
    <n v="534.57693077322426"/>
    <n v="0.02"/>
    <x v="1"/>
    <x v="4"/>
  </r>
  <r>
    <x v="104"/>
    <x v="7"/>
    <n v="166"/>
    <x v="1"/>
    <n v="514.03301601647854"/>
    <x v="1"/>
    <n v="539.73466681730247"/>
    <n v="0.02"/>
    <x v="0"/>
    <x v="11"/>
  </r>
  <r>
    <x v="44"/>
    <x v="3"/>
    <n v="195"/>
    <x v="0"/>
    <n v="550.79872328364945"/>
    <x v="0"/>
    <n v="578.3386594478319"/>
    <n v="0"/>
    <x v="0"/>
    <x v="30"/>
  </r>
  <r>
    <x v="334"/>
    <x v="0"/>
    <n v="280"/>
    <x v="0"/>
    <n v="533.80204097467413"/>
    <x v="0"/>
    <n v="560.49214302340783"/>
    <n v="0.01"/>
    <x v="1"/>
    <x v="12"/>
  </r>
  <r>
    <x v="100"/>
    <x v="0"/>
    <n v="280"/>
    <x v="0"/>
    <n v="533.41563548090835"/>
    <x v="0"/>
    <n v="560.08641725495374"/>
    <n v="0.01"/>
    <x v="1"/>
    <x v="36"/>
  </r>
  <r>
    <x v="169"/>
    <x v="7"/>
    <n v="166"/>
    <x v="1"/>
    <n v="519.49839297701783"/>
    <x v="1"/>
    <n v="545.47331262586874"/>
    <n v="0"/>
    <x v="0"/>
    <x v="9"/>
  </r>
  <r>
    <x v="154"/>
    <x v="0"/>
    <n v="280"/>
    <x v="0"/>
    <n v="532.18348706279994"/>
    <x v="0"/>
    <n v="558.79266141593996"/>
    <n v="0.03"/>
    <x v="0"/>
    <x v="13"/>
  </r>
  <r>
    <x v="288"/>
    <x v="4"/>
    <n v="175"/>
    <x v="2"/>
    <n v="500.58934638675237"/>
    <x v="1"/>
    <n v="525.61881370609001"/>
    <n v="0"/>
    <x v="0"/>
    <x v="26"/>
  </r>
  <r>
    <x v="37"/>
    <x v="2"/>
    <n v="250"/>
    <x v="0"/>
    <n v="547.5756384298893"/>
    <x v="0"/>
    <n v="574.95442035138376"/>
    <n v="0.02"/>
    <x v="0"/>
    <x v="30"/>
  </r>
  <r>
    <x v="25"/>
    <x v="5"/>
    <n v="200"/>
    <x v="2"/>
    <n v="543.15588830302295"/>
    <x v="0"/>
    <n v="570.31368271817416"/>
    <n v="0.02"/>
    <x v="0"/>
    <x v="9"/>
  </r>
  <r>
    <x v="149"/>
    <x v="7"/>
    <n v="166"/>
    <x v="1"/>
    <n v="541.8656881497036"/>
    <x v="0"/>
    <n v="568.95897255718876"/>
    <n v="0"/>
    <x v="0"/>
    <x v="15"/>
  </r>
  <r>
    <x v="73"/>
    <x v="5"/>
    <n v="200"/>
    <x v="2"/>
    <n v="544.59221482068278"/>
    <x v="0"/>
    <n v="571.82182556171699"/>
    <n v="0"/>
    <x v="1"/>
    <x v="16"/>
  </r>
  <r>
    <x v="149"/>
    <x v="1"/>
    <n v="140"/>
    <x v="1"/>
    <n v="525.84894797417746"/>
    <x v="1"/>
    <n v="552.14139537288634"/>
    <n v="0"/>
    <x v="0"/>
    <x v="26"/>
  </r>
  <r>
    <x v="105"/>
    <x v="3"/>
    <n v="195"/>
    <x v="0"/>
    <n v="546.74455128237059"/>
    <x v="0"/>
    <n v="574.0817788464891"/>
    <n v="0.02"/>
    <x v="0"/>
    <x v="14"/>
  </r>
  <r>
    <x v="316"/>
    <x v="8"/>
    <n v="188"/>
    <x v="0"/>
    <n v="537.87931157309049"/>
    <x v="0"/>
    <n v="564.77327715174499"/>
    <n v="0.03"/>
    <x v="1"/>
    <x v="10"/>
  </r>
  <r>
    <x v="332"/>
    <x v="6"/>
    <n v="142"/>
    <x v="1"/>
    <n v="520.34664399272015"/>
    <x v="1"/>
    <n v="546.36397619235618"/>
    <n v="0.02"/>
    <x v="0"/>
    <x v="14"/>
  </r>
  <r>
    <x v="55"/>
    <x v="6"/>
    <n v="142"/>
    <x v="0"/>
    <n v="528.64331172710627"/>
    <x v="1"/>
    <n v="555.07547731346165"/>
    <n v="0.03"/>
    <x v="1"/>
    <x v="22"/>
  </r>
  <r>
    <x v="23"/>
    <x v="2"/>
    <n v="250"/>
    <x v="0"/>
    <n v="545.13281521069621"/>
    <x v="0"/>
    <n v="572.38945597123109"/>
    <n v="0.01"/>
    <x v="0"/>
    <x v="7"/>
  </r>
  <r>
    <x v="93"/>
    <x v="6"/>
    <n v="142"/>
    <x v="1"/>
    <n v="501.85505379160622"/>
    <x v="1"/>
    <n v="526.9478064811866"/>
    <n v="0.03"/>
    <x v="0"/>
    <x v="10"/>
  </r>
  <r>
    <x v="281"/>
    <x v="3"/>
    <n v="195"/>
    <x v="0"/>
    <n v="505.34398897957453"/>
    <x v="1"/>
    <n v="530.61118842855331"/>
    <n v="0.03"/>
    <x v="1"/>
    <x v="24"/>
  </r>
  <r>
    <x v="183"/>
    <x v="3"/>
    <n v="195"/>
    <x v="0"/>
    <n v="545.92369180967034"/>
    <x v="0"/>
    <n v="573.21987640015391"/>
    <n v="0.01"/>
    <x v="0"/>
    <x v="13"/>
  </r>
  <r>
    <x v="17"/>
    <x v="8"/>
    <n v="188"/>
    <x v="0"/>
    <n v="528.10214571438337"/>
    <x v="1"/>
    <n v="554.50725300010254"/>
    <n v="0.02"/>
    <x v="0"/>
    <x v="9"/>
  </r>
  <r>
    <x v="168"/>
    <x v="4"/>
    <n v="175"/>
    <x v="2"/>
    <n v="519.57871888172485"/>
    <x v="1"/>
    <n v="545.55765482581114"/>
    <n v="0.03"/>
    <x v="1"/>
    <x v="12"/>
  </r>
  <r>
    <x v="1"/>
    <x v="6"/>
    <n v="142"/>
    <x v="1"/>
    <n v="548.96938507606683"/>
    <x v="0"/>
    <n v="576.41785432987024"/>
    <n v="0"/>
    <x v="0"/>
    <x v="11"/>
  </r>
  <r>
    <x v="97"/>
    <x v="8"/>
    <n v="188"/>
    <x v="0"/>
    <n v="543.61770871326735"/>
    <x v="0"/>
    <n v="570.79859414893076"/>
    <n v="0.02"/>
    <x v="1"/>
    <x v="8"/>
  </r>
  <r>
    <x v="173"/>
    <x v="4"/>
    <n v="175"/>
    <x v="2"/>
    <n v="519.40596827341324"/>
    <x v="1"/>
    <n v="545.3762666870839"/>
    <n v="0"/>
    <x v="0"/>
    <x v="28"/>
  </r>
  <r>
    <x v="285"/>
    <x v="5"/>
    <n v="200"/>
    <x v="2"/>
    <n v="519.70393955989039"/>
    <x v="1"/>
    <n v="545.68913653788491"/>
    <n v="0"/>
    <x v="0"/>
    <x v="4"/>
  </r>
  <r>
    <x v="325"/>
    <x v="4"/>
    <n v="175"/>
    <x v="2"/>
    <n v="518.81909754882872"/>
    <x v="1"/>
    <n v="544.76005242627014"/>
    <n v="0"/>
    <x v="0"/>
    <x v="11"/>
  </r>
  <r>
    <x v="173"/>
    <x v="8"/>
    <n v="188"/>
    <x v="0"/>
    <n v="543.82959986958485"/>
    <x v="0"/>
    <n v="571.02107986306407"/>
    <n v="0"/>
    <x v="0"/>
    <x v="15"/>
  </r>
  <r>
    <x v="238"/>
    <x v="2"/>
    <n v="250"/>
    <x v="0"/>
    <n v="534.10379151475354"/>
    <x v="0"/>
    <n v="560.80898109049122"/>
    <n v="0.03"/>
    <x v="0"/>
    <x v="49"/>
  </r>
  <r>
    <x v="300"/>
    <x v="5"/>
    <n v="200"/>
    <x v="2"/>
    <n v="521.1604828125146"/>
    <x v="1"/>
    <n v="547.21850695314038"/>
    <n v="0.03"/>
    <x v="0"/>
    <x v="35"/>
  </r>
  <r>
    <x v="194"/>
    <x v="4"/>
    <n v="175"/>
    <x v="2"/>
    <n v="527.06159043687057"/>
    <x v="1"/>
    <n v="553.41466995871417"/>
    <n v="0.02"/>
    <x v="0"/>
    <x v="34"/>
  </r>
  <r>
    <x v="308"/>
    <x v="2"/>
    <n v="250"/>
    <x v="0"/>
    <n v="511.5940510449318"/>
    <x v="1"/>
    <n v="537.17375359717846"/>
    <n v="0.02"/>
    <x v="0"/>
    <x v="2"/>
  </r>
  <r>
    <x v="154"/>
    <x v="2"/>
    <n v="250"/>
    <x v="0"/>
    <n v="512.63358462888027"/>
    <x v="1"/>
    <n v="538.26526386032435"/>
    <n v="0.03"/>
    <x v="0"/>
    <x v="36"/>
  </r>
  <r>
    <x v="184"/>
    <x v="0"/>
    <n v="280"/>
    <x v="0"/>
    <n v="549.76308945854362"/>
    <x v="0"/>
    <n v="577.25124393147087"/>
    <n v="0.03"/>
    <x v="0"/>
    <x v="29"/>
  </r>
  <r>
    <x v="218"/>
    <x v="5"/>
    <n v="200"/>
    <x v="2"/>
    <n v="534.1992230317237"/>
    <x v="0"/>
    <n v="560.90918418330989"/>
    <n v="0.03"/>
    <x v="1"/>
    <x v="12"/>
  </r>
  <r>
    <x v="153"/>
    <x v="5"/>
    <n v="200"/>
    <x v="2"/>
    <n v="549.20835153889493"/>
    <x v="0"/>
    <n v="576.66876911583972"/>
    <n v="0.02"/>
    <x v="0"/>
    <x v="8"/>
  </r>
  <r>
    <x v="309"/>
    <x v="3"/>
    <n v="195"/>
    <x v="0"/>
    <n v="527.24257247683363"/>
    <x v="1"/>
    <n v="553.60470110067536"/>
    <n v="0.01"/>
    <x v="0"/>
    <x v="6"/>
  </r>
  <r>
    <x v="74"/>
    <x v="0"/>
    <n v="280"/>
    <x v="0"/>
    <n v="512.87874689810451"/>
    <x v="1"/>
    <n v="538.52268424300973"/>
    <n v="0.01"/>
    <x v="1"/>
    <x v="35"/>
  </r>
  <r>
    <x v="245"/>
    <x v="0"/>
    <n v="280"/>
    <x v="0"/>
    <n v="536.0870297490319"/>
    <x v="0"/>
    <n v="562.89138123648354"/>
    <n v="0.02"/>
    <x v="0"/>
    <x v="12"/>
  </r>
  <r>
    <x v="232"/>
    <x v="3"/>
    <n v="195"/>
    <x v="0"/>
    <n v="504.21342122448186"/>
    <x v="1"/>
    <n v="529.42409228570602"/>
    <n v="0.02"/>
    <x v="0"/>
    <x v="28"/>
  </r>
  <r>
    <x v="335"/>
    <x v="6"/>
    <n v="142"/>
    <x v="1"/>
    <n v="547.45072574154256"/>
    <x v="0"/>
    <n v="574.82326202861975"/>
    <n v="0"/>
    <x v="0"/>
    <x v="17"/>
  </r>
  <r>
    <x v="116"/>
    <x v="0"/>
    <n v="280"/>
    <x v="0"/>
    <n v="521.74015295040226"/>
    <x v="1"/>
    <n v="547.82716059792244"/>
    <n v="0.01"/>
    <x v="0"/>
    <x v="3"/>
  </r>
  <r>
    <x v="159"/>
    <x v="7"/>
    <n v="166"/>
    <x v="1"/>
    <n v="523.44593630831423"/>
    <x v="1"/>
    <n v="549.61823312372996"/>
    <n v="0.03"/>
    <x v="1"/>
    <x v="46"/>
  </r>
  <r>
    <x v="230"/>
    <x v="8"/>
    <n v="188"/>
    <x v="0"/>
    <n v="549.77318670776367"/>
    <x v="0"/>
    <n v="577.26184604315188"/>
    <n v="0.01"/>
    <x v="1"/>
    <x v="26"/>
  </r>
  <r>
    <x v="194"/>
    <x v="2"/>
    <n v="250"/>
    <x v="0"/>
    <n v="550.61827245193126"/>
    <x v="0"/>
    <n v="578.14918607452785"/>
    <n v="0.02"/>
    <x v="0"/>
    <x v="10"/>
  </r>
  <r>
    <x v="166"/>
    <x v="4"/>
    <n v="175"/>
    <x v="2"/>
    <n v="547.86158067207543"/>
    <x v="0"/>
    <n v="575.25465970567927"/>
    <n v="0.01"/>
    <x v="0"/>
    <x v="35"/>
  </r>
  <r>
    <x v="32"/>
    <x v="8"/>
    <n v="188"/>
    <x v="0"/>
    <n v="536.98263364990726"/>
    <x v="0"/>
    <n v="563.8317653324026"/>
    <n v="0"/>
    <x v="0"/>
    <x v="15"/>
  </r>
  <r>
    <x v="336"/>
    <x v="6"/>
    <n v="142"/>
    <x v="1"/>
    <n v="507.63806238481902"/>
    <x v="1"/>
    <n v="533.01996550406"/>
    <n v="0.02"/>
    <x v="0"/>
    <x v="34"/>
  </r>
  <r>
    <x v="337"/>
    <x v="6"/>
    <n v="142"/>
    <x v="0"/>
    <n v="507.35532959317061"/>
    <x v="1"/>
    <n v="532.72309607282921"/>
    <n v="0.02"/>
    <x v="1"/>
    <x v="10"/>
  </r>
  <r>
    <x v="155"/>
    <x v="5"/>
    <n v="200"/>
    <x v="2"/>
    <n v="513.89179535901076"/>
    <x v="1"/>
    <n v="539.58638512696132"/>
    <n v="0"/>
    <x v="0"/>
    <x v="29"/>
  </r>
  <r>
    <x v="205"/>
    <x v="5"/>
    <n v="200"/>
    <x v="2"/>
    <n v="535.41912602169396"/>
    <x v="0"/>
    <n v="562.19008232277872"/>
    <n v="0.02"/>
    <x v="0"/>
    <x v="14"/>
  </r>
  <r>
    <x v="53"/>
    <x v="3"/>
    <n v="195"/>
    <x v="0"/>
    <n v="534.98245184583175"/>
    <x v="0"/>
    <n v="561.7315744381234"/>
    <n v="0"/>
    <x v="0"/>
    <x v="20"/>
  </r>
  <r>
    <x v="151"/>
    <x v="3"/>
    <n v="195"/>
    <x v="0"/>
    <n v="528.20233252862909"/>
    <x v="1"/>
    <n v="554.61244915506052"/>
    <n v="0"/>
    <x v="0"/>
    <x v="29"/>
  </r>
  <r>
    <x v="187"/>
    <x v="5"/>
    <n v="200"/>
    <x v="2"/>
    <n v="530.51694370689256"/>
    <x v="0"/>
    <n v="557.04279089223724"/>
    <n v="0.02"/>
    <x v="0"/>
    <x v="3"/>
  </r>
  <r>
    <x v="69"/>
    <x v="6"/>
    <n v="142"/>
    <x v="1"/>
    <n v="537.67637228290096"/>
    <x v="0"/>
    <n v="564.56019089704603"/>
    <n v="0.03"/>
    <x v="0"/>
    <x v="15"/>
  </r>
  <r>
    <x v="330"/>
    <x v="0"/>
    <n v="280"/>
    <x v="0"/>
    <n v="502.51888274725661"/>
    <x v="1"/>
    <n v="527.64482688461942"/>
    <n v="0.02"/>
    <x v="0"/>
    <x v="6"/>
  </r>
  <r>
    <x v="333"/>
    <x v="8"/>
    <n v="188"/>
    <x v="0"/>
    <n v="501.74359127935804"/>
    <x v="1"/>
    <n v="526.83077084332592"/>
    <n v="0.01"/>
    <x v="1"/>
    <x v="17"/>
  </r>
  <r>
    <x v="152"/>
    <x v="3"/>
    <n v="195"/>
    <x v="0"/>
    <n v="539.78458585822955"/>
    <x v="0"/>
    <n v="566.77381515114109"/>
    <n v="0.03"/>
    <x v="0"/>
    <x v="11"/>
  </r>
  <r>
    <x v="31"/>
    <x v="4"/>
    <n v="175"/>
    <x v="2"/>
    <n v="510.48858213303356"/>
    <x v="1"/>
    <n v="536.01301123968528"/>
    <n v="0.02"/>
    <x v="1"/>
    <x v="8"/>
  </r>
  <r>
    <x v="4"/>
    <x v="3"/>
    <n v="195"/>
    <x v="0"/>
    <n v="509.27032159894134"/>
    <x v="1"/>
    <n v="534.73383767888845"/>
    <n v="0.01"/>
    <x v="1"/>
    <x v="15"/>
  </r>
  <r>
    <x v="278"/>
    <x v="6"/>
    <n v="142"/>
    <x v="1"/>
    <n v="523.54025698518581"/>
    <x v="1"/>
    <n v="549.71726983444512"/>
    <n v="0.01"/>
    <x v="0"/>
    <x v="28"/>
  </r>
  <r>
    <x v="17"/>
    <x v="7"/>
    <n v="166"/>
    <x v="1"/>
    <n v="528.22818340192862"/>
    <x v="1"/>
    <n v="554.63959257202509"/>
    <n v="0.02"/>
    <x v="1"/>
    <x v="43"/>
  </r>
  <r>
    <x v="248"/>
    <x v="5"/>
    <n v="200"/>
    <x v="2"/>
    <n v="551.96"/>
    <x v="0"/>
    <n v="579.55800000000011"/>
    <n v="0.03"/>
    <x v="0"/>
    <x v="35"/>
  </r>
  <r>
    <x v="72"/>
    <x v="3"/>
    <n v="195"/>
    <x v="0"/>
    <n v="517.05047594086227"/>
    <x v="1"/>
    <n v="542.90299973790536"/>
    <n v="0"/>
    <x v="1"/>
    <x v="24"/>
  </r>
  <r>
    <x v="280"/>
    <x v="2"/>
    <n v="250"/>
    <x v="0"/>
    <n v="507.07983569034786"/>
    <x v="1"/>
    <n v="532.43382747486532"/>
    <n v="0.02"/>
    <x v="0"/>
    <x v="7"/>
  </r>
  <r>
    <x v="247"/>
    <x v="4"/>
    <n v="175"/>
    <x v="2"/>
    <n v="505.16457390455344"/>
    <x v="1"/>
    <n v="530.42280259978111"/>
    <n v="0"/>
    <x v="0"/>
    <x v="17"/>
  </r>
  <r>
    <x v="289"/>
    <x v="6"/>
    <n v="142"/>
    <x v="1"/>
    <n v="542.51120130133313"/>
    <x v="0"/>
    <n v="569.63676136639981"/>
    <n v="0.02"/>
    <x v="1"/>
    <x v="9"/>
  </r>
  <r>
    <x v="102"/>
    <x v="5"/>
    <n v="200"/>
    <x v="2"/>
    <n v="533.77124059788093"/>
    <x v="0"/>
    <n v="560.45980262777505"/>
    <n v="0.01"/>
    <x v="0"/>
    <x v="28"/>
  </r>
  <r>
    <x v="139"/>
    <x v="8"/>
    <n v="188"/>
    <x v="0"/>
    <n v="522.72925268913059"/>
    <x v="1"/>
    <n v="548.8657153235871"/>
    <n v="0.02"/>
    <x v="0"/>
    <x v="14"/>
  </r>
  <r>
    <x v="71"/>
    <x v="0"/>
    <n v="280"/>
    <x v="0"/>
    <n v="514.47307488404022"/>
    <x v="1"/>
    <n v="540.19672862824223"/>
    <n v="0.03"/>
    <x v="1"/>
    <x v="27"/>
  </r>
  <r>
    <x v="338"/>
    <x v="5"/>
    <n v="200"/>
    <x v="2"/>
    <n v="545.12610863813825"/>
    <x v="0"/>
    <n v="572.38241407004523"/>
    <n v="0.01"/>
    <x v="0"/>
    <x v="34"/>
  </r>
  <r>
    <x v="243"/>
    <x v="8"/>
    <n v="188"/>
    <x v="0"/>
    <n v="518.8632489854599"/>
    <x v="1"/>
    <n v="544.80641143473292"/>
    <n v="0.02"/>
    <x v="1"/>
    <x v="46"/>
  </r>
  <r>
    <x v="299"/>
    <x v="3"/>
    <n v="195"/>
    <x v="0"/>
    <n v="535.2558181057384"/>
    <x v="0"/>
    <n v="562.01860901102532"/>
    <n v="0.03"/>
    <x v="1"/>
    <x v="16"/>
  </r>
  <r>
    <x v="286"/>
    <x v="5"/>
    <n v="200"/>
    <x v="2"/>
    <n v="549.14436499218937"/>
    <x v="0"/>
    <n v="576.60158324179883"/>
    <n v="0.01"/>
    <x v="0"/>
    <x v="20"/>
  </r>
  <r>
    <x v="203"/>
    <x v="7"/>
    <n v="166"/>
    <x v="1"/>
    <n v="524.81328580949776"/>
    <x v="1"/>
    <n v="551.05395009997267"/>
    <n v="0"/>
    <x v="1"/>
    <x v="2"/>
  </r>
  <r>
    <x v="108"/>
    <x v="3"/>
    <n v="195"/>
    <x v="0"/>
    <n v="535.36978637438096"/>
    <x v="0"/>
    <n v="562.13827569310001"/>
    <n v="0.02"/>
    <x v="0"/>
    <x v="19"/>
  </r>
  <r>
    <x v="54"/>
    <x v="5"/>
    <n v="200"/>
    <x v="2"/>
    <n v="535.53038426555486"/>
    <x v="0"/>
    <n v="562.30690347883262"/>
    <n v="0.01"/>
    <x v="1"/>
    <x v="32"/>
  </r>
  <r>
    <x v="268"/>
    <x v="2"/>
    <n v="250"/>
    <x v="0"/>
    <n v="528.67071188674709"/>
    <x v="1"/>
    <n v="555.10424748108449"/>
    <n v="0.01"/>
    <x v="0"/>
    <x v="26"/>
  </r>
  <r>
    <x v="106"/>
    <x v="3"/>
    <n v="195"/>
    <x v="0"/>
    <n v="509.19986615697508"/>
    <x v="1"/>
    <n v="534.65985946482385"/>
    <n v="0.03"/>
    <x v="0"/>
    <x v="35"/>
  </r>
  <r>
    <x v="204"/>
    <x v="6"/>
    <n v="142"/>
    <x v="1"/>
    <n v="533.24797477619268"/>
    <x v="0"/>
    <n v="559.91037351500233"/>
    <n v="0.03"/>
    <x v="1"/>
    <x v="36"/>
  </r>
  <r>
    <x v="30"/>
    <x v="7"/>
    <n v="166"/>
    <x v="1"/>
    <n v="517.80904000386818"/>
    <x v="1"/>
    <n v="543.69949200406165"/>
    <n v="0.01"/>
    <x v="0"/>
    <x v="19"/>
  </r>
  <r>
    <x v="211"/>
    <x v="8"/>
    <n v="188"/>
    <x v="0"/>
    <n v="520.51417839103397"/>
    <x v="1"/>
    <n v="546.53988731058564"/>
    <n v="0.01"/>
    <x v="1"/>
    <x v="49"/>
  </r>
  <r>
    <x v="212"/>
    <x v="4"/>
    <n v="175"/>
    <x v="2"/>
    <n v="511.13727902466235"/>
    <x v="1"/>
    <n v="536.69414297589549"/>
    <n v="0.01"/>
    <x v="0"/>
    <x v="25"/>
  </r>
  <r>
    <x v="148"/>
    <x v="6"/>
    <n v="142"/>
    <x v="1"/>
    <n v="525.17656797434483"/>
    <x v="1"/>
    <n v="551.43539637306208"/>
    <n v="0.02"/>
    <x v="0"/>
    <x v="15"/>
  </r>
  <r>
    <x v="183"/>
    <x v="3"/>
    <n v="195"/>
    <x v="0"/>
    <n v="536.17169674608704"/>
    <x v="0"/>
    <n v="562.98028158339139"/>
    <n v="0"/>
    <x v="1"/>
    <x v="39"/>
  </r>
  <r>
    <x v="39"/>
    <x v="8"/>
    <n v="188"/>
    <x v="0"/>
    <n v="515.51993813767876"/>
    <x v="1"/>
    <n v="541.29593504456273"/>
    <n v="0.01"/>
    <x v="0"/>
    <x v="49"/>
  </r>
  <r>
    <x v="179"/>
    <x v="1"/>
    <n v="140"/>
    <x v="1"/>
    <n v="509.16186894785278"/>
    <x v="1"/>
    <n v="534.61996239524547"/>
    <n v="0.01"/>
    <x v="0"/>
    <x v="1"/>
  </r>
  <r>
    <x v="165"/>
    <x v="2"/>
    <n v="250"/>
    <x v="0"/>
    <n v="525.90819447340164"/>
    <x v="1"/>
    <n v="552.20360419707174"/>
    <n v="0"/>
    <x v="0"/>
    <x v="8"/>
  </r>
  <r>
    <x v="204"/>
    <x v="4"/>
    <n v="175"/>
    <x v="2"/>
    <n v="503.39429270881192"/>
    <x v="1"/>
    <n v="528.56400734425256"/>
    <n v="0.03"/>
    <x v="1"/>
    <x v="21"/>
  </r>
  <r>
    <x v="49"/>
    <x v="5"/>
    <n v="200"/>
    <x v="2"/>
    <n v="537.33386304528631"/>
    <x v="0"/>
    <n v="564.20055619755067"/>
    <n v="0.03"/>
    <x v="0"/>
    <x v="3"/>
  </r>
  <r>
    <x v="39"/>
    <x v="4"/>
    <n v="175"/>
    <x v="2"/>
    <n v="511.13727902466235"/>
    <x v="1"/>
    <n v="536.69414297589549"/>
    <n v="0.02"/>
    <x v="0"/>
    <x v="10"/>
  </r>
  <r>
    <x v="178"/>
    <x v="0"/>
    <n v="280"/>
    <x v="0"/>
    <n v="522.48543200365566"/>
    <x v="1"/>
    <n v="548.60970360383851"/>
    <n v="0.03"/>
    <x v="1"/>
    <x v="19"/>
  </r>
  <r>
    <x v="49"/>
    <x v="5"/>
    <n v="200"/>
    <x v="2"/>
    <n v="529.79647894655136"/>
    <x v="1"/>
    <n v="556.286302893879"/>
    <n v="0"/>
    <x v="1"/>
    <x v="30"/>
  </r>
  <r>
    <x v="149"/>
    <x v="4"/>
    <n v="175"/>
    <x v="2"/>
    <n v="504.53867241586431"/>
    <x v="1"/>
    <n v="529.76560603665757"/>
    <n v="0.02"/>
    <x v="0"/>
    <x v="24"/>
  </r>
  <r>
    <x v="177"/>
    <x v="6"/>
    <n v="142"/>
    <x v="1"/>
    <n v="500.33530914196035"/>
    <x v="1"/>
    <n v="525.35207459905837"/>
    <n v="0"/>
    <x v="0"/>
    <x v="6"/>
  </r>
  <r>
    <x v="317"/>
    <x v="5"/>
    <n v="200"/>
    <x v="2"/>
    <n v="536.59495834927384"/>
    <x v="0"/>
    <n v="563.42470626673753"/>
    <n v="0"/>
    <x v="1"/>
    <x v="27"/>
  </r>
  <r>
    <x v="157"/>
    <x v="0"/>
    <n v="280"/>
    <x v="0"/>
    <n v="549.80474388143921"/>
    <x v="0"/>
    <n v="577.29498107551115"/>
    <n v="0.03"/>
    <x v="0"/>
    <x v="35"/>
  </r>
  <r>
    <x v="285"/>
    <x v="7"/>
    <n v="166"/>
    <x v="1"/>
    <n v="523.35155406822196"/>
    <x v="1"/>
    <n v="549.51913177163306"/>
    <n v="0.03"/>
    <x v="0"/>
    <x v="14"/>
  </r>
  <r>
    <x v="167"/>
    <x v="2"/>
    <n v="250"/>
    <x v="0"/>
    <n v="536.13407296054902"/>
    <x v="0"/>
    <n v="562.94077660857647"/>
    <n v="0"/>
    <x v="0"/>
    <x v="7"/>
  </r>
  <r>
    <x v="3"/>
    <x v="6"/>
    <n v="142"/>
    <x v="0"/>
    <n v="503.7559310605393"/>
    <x v="1"/>
    <n v="528.94372761356624"/>
    <n v="0.02"/>
    <x v="0"/>
    <x v="36"/>
  </r>
  <r>
    <x v="296"/>
    <x v="8"/>
    <n v="188"/>
    <x v="0"/>
    <n v="538.3290420930125"/>
    <x v="0"/>
    <n v="565.24549419766311"/>
    <n v="0.03"/>
    <x v="0"/>
    <x v="24"/>
  </r>
  <r>
    <x v="61"/>
    <x v="1"/>
    <n v="140"/>
    <x v="1"/>
    <n v="534.60893396178471"/>
    <x v="0"/>
    <n v="561.339380659874"/>
    <n v="0"/>
    <x v="0"/>
    <x v="36"/>
  </r>
  <r>
    <x v="63"/>
    <x v="6"/>
    <n v="142"/>
    <x v="1"/>
    <n v="510.8053912661926"/>
    <x v="1"/>
    <n v="536.34566082950221"/>
    <n v="0.02"/>
    <x v="1"/>
    <x v="3"/>
  </r>
  <r>
    <x v="269"/>
    <x v="6"/>
    <n v="142"/>
    <x v="1"/>
    <n v="547.76606447180711"/>
    <x v="0"/>
    <n v="575.15436769539747"/>
    <n v="0.02"/>
    <x v="0"/>
    <x v="34"/>
  </r>
  <r>
    <x v="89"/>
    <x v="1"/>
    <n v="140"/>
    <x v="1"/>
    <n v="547.58858635095748"/>
    <x v="0"/>
    <n v="574.96801566850536"/>
    <n v="0.02"/>
    <x v="1"/>
    <x v="35"/>
  </r>
  <r>
    <x v="271"/>
    <x v="6"/>
    <n v="142"/>
    <x v="1"/>
    <n v="527.60246038357127"/>
    <x v="1"/>
    <n v="553.98258340274981"/>
    <n v="0.02"/>
    <x v="0"/>
    <x v="20"/>
  </r>
  <r>
    <x v="279"/>
    <x v="6"/>
    <n v="142"/>
    <x v="1"/>
    <n v="513.7812314640878"/>
    <x v="1"/>
    <n v="539.47029303729221"/>
    <n v="0.03"/>
    <x v="0"/>
    <x v="36"/>
  </r>
  <r>
    <x v="271"/>
    <x v="4"/>
    <n v="175"/>
    <x v="2"/>
    <n v="508.27042118020563"/>
    <x v="1"/>
    <n v="533.68394223921598"/>
    <n v="0"/>
    <x v="0"/>
    <x v="26"/>
  </r>
  <r>
    <x v="279"/>
    <x v="7"/>
    <n v="166"/>
    <x v="1"/>
    <n v="502.29140903571442"/>
    <x v="1"/>
    <n v="527.40597948750019"/>
    <n v="0.01"/>
    <x v="1"/>
    <x v="26"/>
  </r>
  <r>
    <x v="122"/>
    <x v="3"/>
    <n v="195"/>
    <x v="0"/>
    <n v="526.70510895380721"/>
    <x v="1"/>
    <n v="553.04036440149764"/>
    <n v="0"/>
    <x v="1"/>
    <x v="12"/>
  </r>
  <r>
    <x v="288"/>
    <x v="3"/>
    <n v="195"/>
    <x v="0"/>
    <n v="544.15537163849876"/>
    <x v="0"/>
    <n v="571.3631402204237"/>
    <n v="0.02"/>
    <x v="0"/>
    <x v="9"/>
  </r>
  <r>
    <x v="215"/>
    <x v="0"/>
    <n v="280"/>
    <x v="0"/>
    <n v="503.53947176391466"/>
    <x v="1"/>
    <n v="528.71644535211044"/>
    <n v="0.02"/>
    <x v="0"/>
    <x v="18"/>
  </r>
  <r>
    <x v="42"/>
    <x v="3"/>
    <n v="195"/>
    <x v="0"/>
    <n v="521.78303051548392"/>
    <x v="1"/>
    <n v="547.87218204125816"/>
    <n v="0.02"/>
    <x v="1"/>
    <x v="0"/>
  </r>
  <r>
    <x v="99"/>
    <x v="6"/>
    <n v="142"/>
    <x v="1"/>
    <n v="539.52105589939038"/>
    <x v="0"/>
    <n v="566.49710869435989"/>
    <n v="0"/>
    <x v="0"/>
    <x v="16"/>
  </r>
  <r>
    <x v="220"/>
    <x v="4"/>
    <n v="175"/>
    <x v="2"/>
    <n v="525.49924466842276"/>
    <x v="1"/>
    <n v="551.77420690184397"/>
    <n v="0"/>
    <x v="0"/>
    <x v="5"/>
  </r>
  <r>
    <x v="113"/>
    <x v="3"/>
    <n v="195"/>
    <x v="0"/>
    <n v="533.57601609350058"/>
    <x v="0"/>
    <n v="560.25481689817559"/>
    <n v="0.01"/>
    <x v="0"/>
    <x v="8"/>
  </r>
  <r>
    <x v="339"/>
    <x v="7"/>
    <n v="166"/>
    <x v="1"/>
    <n v="527.67632349783162"/>
    <x v="1"/>
    <n v="554.06013967272327"/>
    <n v="0.03"/>
    <x v="1"/>
    <x v="23"/>
  </r>
  <r>
    <x v="99"/>
    <x v="3"/>
    <n v="195"/>
    <x v="0"/>
    <n v="507.57175024027401"/>
    <x v="1"/>
    <n v="532.95033775228774"/>
    <n v="0.01"/>
    <x v="0"/>
    <x v="15"/>
  </r>
  <r>
    <x v="14"/>
    <x v="1"/>
    <n v="140"/>
    <x v="1"/>
    <n v="513.00795703122094"/>
    <x v="1"/>
    <n v="538.65835488278196"/>
    <n v="0.01"/>
    <x v="0"/>
    <x v="6"/>
  </r>
  <r>
    <x v="304"/>
    <x v="6"/>
    <n v="142"/>
    <x v="1"/>
    <n v="535.86771622484594"/>
    <x v="0"/>
    <n v="562.66110203608821"/>
    <n v="0.01"/>
    <x v="0"/>
    <x v="20"/>
  </r>
  <r>
    <x v="316"/>
    <x v="2"/>
    <n v="250"/>
    <x v="0"/>
    <n v="536.49900626389535"/>
    <x v="0"/>
    <n v="563.32395657709014"/>
    <n v="0.01"/>
    <x v="0"/>
    <x v="5"/>
  </r>
  <r>
    <x v="214"/>
    <x v="1"/>
    <n v="140"/>
    <x v="1"/>
    <n v="544.87413455754722"/>
    <x v="0"/>
    <n v="572.11784128542456"/>
    <n v="0.01"/>
    <x v="0"/>
    <x v="25"/>
  </r>
  <r>
    <x v="59"/>
    <x v="8"/>
    <n v="188"/>
    <x v="0"/>
    <n v="531.47763423534616"/>
    <x v="0"/>
    <n v="558.05151594711344"/>
    <n v="0.03"/>
    <x v="1"/>
    <x v="25"/>
  </r>
  <r>
    <x v="82"/>
    <x v="2"/>
    <n v="250"/>
    <x v="0"/>
    <n v="515.74905112599117"/>
    <x v="1"/>
    <n v="541.5365036822908"/>
    <n v="0"/>
    <x v="1"/>
    <x v="47"/>
  </r>
  <r>
    <x v="282"/>
    <x v="7"/>
    <n v="166"/>
    <x v="1"/>
    <n v="538.47602510509387"/>
    <x v="0"/>
    <n v="565.39982636034858"/>
    <n v="0.01"/>
    <x v="0"/>
    <x v="9"/>
  </r>
  <r>
    <x v="263"/>
    <x v="2"/>
    <n v="250"/>
    <x v="0"/>
    <n v="548.34165942334221"/>
    <x v="0"/>
    <n v="575.75874239450934"/>
    <n v="0"/>
    <x v="0"/>
    <x v="24"/>
  </r>
  <r>
    <x v="105"/>
    <x v="6"/>
    <n v="142"/>
    <x v="0"/>
    <n v="517.73777878689998"/>
    <x v="1"/>
    <n v="543.62466772624498"/>
    <n v="0.01"/>
    <x v="0"/>
    <x v="25"/>
  </r>
  <r>
    <x v="206"/>
    <x v="5"/>
    <n v="200"/>
    <x v="2"/>
    <n v="548.88656006991368"/>
    <x v="0"/>
    <n v="576.33088807340937"/>
    <n v="0.02"/>
    <x v="1"/>
    <x v="35"/>
  </r>
  <r>
    <x v="68"/>
    <x v="3"/>
    <n v="195"/>
    <x v="0"/>
    <n v="504.91062676936497"/>
    <x v="1"/>
    <n v="530.15615810783322"/>
    <n v="0"/>
    <x v="1"/>
    <x v="43"/>
  </r>
  <r>
    <x v="273"/>
    <x v="7"/>
    <n v="166"/>
    <x v="1"/>
    <n v="521.54162511679351"/>
    <x v="1"/>
    <n v="547.61870637263326"/>
    <n v="0.01"/>
    <x v="0"/>
    <x v="25"/>
  </r>
  <r>
    <x v="322"/>
    <x v="4"/>
    <n v="175"/>
    <x v="2"/>
    <n v="527.47439312936694"/>
    <x v="1"/>
    <n v="553.84811278583527"/>
    <n v="0.02"/>
    <x v="0"/>
    <x v="25"/>
  </r>
  <r>
    <x v="60"/>
    <x v="7"/>
    <n v="166"/>
    <x v="1"/>
    <n v="547.93749925884549"/>
    <x v="0"/>
    <n v="575.33437422178781"/>
    <n v="0"/>
    <x v="0"/>
    <x v="6"/>
  </r>
  <r>
    <x v="229"/>
    <x v="2"/>
    <n v="250"/>
    <x v="0"/>
    <n v="513.43335679943812"/>
    <x v="1"/>
    <n v="539.10502463941009"/>
    <n v="0"/>
    <x v="0"/>
    <x v="5"/>
  </r>
  <r>
    <x v="238"/>
    <x v="1"/>
    <n v="140"/>
    <x v="1"/>
    <n v="501.57891366752665"/>
    <x v="1"/>
    <n v="526.65785935090298"/>
    <n v="0"/>
    <x v="0"/>
    <x v="3"/>
  </r>
  <r>
    <x v="290"/>
    <x v="4"/>
    <n v="175"/>
    <x v="2"/>
    <n v="529.82803792813684"/>
    <x v="1"/>
    <n v="556.31943982454368"/>
    <n v="0.03"/>
    <x v="1"/>
    <x v="34"/>
  </r>
  <r>
    <x v="162"/>
    <x v="6"/>
    <n v="142"/>
    <x v="1"/>
    <n v="535.60514185718694"/>
    <x v="0"/>
    <n v="562.38539895004635"/>
    <n v="0.03"/>
    <x v="1"/>
    <x v="19"/>
  </r>
  <r>
    <x v="58"/>
    <x v="6"/>
    <n v="142"/>
    <x v="1"/>
    <n v="509.71307958120542"/>
    <x v="1"/>
    <n v="535.19873356026574"/>
    <n v="0.01"/>
    <x v="0"/>
    <x v="34"/>
  </r>
  <r>
    <x v="37"/>
    <x v="3"/>
    <n v="195"/>
    <x v="0"/>
    <n v="544.80780312079514"/>
    <x v="0"/>
    <n v="572.04819327683492"/>
    <n v="0.02"/>
    <x v="1"/>
    <x v="42"/>
  </r>
  <r>
    <x v="340"/>
    <x v="8"/>
    <n v="188"/>
    <x v="0"/>
    <n v="545.49866649102842"/>
    <x v="0"/>
    <n v="572.77359981557981"/>
    <n v="0.03"/>
    <x v="0"/>
    <x v="13"/>
  </r>
  <r>
    <x v="214"/>
    <x v="5"/>
    <n v="200"/>
    <x v="2"/>
    <n v="551.44504845173742"/>
    <x v="0"/>
    <n v="579.01730087432429"/>
    <n v="0.01"/>
    <x v="1"/>
    <x v="29"/>
  </r>
  <r>
    <x v="298"/>
    <x v="2"/>
    <n v="250"/>
    <x v="0"/>
    <n v="502.5980693503634"/>
    <x v="1"/>
    <n v="527.72797281788155"/>
    <n v="0.02"/>
    <x v="0"/>
    <x v="48"/>
  </r>
  <r>
    <x v="10"/>
    <x v="5"/>
    <n v="200"/>
    <x v="2"/>
    <n v="543.85982950144717"/>
    <x v="0"/>
    <n v="571.05282097651957"/>
    <n v="0"/>
    <x v="0"/>
    <x v="24"/>
  </r>
  <r>
    <x v="91"/>
    <x v="3"/>
    <n v="195"/>
    <x v="0"/>
    <n v="549.61360945463093"/>
    <x v="0"/>
    <n v="577.09428992736252"/>
    <n v="0"/>
    <x v="1"/>
    <x v="17"/>
  </r>
  <r>
    <x v="73"/>
    <x v="1"/>
    <n v="140"/>
    <x v="1"/>
    <n v="512.79645658375466"/>
    <x v="1"/>
    <n v="538.43627941294244"/>
    <n v="0.01"/>
    <x v="0"/>
    <x v="31"/>
  </r>
  <r>
    <x v="104"/>
    <x v="1"/>
    <n v="140"/>
    <x v="1"/>
    <n v="533.03546409924274"/>
    <x v="0"/>
    <n v="559.68723730420493"/>
    <n v="0.03"/>
    <x v="0"/>
    <x v="25"/>
  </r>
  <r>
    <x v="341"/>
    <x v="4"/>
    <n v="175"/>
    <x v="2"/>
    <n v="513.65130156096893"/>
    <x v="1"/>
    <n v="539.3338666390174"/>
    <n v="0"/>
    <x v="0"/>
    <x v="35"/>
  </r>
  <r>
    <x v="60"/>
    <x v="7"/>
    <n v="166"/>
    <x v="1"/>
    <n v="529.12706268340935"/>
    <x v="1"/>
    <n v="555.58341581757986"/>
    <n v="0.01"/>
    <x v="0"/>
    <x v="18"/>
  </r>
  <r>
    <x v="240"/>
    <x v="2"/>
    <n v="250"/>
    <x v="0"/>
    <n v="504.21074028462044"/>
    <x v="1"/>
    <n v="529.42127729885146"/>
    <n v="0"/>
    <x v="1"/>
    <x v="12"/>
  </r>
  <r>
    <x v="256"/>
    <x v="5"/>
    <n v="200"/>
    <x v="2"/>
    <n v="522.81754962265586"/>
    <x v="1"/>
    <n v="548.95842710378872"/>
    <n v="0.02"/>
    <x v="1"/>
    <x v="34"/>
  </r>
  <r>
    <x v="21"/>
    <x v="4"/>
    <n v="175"/>
    <x v="2"/>
    <n v="504.41229730739724"/>
    <x v="1"/>
    <n v="529.63291217276708"/>
    <n v="0.01"/>
    <x v="1"/>
    <x v="17"/>
  </r>
  <r>
    <x v="15"/>
    <x v="3"/>
    <n v="195"/>
    <x v="0"/>
    <n v="515.33053769153776"/>
    <x v="1"/>
    <n v="541.09706457611469"/>
    <n v="0.03"/>
    <x v="0"/>
    <x v="1"/>
  </r>
  <r>
    <x v="228"/>
    <x v="2"/>
    <n v="250"/>
    <x v="0"/>
    <n v="500.50019488799717"/>
    <x v="1"/>
    <n v="525.52520463239705"/>
    <n v="0"/>
    <x v="1"/>
    <x v="26"/>
  </r>
  <r>
    <x v="82"/>
    <x v="2"/>
    <n v="250"/>
    <x v="0"/>
    <n v="507.30419295628508"/>
    <x v="1"/>
    <n v="532.66940260409933"/>
    <n v="0.01"/>
    <x v="0"/>
    <x v="15"/>
  </r>
  <r>
    <x v="155"/>
    <x v="5"/>
    <n v="200"/>
    <x v="2"/>
    <n v="548.66037282141406"/>
    <x v="0"/>
    <n v="576.09339146248476"/>
    <n v="0.03"/>
    <x v="0"/>
    <x v="24"/>
  </r>
  <r>
    <x v="293"/>
    <x v="7"/>
    <n v="166"/>
    <x v="1"/>
    <n v="532.97193798744502"/>
    <x v="0"/>
    <n v="559.62053488681727"/>
    <n v="0.03"/>
    <x v="0"/>
    <x v="34"/>
  </r>
  <r>
    <x v="191"/>
    <x v="3"/>
    <n v="195"/>
    <x v="0"/>
    <n v="526.48078324179005"/>
    <x v="1"/>
    <n v="552.8048224038796"/>
    <n v="0.02"/>
    <x v="0"/>
    <x v="34"/>
  </r>
  <r>
    <x v="172"/>
    <x v="5"/>
    <n v="200"/>
    <x v="2"/>
    <n v="545.89"/>
    <x v="0"/>
    <n v="573.18449999999996"/>
    <n v="0"/>
    <x v="0"/>
    <x v="36"/>
  </r>
  <r>
    <x v="146"/>
    <x v="6"/>
    <n v="142"/>
    <x v="1"/>
    <n v="519.21583428902431"/>
    <x v="1"/>
    <n v="545.17662600347558"/>
    <n v="0.03"/>
    <x v="0"/>
    <x v="25"/>
  </r>
  <r>
    <x v="165"/>
    <x v="8"/>
    <n v="188"/>
    <x v="0"/>
    <n v="533.45215875695067"/>
    <x v="0"/>
    <n v="560.12476669479827"/>
    <n v="0.01"/>
    <x v="0"/>
    <x v="4"/>
  </r>
  <r>
    <x v="7"/>
    <x v="6"/>
    <n v="142"/>
    <x v="1"/>
    <n v="520.92631766317481"/>
    <x v="1"/>
    <n v="546.97263354633355"/>
    <n v="0"/>
    <x v="1"/>
    <x v="41"/>
  </r>
  <r>
    <x v="19"/>
    <x v="3"/>
    <n v="195"/>
    <x v="0"/>
    <n v="508.22532616136868"/>
    <x v="1"/>
    <n v="533.63659246943712"/>
    <n v="0.02"/>
    <x v="0"/>
    <x v="0"/>
  </r>
  <r>
    <x v="305"/>
    <x v="6"/>
    <n v="142"/>
    <x v="0"/>
    <n v="534.90036524120205"/>
    <x v="0"/>
    <n v="561.64538350326222"/>
    <n v="0.03"/>
    <x v="0"/>
    <x v="6"/>
  </r>
  <r>
    <x v="108"/>
    <x v="8"/>
    <n v="188"/>
    <x v="0"/>
    <n v="519.29271769845946"/>
    <x v="1"/>
    <n v="545.2573535833825"/>
    <n v="0.01"/>
    <x v="0"/>
    <x v="4"/>
  </r>
  <r>
    <x v="141"/>
    <x v="3"/>
    <n v="195"/>
    <x v="0"/>
    <n v="518.21791959480515"/>
    <x v="1"/>
    <n v="544.12881557454546"/>
    <n v="0"/>
    <x v="0"/>
    <x v="16"/>
  </r>
  <r>
    <x v="171"/>
    <x v="4"/>
    <n v="175"/>
    <x v="2"/>
    <n v="542.202625246362"/>
    <x v="0"/>
    <n v="569.31275650868008"/>
    <n v="0.03"/>
    <x v="0"/>
    <x v="29"/>
  </r>
  <r>
    <x v="86"/>
    <x v="8"/>
    <n v="188"/>
    <x v="0"/>
    <n v="547.07569583071017"/>
    <x v="0"/>
    <n v="574.42948062224571"/>
    <n v="0.01"/>
    <x v="0"/>
    <x v="29"/>
  </r>
  <r>
    <x v="263"/>
    <x v="2"/>
    <n v="250"/>
    <x v="0"/>
    <n v="532.17310187600015"/>
    <x v="0"/>
    <n v="558.7817569698002"/>
    <n v="0.02"/>
    <x v="1"/>
    <x v="47"/>
  </r>
  <r>
    <x v="66"/>
    <x v="7"/>
    <n v="166"/>
    <x v="1"/>
    <n v="542.97657786781383"/>
    <x v="0"/>
    <n v="570.12540676120454"/>
    <n v="0.02"/>
    <x v="0"/>
    <x v="15"/>
  </r>
  <r>
    <x v="312"/>
    <x v="8"/>
    <n v="188"/>
    <x v="0"/>
    <n v="509.47989935927581"/>
    <x v="1"/>
    <n v="534.9538943272396"/>
    <n v="0"/>
    <x v="0"/>
    <x v="8"/>
  </r>
  <r>
    <x v="44"/>
    <x v="8"/>
    <n v="188"/>
    <x v="0"/>
    <n v="513.46295486884537"/>
    <x v="1"/>
    <n v="539.13610261228769"/>
    <n v="0.03"/>
    <x v="1"/>
    <x v="4"/>
  </r>
  <r>
    <x v="84"/>
    <x v="2"/>
    <n v="250"/>
    <x v="0"/>
    <n v="529.58101440644896"/>
    <x v="1"/>
    <n v="556.06006512677141"/>
    <n v="0.01"/>
    <x v="0"/>
    <x v="13"/>
  </r>
  <r>
    <x v="342"/>
    <x v="4"/>
    <n v="175"/>
    <x v="2"/>
    <n v="511.13727902466235"/>
    <x v="1"/>
    <n v="536.69414297589549"/>
    <n v="0.03"/>
    <x v="0"/>
    <x v="4"/>
  </r>
  <r>
    <x v="185"/>
    <x v="0"/>
    <n v="280"/>
    <x v="0"/>
    <n v="503.89889916406628"/>
    <x v="1"/>
    <n v="529.09384412226962"/>
    <n v="0.03"/>
    <x v="0"/>
    <x v="4"/>
  </r>
  <r>
    <x v="343"/>
    <x v="5"/>
    <n v="200"/>
    <x v="2"/>
    <n v="541.85673634392697"/>
    <x v="0"/>
    <n v="568.94957316112334"/>
    <n v="0"/>
    <x v="0"/>
    <x v="18"/>
  </r>
  <r>
    <x v="54"/>
    <x v="2"/>
    <n v="250"/>
    <x v="0"/>
    <n v="508.88728119887946"/>
    <x v="1"/>
    <n v="534.33164525882341"/>
    <n v="0.01"/>
    <x v="0"/>
    <x v="7"/>
  </r>
  <r>
    <x v="183"/>
    <x v="7"/>
    <n v="166"/>
    <x v="1"/>
    <n v="533.73124521169848"/>
    <x v="0"/>
    <n v="560.41780747228347"/>
    <n v="0.01"/>
    <x v="0"/>
    <x v="6"/>
  </r>
  <r>
    <x v="27"/>
    <x v="6"/>
    <n v="142"/>
    <x v="0"/>
    <n v="542.74294173354065"/>
    <x v="0"/>
    <n v="569.88008882021768"/>
    <n v="0"/>
    <x v="0"/>
    <x v="30"/>
  </r>
  <r>
    <x v="115"/>
    <x v="2"/>
    <n v="250"/>
    <x v="0"/>
    <n v="544.83169118273509"/>
    <x v="0"/>
    <n v="572.07327574187184"/>
    <n v="0"/>
    <x v="0"/>
    <x v="20"/>
  </r>
  <r>
    <x v="94"/>
    <x v="8"/>
    <n v="188"/>
    <x v="0"/>
    <n v="505.30051394302973"/>
    <x v="1"/>
    <n v="530.56553964018121"/>
    <n v="0.01"/>
    <x v="0"/>
    <x v="14"/>
  </r>
  <r>
    <x v="129"/>
    <x v="5"/>
    <n v="200"/>
    <x v="2"/>
    <n v="531.61983805925138"/>
    <x v="0"/>
    <n v="558.20082996221402"/>
    <n v="0.01"/>
    <x v="0"/>
    <x v="1"/>
  </r>
  <r>
    <x v="188"/>
    <x v="0"/>
    <n v="280"/>
    <x v="0"/>
    <n v="520.32363578995501"/>
    <x v="1"/>
    <n v="546.33981757945276"/>
    <n v="0.01"/>
    <x v="1"/>
    <x v="6"/>
  </r>
  <r>
    <x v="190"/>
    <x v="5"/>
    <n v="200"/>
    <x v="2"/>
    <n v="538.60965598210078"/>
    <x v="0"/>
    <n v="565.54013878120588"/>
    <n v="0.02"/>
    <x v="0"/>
    <x v="35"/>
  </r>
  <r>
    <x v="117"/>
    <x v="2"/>
    <n v="250"/>
    <x v="0"/>
    <n v="518.22451243210799"/>
    <x v="1"/>
    <n v="544.13573805371345"/>
    <n v="0.02"/>
    <x v="1"/>
    <x v="26"/>
  </r>
  <r>
    <x v="174"/>
    <x v="5"/>
    <n v="200"/>
    <x v="2"/>
    <n v="541.35330117717967"/>
    <x v="0"/>
    <n v="568.42096623603868"/>
    <n v="0.03"/>
    <x v="0"/>
    <x v="34"/>
  </r>
  <r>
    <x v="194"/>
    <x v="5"/>
    <n v="200"/>
    <x v="2"/>
    <n v="534.68359440909171"/>
    <x v="0"/>
    <n v="561.41777412954627"/>
    <n v="0.02"/>
    <x v="0"/>
    <x v="12"/>
  </r>
  <r>
    <x v="124"/>
    <x v="8"/>
    <n v="188"/>
    <x v="0"/>
    <n v="533.50891399734883"/>
    <x v="0"/>
    <n v="560.18435969721634"/>
    <n v="0.03"/>
    <x v="1"/>
    <x v="9"/>
  </r>
  <r>
    <x v="339"/>
    <x v="1"/>
    <n v="140"/>
    <x v="1"/>
    <n v="511.21290602845966"/>
    <x v="1"/>
    <n v="536.77355132988271"/>
    <n v="0.01"/>
    <x v="0"/>
    <x v="6"/>
  </r>
  <r>
    <x v="294"/>
    <x v="1"/>
    <n v="140"/>
    <x v="1"/>
    <n v="535.44451995396321"/>
    <x v="0"/>
    <n v="562.21674595166144"/>
    <n v="0.03"/>
    <x v="0"/>
    <x v="35"/>
  </r>
  <r>
    <x v="212"/>
    <x v="6"/>
    <n v="142"/>
    <x v="1"/>
    <n v="530.98038561994417"/>
    <x v="0"/>
    <n v="557.52940490094136"/>
    <n v="0.01"/>
    <x v="0"/>
    <x v="35"/>
  </r>
  <r>
    <x v="258"/>
    <x v="5"/>
    <n v="200"/>
    <x v="2"/>
    <n v="524.12251128445905"/>
    <x v="1"/>
    <n v="550.32863684868198"/>
    <n v="0.01"/>
    <x v="0"/>
    <x v="0"/>
  </r>
  <r>
    <x v="23"/>
    <x v="1"/>
    <n v="140"/>
    <x v="1"/>
    <n v="540.95148230286304"/>
    <x v="0"/>
    <n v="567.99905641800626"/>
    <n v="0"/>
    <x v="0"/>
    <x v="9"/>
  </r>
  <r>
    <x v="60"/>
    <x v="2"/>
    <n v="250"/>
    <x v="0"/>
    <n v="505.73398595801609"/>
    <x v="1"/>
    <n v="531.02068525591687"/>
    <n v="0.01"/>
    <x v="0"/>
    <x v="25"/>
  </r>
  <r>
    <x v="219"/>
    <x v="0"/>
    <n v="280"/>
    <x v="0"/>
    <n v="518.70509654133639"/>
    <x v="1"/>
    <n v="544.64035136840323"/>
    <n v="0.01"/>
    <x v="0"/>
    <x v="13"/>
  </r>
  <r>
    <x v="36"/>
    <x v="6"/>
    <n v="142"/>
    <x v="1"/>
    <n v="511.42170763116428"/>
    <x v="1"/>
    <n v="536.99279301272247"/>
    <n v="0.01"/>
    <x v="0"/>
    <x v="11"/>
  </r>
  <r>
    <x v="288"/>
    <x v="1"/>
    <n v="140"/>
    <x v="1"/>
    <n v="500.61041584744999"/>
    <x v="1"/>
    <n v="525.64093663982248"/>
    <n v="0.02"/>
    <x v="1"/>
    <x v="8"/>
  </r>
  <r>
    <x v="96"/>
    <x v="2"/>
    <n v="250"/>
    <x v="0"/>
    <n v="532.61729415612172"/>
    <x v="0"/>
    <n v="559.24815886392787"/>
    <n v="0.03"/>
    <x v="1"/>
    <x v="4"/>
  </r>
  <r>
    <x v="112"/>
    <x v="4"/>
    <n v="175"/>
    <x v="2"/>
    <n v="508.78183429455112"/>
    <x v="1"/>
    <n v="534.22092600927874"/>
    <n v="0.01"/>
    <x v="0"/>
    <x v="14"/>
  </r>
  <r>
    <x v="141"/>
    <x v="6"/>
    <n v="142"/>
    <x v="1"/>
    <n v="517.24556660099552"/>
    <x v="1"/>
    <n v="543.10784493104529"/>
    <n v="0.03"/>
    <x v="0"/>
    <x v="36"/>
  </r>
  <r>
    <x v="23"/>
    <x v="6"/>
    <n v="142"/>
    <x v="0"/>
    <n v="541.63147743650825"/>
    <x v="0"/>
    <n v="568.71305130833366"/>
    <n v="0"/>
    <x v="0"/>
    <x v="9"/>
  </r>
  <r>
    <x v="155"/>
    <x v="6"/>
    <n v="142"/>
    <x v="1"/>
    <n v="534.56326922569951"/>
    <x v="0"/>
    <n v="561.29143268698454"/>
    <n v="0"/>
    <x v="0"/>
    <x v="49"/>
  </r>
  <r>
    <x v="91"/>
    <x v="8"/>
    <n v="188"/>
    <x v="0"/>
    <n v="532.51573341732364"/>
    <x v="0"/>
    <n v="559.14152008818985"/>
    <n v="0.03"/>
    <x v="1"/>
    <x v="28"/>
  </r>
  <r>
    <x v="330"/>
    <x v="0"/>
    <n v="280"/>
    <x v="0"/>
    <n v="504.83785555900158"/>
    <x v="1"/>
    <n v="530.07974833695164"/>
    <n v="0"/>
    <x v="1"/>
    <x v="30"/>
  </r>
  <r>
    <x v="33"/>
    <x v="2"/>
    <n v="250"/>
    <x v="0"/>
    <n v="527.1352324788395"/>
    <x v="1"/>
    <n v="553.49199410278152"/>
    <n v="0.03"/>
    <x v="0"/>
    <x v="1"/>
  </r>
  <r>
    <x v="262"/>
    <x v="3"/>
    <n v="195"/>
    <x v="0"/>
    <n v="538.34255716094958"/>
    <x v="0"/>
    <n v="565.25968501899706"/>
    <n v="0.02"/>
    <x v="0"/>
    <x v="20"/>
  </r>
  <r>
    <x v="319"/>
    <x v="0"/>
    <n v="280"/>
    <x v="0"/>
    <n v="540.38655925911371"/>
    <x v="0"/>
    <n v="567.4058872220694"/>
    <n v="0.03"/>
    <x v="0"/>
    <x v="16"/>
  </r>
  <r>
    <x v="279"/>
    <x v="3"/>
    <n v="195"/>
    <x v="0"/>
    <n v="517.1021064596207"/>
    <x v="1"/>
    <n v="542.9572117826018"/>
    <n v="0.03"/>
    <x v="1"/>
    <x v="10"/>
  </r>
  <r>
    <x v="130"/>
    <x v="4"/>
    <n v="175"/>
    <x v="2"/>
    <n v="538.66408451724965"/>
    <x v="0"/>
    <n v="565.59728874311213"/>
    <n v="0.03"/>
    <x v="0"/>
    <x v="6"/>
  </r>
  <r>
    <x v="67"/>
    <x v="4"/>
    <n v="175"/>
    <x v="2"/>
    <n v="507.89616855035911"/>
    <x v="1"/>
    <n v="533.29097697787711"/>
    <n v="0.02"/>
    <x v="0"/>
    <x v="34"/>
  </r>
  <r>
    <x v="106"/>
    <x v="8"/>
    <n v="188"/>
    <x v="0"/>
    <n v="529.85897678171386"/>
    <x v="1"/>
    <n v="556.35192562079953"/>
    <n v="0.03"/>
    <x v="0"/>
    <x v="6"/>
  </r>
  <r>
    <x v="84"/>
    <x v="2"/>
    <n v="250"/>
    <x v="0"/>
    <n v="524.74698039949726"/>
    <x v="1"/>
    <n v="550.98432941947215"/>
    <n v="0.03"/>
    <x v="0"/>
    <x v="25"/>
  </r>
  <r>
    <x v="93"/>
    <x v="6"/>
    <n v="142"/>
    <x v="1"/>
    <n v="533.99744922362061"/>
    <x v="0"/>
    <n v="560.69732168480164"/>
    <n v="0.02"/>
    <x v="0"/>
    <x v="30"/>
  </r>
  <r>
    <x v="12"/>
    <x v="3"/>
    <n v="195"/>
    <x v="0"/>
    <n v="504.55259129418391"/>
    <x v="1"/>
    <n v="529.78022085889313"/>
    <n v="0.03"/>
    <x v="1"/>
    <x v="36"/>
  </r>
  <r>
    <x v="207"/>
    <x v="8"/>
    <n v="188"/>
    <x v="0"/>
    <n v="548.26875835242754"/>
    <x v="0"/>
    <n v="575.68219627004896"/>
    <n v="0"/>
    <x v="0"/>
    <x v="11"/>
  </r>
  <r>
    <x v="229"/>
    <x v="2"/>
    <n v="250"/>
    <x v="0"/>
    <n v="550.67713769630791"/>
    <x v="0"/>
    <n v="578.21099458112337"/>
    <n v="0"/>
    <x v="0"/>
    <x v="13"/>
  </r>
  <r>
    <x v="274"/>
    <x v="3"/>
    <n v="195"/>
    <x v="0"/>
    <n v="543.83759794197067"/>
    <x v="0"/>
    <n v="571.02947783906927"/>
    <n v="0.03"/>
    <x v="0"/>
    <x v="25"/>
  </r>
  <r>
    <x v="174"/>
    <x v="7"/>
    <n v="166"/>
    <x v="1"/>
    <n v="506.88728879521386"/>
    <x v="1"/>
    <n v="532.2316532349746"/>
    <n v="0.02"/>
    <x v="0"/>
    <x v="2"/>
  </r>
  <r>
    <x v="251"/>
    <x v="5"/>
    <n v="200"/>
    <x v="2"/>
    <n v="553.17012214630086"/>
    <x v="0"/>
    <n v="580.82862825361588"/>
    <n v="0.01"/>
    <x v="0"/>
    <x v="9"/>
  </r>
  <r>
    <x v="218"/>
    <x v="6"/>
    <n v="142"/>
    <x v="1"/>
    <n v="504.89207390766478"/>
    <x v="1"/>
    <n v="530.13667760304804"/>
    <n v="0.02"/>
    <x v="0"/>
    <x v="13"/>
  </r>
  <r>
    <x v="204"/>
    <x v="4"/>
    <n v="175"/>
    <x v="2"/>
    <n v="529.52876239282614"/>
    <x v="1"/>
    <n v="556.00520051246747"/>
    <n v="0.03"/>
    <x v="1"/>
    <x v="17"/>
  </r>
  <r>
    <x v="186"/>
    <x v="4"/>
    <n v="175"/>
    <x v="2"/>
    <n v="504.78613375569239"/>
    <x v="1"/>
    <n v="530.02544044347701"/>
    <n v="0.02"/>
    <x v="0"/>
    <x v="14"/>
  </r>
  <r>
    <x v="306"/>
    <x v="8"/>
    <n v="188"/>
    <x v="0"/>
    <n v="521.39732224413001"/>
    <x v="1"/>
    <n v="547.46718835633658"/>
    <n v="0.02"/>
    <x v="0"/>
    <x v="26"/>
  </r>
  <r>
    <x v="217"/>
    <x v="6"/>
    <n v="142"/>
    <x v="1"/>
    <n v="548.08164462648347"/>
    <x v="0"/>
    <n v="575.48572685780766"/>
    <n v="0.02"/>
    <x v="0"/>
    <x v="16"/>
  </r>
  <r>
    <x v="125"/>
    <x v="0"/>
    <n v="280"/>
    <x v="0"/>
    <n v="510.30758073047946"/>
    <x v="1"/>
    <n v="535.82295976700345"/>
    <n v="0.02"/>
    <x v="0"/>
    <x v="10"/>
  </r>
  <r>
    <x v="154"/>
    <x v="4"/>
    <n v="175"/>
    <x v="2"/>
    <n v="535.74848366456172"/>
    <x v="0"/>
    <n v="562.53590784778987"/>
    <n v="0"/>
    <x v="0"/>
    <x v="0"/>
  </r>
  <r>
    <x v="260"/>
    <x v="4"/>
    <n v="175"/>
    <x v="2"/>
    <n v="521.85875951446997"/>
    <x v="1"/>
    <n v="547.95169749019351"/>
    <n v="0.01"/>
    <x v="1"/>
    <x v="15"/>
  </r>
  <r>
    <x v="145"/>
    <x v="4"/>
    <n v="175"/>
    <x v="2"/>
    <n v="507.89616855035911"/>
    <x v="1"/>
    <n v="533.29097697787711"/>
    <n v="0"/>
    <x v="0"/>
    <x v="15"/>
  </r>
  <r>
    <x v="338"/>
    <x v="8"/>
    <n v="188"/>
    <x v="0"/>
    <n v="506.76232130573317"/>
    <x v="1"/>
    <n v="532.10043737101989"/>
    <n v="0.02"/>
    <x v="0"/>
    <x v="17"/>
  </r>
  <r>
    <x v="178"/>
    <x v="6"/>
    <n v="142"/>
    <x v="1"/>
    <n v="501.79940746721513"/>
    <x v="1"/>
    <n v="526.88937784057589"/>
    <n v="0"/>
    <x v="1"/>
    <x v="8"/>
  </r>
  <r>
    <x v="119"/>
    <x v="3"/>
    <n v="195"/>
    <x v="0"/>
    <n v="521.50637273913708"/>
    <x v="1"/>
    <n v="547.581691376094"/>
    <n v="0"/>
    <x v="0"/>
    <x v="19"/>
  </r>
  <r>
    <x v="44"/>
    <x v="8"/>
    <n v="188"/>
    <x v="0"/>
    <n v="513.39155697721526"/>
    <x v="1"/>
    <n v="539.061134826076"/>
    <n v="0.03"/>
    <x v="1"/>
    <x v="33"/>
  </r>
  <r>
    <x v="58"/>
    <x v="1"/>
    <n v="140"/>
    <x v="1"/>
    <n v="513.94342700538164"/>
    <x v="1"/>
    <n v="539.6405983556507"/>
    <n v="0.02"/>
    <x v="0"/>
    <x v="10"/>
  </r>
  <r>
    <x v="225"/>
    <x v="3"/>
    <n v="195"/>
    <x v="0"/>
    <n v="529.00117267695441"/>
    <x v="1"/>
    <n v="555.4512313108022"/>
    <n v="0.02"/>
    <x v="0"/>
    <x v="29"/>
  </r>
  <r>
    <x v="306"/>
    <x v="5"/>
    <n v="200"/>
    <x v="2"/>
    <n v="549.53666722381786"/>
    <x v="0"/>
    <n v="577.01350058500873"/>
    <n v="0.03"/>
    <x v="0"/>
    <x v="8"/>
  </r>
  <r>
    <x v="275"/>
    <x v="8"/>
    <n v="188"/>
    <x v="0"/>
    <n v="522.84563488608001"/>
    <x v="1"/>
    <n v="548.98791663038401"/>
    <n v="0.03"/>
    <x v="0"/>
    <x v="15"/>
  </r>
  <r>
    <x v="317"/>
    <x v="4"/>
    <n v="175"/>
    <x v="2"/>
    <n v="514.15687286359116"/>
    <x v="1"/>
    <n v="539.86471650677072"/>
    <n v="0"/>
    <x v="0"/>
    <x v="24"/>
  </r>
  <r>
    <x v="253"/>
    <x v="6"/>
    <n v="142"/>
    <x v="1"/>
    <n v="505.32933031367429"/>
    <x v="1"/>
    <n v="530.59579682935805"/>
    <n v="0.02"/>
    <x v="1"/>
    <x v="24"/>
  </r>
  <r>
    <x v="304"/>
    <x v="1"/>
    <n v="140"/>
    <x v="1"/>
    <n v="509.66104761302176"/>
    <x v="1"/>
    <n v="535.14409999367285"/>
    <n v="0"/>
    <x v="0"/>
    <x v="20"/>
  </r>
  <r>
    <x v="148"/>
    <x v="8"/>
    <n v="188"/>
    <x v="0"/>
    <n v="539.0967820835267"/>
    <x v="0"/>
    <n v="566.05162118770306"/>
    <n v="0.01"/>
    <x v="0"/>
    <x v="4"/>
  </r>
  <r>
    <x v="91"/>
    <x v="8"/>
    <n v="188"/>
    <x v="0"/>
    <n v="542.13618212852361"/>
    <x v="0"/>
    <n v="569.24299123494984"/>
    <n v="0.03"/>
    <x v="0"/>
    <x v="3"/>
  </r>
  <r>
    <x v="271"/>
    <x v="0"/>
    <n v="280"/>
    <x v="0"/>
    <n v="532.16498836811934"/>
    <x v="0"/>
    <n v="558.77323778652533"/>
    <n v="0"/>
    <x v="0"/>
    <x v="7"/>
  </r>
  <r>
    <x v="216"/>
    <x v="1"/>
    <n v="140"/>
    <x v="1"/>
    <n v="545.00235341705411"/>
    <x v="0"/>
    <n v="572.25247108790688"/>
    <n v="0"/>
    <x v="0"/>
    <x v="24"/>
  </r>
  <r>
    <x v="199"/>
    <x v="0"/>
    <n v="280"/>
    <x v="0"/>
    <n v="540.15385054248145"/>
    <x v="0"/>
    <n v="567.1615430696055"/>
    <n v="0.01"/>
    <x v="0"/>
    <x v="4"/>
  </r>
  <r>
    <x v="216"/>
    <x v="4"/>
    <n v="175"/>
    <x v="2"/>
    <n v="535.14361334719524"/>
    <x v="0"/>
    <n v="561.900794014555"/>
    <n v="0.02"/>
    <x v="1"/>
    <x v="36"/>
  </r>
  <r>
    <x v="74"/>
    <x v="1"/>
    <n v="140"/>
    <x v="1"/>
    <n v="515.09445342759955"/>
    <x v="1"/>
    <n v="540.84917609897957"/>
    <n v="0"/>
    <x v="0"/>
    <x v="28"/>
  </r>
  <r>
    <x v="176"/>
    <x v="1"/>
    <n v="140"/>
    <x v="1"/>
    <n v="511.72354180741968"/>
    <x v="1"/>
    <n v="537.30971889779073"/>
    <n v="0.02"/>
    <x v="0"/>
    <x v="1"/>
  </r>
  <r>
    <x v="122"/>
    <x v="2"/>
    <n v="250"/>
    <x v="0"/>
    <n v="522.49992465720607"/>
    <x v="1"/>
    <n v="548.62492089006639"/>
    <n v="0"/>
    <x v="0"/>
    <x v="7"/>
  </r>
  <r>
    <x v="222"/>
    <x v="3"/>
    <n v="195"/>
    <x v="0"/>
    <n v="539.85982253248949"/>
    <x v="0"/>
    <n v="566.85281365911396"/>
    <n v="0.01"/>
    <x v="0"/>
    <x v="9"/>
  </r>
  <r>
    <x v="221"/>
    <x v="1"/>
    <n v="140"/>
    <x v="1"/>
    <n v="524.80831585105534"/>
    <x v="1"/>
    <n v="551.04873164360811"/>
    <n v="0"/>
    <x v="0"/>
    <x v="19"/>
  </r>
  <r>
    <x v="95"/>
    <x v="6"/>
    <n v="142"/>
    <x v="1"/>
    <n v="541.72883021908274"/>
    <x v="0"/>
    <n v="568.8152717300369"/>
    <n v="0.01"/>
    <x v="1"/>
    <x v="35"/>
  </r>
  <r>
    <x v="141"/>
    <x v="5"/>
    <n v="200"/>
    <x v="2"/>
    <n v="550.82168913542955"/>
    <x v="0"/>
    <n v="578.36277359220105"/>
    <n v="0.02"/>
    <x v="0"/>
    <x v="3"/>
  </r>
  <r>
    <x v="333"/>
    <x v="4"/>
    <n v="175"/>
    <x v="2"/>
    <n v="509.19258111698491"/>
    <x v="1"/>
    <n v="534.6522101728342"/>
    <n v="0"/>
    <x v="0"/>
    <x v="14"/>
  </r>
  <r>
    <x v="344"/>
    <x v="0"/>
    <n v="280"/>
    <x v="0"/>
    <n v="512.37226393323908"/>
    <x v="1"/>
    <n v="537.99087712990104"/>
    <n v="0.02"/>
    <x v="0"/>
    <x v="0"/>
  </r>
  <r>
    <x v="135"/>
    <x v="4"/>
    <n v="175"/>
    <x v="2"/>
    <n v="507.89616855035911"/>
    <x v="1"/>
    <n v="533.29097697787711"/>
    <n v="0"/>
    <x v="0"/>
    <x v="0"/>
  </r>
  <r>
    <x v="263"/>
    <x v="6"/>
    <n v="142"/>
    <x v="1"/>
    <n v="536.81221341398668"/>
    <x v="0"/>
    <n v="563.65282408468602"/>
    <n v="0.03"/>
    <x v="0"/>
    <x v="0"/>
  </r>
  <r>
    <x v="24"/>
    <x v="2"/>
    <n v="250"/>
    <x v="0"/>
    <n v="515.85032571193733"/>
    <x v="1"/>
    <n v="541.64284199753422"/>
    <n v="0.02"/>
    <x v="1"/>
    <x v="7"/>
  </r>
  <r>
    <x v="172"/>
    <x v="3"/>
    <n v="195"/>
    <x v="0"/>
    <n v="508.50191284840912"/>
    <x v="1"/>
    <n v="533.92700849082962"/>
    <n v="0.02"/>
    <x v="0"/>
    <x v="26"/>
  </r>
  <r>
    <x v="44"/>
    <x v="6"/>
    <n v="142"/>
    <x v="1"/>
    <n v="536.2944076558415"/>
    <x v="0"/>
    <n v="563.10912803863357"/>
    <n v="0.02"/>
    <x v="1"/>
    <x v="47"/>
  </r>
  <r>
    <x v="1"/>
    <x v="8"/>
    <n v="188"/>
    <x v="0"/>
    <n v="541.05129400065744"/>
    <x v="0"/>
    <n v="568.10385870069035"/>
    <n v="0.02"/>
    <x v="1"/>
    <x v="32"/>
  </r>
  <r>
    <x v="345"/>
    <x v="3"/>
    <n v="195"/>
    <x v="0"/>
    <n v="527.8582595676462"/>
    <x v="1"/>
    <n v="554.25117254602856"/>
    <n v="0.03"/>
    <x v="0"/>
    <x v="12"/>
  </r>
  <r>
    <x v="291"/>
    <x v="2"/>
    <n v="250"/>
    <x v="0"/>
    <n v="539.0765244705326"/>
    <x v="0"/>
    <n v="566.03035069405928"/>
    <n v="0"/>
    <x v="0"/>
    <x v="36"/>
  </r>
  <r>
    <x v="236"/>
    <x v="5"/>
    <n v="200"/>
    <x v="2"/>
    <n v="525.37287320585983"/>
    <x v="1"/>
    <n v="551.64151686615287"/>
    <n v="0.02"/>
    <x v="0"/>
    <x v="35"/>
  </r>
  <r>
    <x v="206"/>
    <x v="4"/>
    <n v="175"/>
    <x v="2"/>
    <n v="549.48954294001851"/>
    <x v="0"/>
    <n v="576.96402008701943"/>
    <n v="0.01"/>
    <x v="1"/>
    <x v="7"/>
  </r>
  <r>
    <x v="329"/>
    <x v="6"/>
    <n v="142"/>
    <x v="1"/>
    <n v="503.10500179798237"/>
    <x v="1"/>
    <n v="528.26025188788151"/>
    <n v="0.01"/>
    <x v="0"/>
    <x v="19"/>
  </r>
  <r>
    <x v="218"/>
    <x v="3"/>
    <n v="195"/>
    <x v="0"/>
    <n v="544.73035147968039"/>
    <x v="0"/>
    <n v="571.96686905366448"/>
    <n v="0"/>
    <x v="0"/>
    <x v="1"/>
  </r>
  <r>
    <x v="64"/>
    <x v="8"/>
    <n v="188"/>
    <x v="0"/>
    <n v="549.58894444384168"/>
    <x v="0"/>
    <n v="577.06839166603379"/>
    <n v="0.03"/>
    <x v="0"/>
    <x v="20"/>
  </r>
  <r>
    <x v="39"/>
    <x v="6"/>
    <n v="142"/>
    <x v="0"/>
    <n v="500.52852822248497"/>
    <x v="1"/>
    <n v="525.55495463360921"/>
    <n v="0"/>
    <x v="1"/>
    <x v="19"/>
  </r>
  <r>
    <x v="280"/>
    <x v="3"/>
    <n v="195"/>
    <x v="0"/>
    <n v="548.84787032102213"/>
    <x v="0"/>
    <n v="576.29026383707321"/>
    <n v="0"/>
    <x v="0"/>
    <x v="30"/>
  </r>
  <r>
    <x v="201"/>
    <x v="0"/>
    <n v="280"/>
    <x v="0"/>
    <n v="545.05870640799549"/>
    <x v="0"/>
    <n v="572.31164172839533"/>
    <n v="0.01"/>
    <x v="0"/>
    <x v="0"/>
  </r>
  <r>
    <x v="169"/>
    <x v="8"/>
    <n v="188"/>
    <x v="0"/>
    <n v="510.59021650708473"/>
    <x v="1"/>
    <n v="536.11972733243897"/>
    <n v="0.01"/>
    <x v="0"/>
    <x v="2"/>
  </r>
  <r>
    <x v="285"/>
    <x v="0"/>
    <n v="280"/>
    <x v="0"/>
    <n v="509.69459623315925"/>
    <x v="1"/>
    <n v="535.17932604481723"/>
    <n v="0"/>
    <x v="1"/>
    <x v="5"/>
  </r>
  <r>
    <x v="206"/>
    <x v="5"/>
    <n v="200"/>
    <x v="2"/>
    <n v="550.23"/>
    <x v="0"/>
    <n v="577.74150000000009"/>
    <n v="0.02"/>
    <x v="0"/>
    <x v="1"/>
  </r>
  <r>
    <x v="330"/>
    <x v="3"/>
    <n v="195"/>
    <x v="0"/>
    <n v="500.95417068886854"/>
    <x v="1"/>
    <n v="526.00187922331202"/>
    <n v="0.01"/>
    <x v="0"/>
    <x v="1"/>
  </r>
  <r>
    <x v="134"/>
    <x v="8"/>
    <n v="188"/>
    <x v="0"/>
    <n v="511.36846383039301"/>
    <x v="1"/>
    <n v="536.93688702191264"/>
    <n v="0.01"/>
    <x v="0"/>
    <x v="1"/>
  </r>
  <r>
    <x v="137"/>
    <x v="3"/>
    <n v="195"/>
    <x v="0"/>
    <n v="530.97689227011415"/>
    <x v="0"/>
    <n v="557.52573688361986"/>
    <n v="0.03"/>
    <x v="0"/>
    <x v="13"/>
  </r>
  <r>
    <x v="93"/>
    <x v="3"/>
    <n v="195"/>
    <x v="0"/>
    <n v="531.23805715600702"/>
    <x v="0"/>
    <n v="557.79996001380744"/>
    <n v="0"/>
    <x v="0"/>
    <x v="35"/>
  </r>
  <r>
    <x v="304"/>
    <x v="2"/>
    <n v="250"/>
    <x v="0"/>
    <n v="535.27399626474198"/>
    <x v="0"/>
    <n v="562.03769607797915"/>
    <n v="0.02"/>
    <x v="1"/>
    <x v="38"/>
  </r>
  <r>
    <x v="216"/>
    <x v="6"/>
    <n v="142"/>
    <x v="0"/>
    <n v="509.42518692111207"/>
    <x v="1"/>
    <n v="534.89644626716768"/>
    <n v="0"/>
    <x v="1"/>
    <x v="29"/>
  </r>
  <r>
    <x v="15"/>
    <x v="7"/>
    <n v="166"/>
    <x v="0"/>
    <n v="513.12597194762202"/>
    <x v="1"/>
    <n v="538.78227054500314"/>
    <n v="0"/>
    <x v="0"/>
    <x v="34"/>
  </r>
  <r>
    <x v="248"/>
    <x v="2"/>
    <n v="250"/>
    <x v="0"/>
    <n v="509.10485266906016"/>
    <x v="1"/>
    <n v="534.56009530251322"/>
    <n v="0.03"/>
    <x v="1"/>
    <x v="44"/>
  </r>
  <r>
    <x v="242"/>
    <x v="2"/>
    <n v="250"/>
    <x v="0"/>
    <n v="537.05322661933042"/>
    <x v="0"/>
    <n v="563.90588795029691"/>
    <n v="0.01"/>
    <x v="0"/>
    <x v="36"/>
  </r>
  <r>
    <x v="127"/>
    <x v="1"/>
    <n v="140"/>
    <x v="1"/>
    <n v="536.74031451484825"/>
    <x v="0"/>
    <n v="563.57733024059064"/>
    <n v="0.01"/>
    <x v="0"/>
    <x v="0"/>
  </r>
  <r>
    <x v="250"/>
    <x v="4"/>
    <n v="175"/>
    <x v="2"/>
    <n v="528.70966268324901"/>
    <x v="1"/>
    <n v="555.1451458174115"/>
    <n v="0.01"/>
    <x v="1"/>
    <x v="39"/>
  </r>
  <r>
    <x v="51"/>
    <x v="0"/>
    <n v="280"/>
    <x v="0"/>
    <n v="523.4921481589181"/>
    <x v="1"/>
    <n v="549.66675556686403"/>
    <n v="0.03"/>
    <x v="0"/>
    <x v="25"/>
  </r>
  <r>
    <x v="157"/>
    <x v="2"/>
    <n v="250"/>
    <x v="0"/>
    <n v="510.20517015771657"/>
    <x v="1"/>
    <n v="535.71542866560242"/>
    <n v="0.01"/>
    <x v="1"/>
    <x v="26"/>
  </r>
  <r>
    <x v="276"/>
    <x v="1"/>
    <n v="140"/>
    <x v="1"/>
    <n v="514.25953859320089"/>
    <x v="1"/>
    <n v="539.97251552286093"/>
    <n v="0"/>
    <x v="0"/>
    <x v="2"/>
  </r>
  <r>
    <x v="331"/>
    <x v="4"/>
    <n v="175"/>
    <x v="2"/>
    <n v="501.83349962891953"/>
    <x v="1"/>
    <n v="526.9251746103655"/>
    <n v="0.01"/>
    <x v="0"/>
    <x v="0"/>
  </r>
  <r>
    <x v="144"/>
    <x v="3"/>
    <n v="195"/>
    <x v="0"/>
    <n v="510.91104530667963"/>
    <x v="1"/>
    <n v="536.45659757201361"/>
    <n v="0.01"/>
    <x v="0"/>
    <x v="9"/>
  </r>
  <r>
    <x v="195"/>
    <x v="1"/>
    <n v="140"/>
    <x v="1"/>
    <n v="540.00632066486924"/>
    <x v="0"/>
    <n v="567.00663669811274"/>
    <n v="0"/>
    <x v="0"/>
    <x v="34"/>
  </r>
  <r>
    <x v="56"/>
    <x v="3"/>
    <n v="195"/>
    <x v="0"/>
    <n v="549.72659519901936"/>
    <x v="0"/>
    <n v="577.21292495897035"/>
    <n v="0"/>
    <x v="1"/>
    <x v="11"/>
  </r>
  <r>
    <x v="334"/>
    <x v="6"/>
    <n v="142"/>
    <x v="0"/>
    <n v="518.43419684007495"/>
    <x v="1"/>
    <n v="544.35590668207874"/>
    <n v="0.02"/>
    <x v="1"/>
    <x v="0"/>
  </r>
  <r>
    <x v="272"/>
    <x v="2"/>
    <n v="250"/>
    <x v="0"/>
    <n v="504.05825170424032"/>
    <x v="1"/>
    <n v="529.26116428945238"/>
    <n v="0.03"/>
    <x v="0"/>
    <x v="30"/>
  </r>
  <r>
    <x v="322"/>
    <x v="8"/>
    <n v="188"/>
    <x v="0"/>
    <n v="508.91998688003423"/>
    <x v="1"/>
    <n v="534.36598622403596"/>
    <n v="0.02"/>
    <x v="0"/>
    <x v="2"/>
  </r>
  <r>
    <x v="153"/>
    <x v="5"/>
    <n v="200"/>
    <x v="2"/>
    <n v="540.8625966888776"/>
    <x v="0"/>
    <n v="567.9057265233215"/>
    <n v="0"/>
    <x v="0"/>
    <x v="8"/>
  </r>
  <r>
    <x v="325"/>
    <x v="6"/>
    <n v="142"/>
    <x v="1"/>
    <n v="537.5434337605584"/>
    <x v="0"/>
    <n v="564.42060544858634"/>
    <n v="0.03"/>
    <x v="0"/>
    <x v="34"/>
  </r>
  <r>
    <x v="234"/>
    <x v="3"/>
    <n v="195"/>
    <x v="0"/>
    <n v="531.24010086317594"/>
    <x v="0"/>
    <n v="557.80210590633476"/>
    <n v="0.03"/>
    <x v="0"/>
    <x v="19"/>
  </r>
  <r>
    <x v="130"/>
    <x v="5"/>
    <n v="200"/>
    <x v="2"/>
    <n v="549.46676420352014"/>
    <x v="0"/>
    <n v="576.9401024136962"/>
    <n v="0.03"/>
    <x v="0"/>
    <x v="11"/>
  </r>
  <r>
    <x v="24"/>
    <x v="1"/>
    <n v="140"/>
    <x v="1"/>
    <n v="549.16772952155952"/>
    <x v="0"/>
    <n v="576.6261159976375"/>
    <n v="0.01"/>
    <x v="0"/>
    <x v="0"/>
  </r>
  <r>
    <x v="216"/>
    <x v="7"/>
    <n v="166"/>
    <x v="1"/>
    <n v="534.10621860812535"/>
    <x v="0"/>
    <n v="560.81152953853166"/>
    <n v="0.03"/>
    <x v="0"/>
    <x v="3"/>
  </r>
  <r>
    <x v="107"/>
    <x v="4"/>
    <n v="175"/>
    <x v="2"/>
    <n v="529.09922180496142"/>
    <x v="1"/>
    <n v="555.55418289520946"/>
    <n v="0.01"/>
    <x v="0"/>
    <x v="4"/>
  </r>
  <r>
    <x v="101"/>
    <x v="7"/>
    <n v="166"/>
    <x v="0"/>
    <n v="515.75124658082404"/>
    <x v="1"/>
    <n v="541.53880890986522"/>
    <n v="0.01"/>
    <x v="1"/>
    <x v="0"/>
  </r>
  <r>
    <x v="37"/>
    <x v="1"/>
    <n v="140"/>
    <x v="1"/>
    <n v="506.03233767385154"/>
    <x v="1"/>
    <n v="531.33395455754419"/>
    <n v="0.03"/>
    <x v="0"/>
    <x v="29"/>
  </r>
  <r>
    <x v="150"/>
    <x v="4"/>
    <n v="175"/>
    <x v="2"/>
    <n v="528.01642141646698"/>
    <x v="1"/>
    <n v="554.41724248729031"/>
    <n v="0.02"/>
    <x v="1"/>
    <x v="21"/>
  </r>
  <r>
    <x v="316"/>
    <x v="2"/>
    <n v="250"/>
    <x v="0"/>
    <n v="519.70741292981165"/>
    <x v="1"/>
    <n v="545.6927835763023"/>
    <n v="0"/>
    <x v="0"/>
    <x v="19"/>
  </r>
  <r>
    <x v="201"/>
    <x v="4"/>
    <n v="175"/>
    <x v="2"/>
    <n v="514.74726031309456"/>
    <x v="1"/>
    <n v="540.48462332874931"/>
    <n v="0.03"/>
    <x v="1"/>
    <x v="10"/>
  </r>
  <r>
    <x v="222"/>
    <x v="3"/>
    <n v="195"/>
    <x v="0"/>
    <n v="509.48508708085137"/>
    <x v="1"/>
    <n v="534.95934143489399"/>
    <n v="0.02"/>
    <x v="0"/>
    <x v="34"/>
  </r>
  <r>
    <x v="191"/>
    <x v="5"/>
    <n v="200"/>
    <x v="2"/>
    <n v="513.67292486695806"/>
    <x v="1"/>
    <n v="539.35657111030594"/>
    <n v="0"/>
    <x v="1"/>
    <x v="10"/>
  </r>
  <r>
    <x v="202"/>
    <x v="3"/>
    <n v="195"/>
    <x v="0"/>
    <n v="524.26418556062617"/>
    <x v="1"/>
    <n v="550.47739483865746"/>
    <n v="0.01"/>
    <x v="1"/>
    <x v="34"/>
  </r>
  <r>
    <x v="346"/>
    <x v="6"/>
    <n v="142"/>
    <x v="1"/>
    <n v="542.51900730538364"/>
    <x v="0"/>
    <n v="569.64495767065284"/>
    <n v="0"/>
    <x v="1"/>
    <x v="21"/>
  </r>
  <r>
    <x v="288"/>
    <x v="2"/>
    <n v="250"/>
    <x v="0"/>
    <n v="521.01236693028841"/>
    <x v="1"/>
    <n v="547.06298527680281"/>
    <n v="0.02"/>
    <x v="0"/>
    <x v="17"/>
  </r>
  <r>
    <x v="347"/>
    <x v="2"/>
    <n v="250"/>
    <x v="0"/>
    <n v="506.05490097335678"/>
    <x v="1"/>
    <n v="531.3576460220246"/>
    <n v="0.01"/>
    <x v="1"/>
    <x v="2"/>
  </r>
  <r>
    <x v="176"/>
    <x v="4"/>
    <n v="175"/>
    <x v="2"/>
    <n v="532.25722843492622"/>
    <x v="0"/>
    <n v="558.87008985667251"/>
    <n v="0.03"/>
    <x v="0"/>
    <x v="5"/>
  </r>
  <r>
    <x v="84"/>
    <x v="5"/>
    <n v="200"/>
    <x v="2"/>
    <n v="524.22956107975278"/>
    <x v="1"/>
    <n v="550.44103913374045"/>
    <n v="0.02"/>
    <x v="0"/>
    <x v="29"/>
  </r>
  <r>
    <x v="171"/>
    <x v="7"/>
    <n v="166"/>
    <x v="0"/>
    <n v="524.32761470170044"/>
    <x v="1"/>
    <n v="550.54399543678551"/>
    <n v="0.01"/>
    <x v="1"/>
    <x v="14"/>
  </r>
  <r>
    <x v="43"/>
    <x v="1"/>
    <n v="140"/>
    <x v="1"/>
    <n v="544.5237347404036"/>
    <x v="0"/>
    <n v="571.74992147742375"/>
    <n v="0"/>
    <x v="1"/>
    <x v="0"/>
  </r>
  <r>
    <x v="254"/>
    <x v="7"/>
    <n v="166"/>
    <x v="1"/>
    <n v="550.28047615062314"/>
    <x v="0"/>
    <n v="577.79449995815435"/>
    <n v="0.03"/>
    <x v="0"/>
    <x v="36"/>
  </r>
  <r>
    <x v="325"/>
    <x v="5"/>
    <n v="200"/>
    <x v="2"/>
    <n v="538.00076023530255"/>
    <x v="0"/>
    <n v="564.90079824706766"/>
    <n v="0"/>
    <x v="0"/>
    <x v="29"/>
  </r>
  <r>
    <x v="83"/>
    <x v="7"/>
    <n v="166"/>
    <x v="1"/>
    <n v="539.46820503043728"/>
    <x v="0"/>
    <n v="566.44161528195912"/>
    <n v="0.03"/>
    <x v="0"/>
    <x v="18"/>
  </r>
  <r>
    <x v="98"/>
    <x v="3"/>
    <n v="195"/>
    <x v="0"/>
    <n v="542.40699319184569"/>
    <x v="0"/>
    <n v="569.52734285143799"/>
    <n v="0.03"/>
    <x v="1"/>
    <x v="30"/>
  </r>
  <r>
    <x v="204"/>
    <x v="2"/>
    <n v="250"/>
    <x v="0"/>
    <n v="503.29400566694949"/>
    <x v="1"/>
    <n v="528.45870595029703"/>
    <n v="0.01"/>
    <x v="0"/>
    <x v="28"/>
  </r>
  <r>
    <x v="161"/>
    <x v="4"/>
    <n v="175"/>
    <x v="2"/>
    <n v="510.12433172675537"/>
    <x v="1"/>
    <n v="535.63054831309319"/>
    <n v="0"/>
    <x v="0"/>
    <x v="12"/>
  </r>
  <r>
    <x v="168"/>
    <x v="3"/>
    <n v="195"/>
    <x v="0"/>
    <n v="527.09025441455196"/>
    <x v="1"/>
    <n v="553.44476713527956"/>
    <n v="0"/>
    <x v="0"/>
    <x v="24"/>
  </r>
  <r>
    <x v="348"/>
    <x v="1"/>
    <n v="140"/>
    <x v="1"/>
    <n v="510.49213253917696"/>
    <x v="1"/>
    <n v="536.01673916613584"/>
    <n v="0.01"/>
    <x v="0"/>
    <x v="9"/>
  </r>
  <r>
    <x v="349"/>
    <x v="2"/>
    <n v="250"/>
    <x v="0"/>
    <n v="530.8265901176519"/>
    <x v="0"/>
    <n v="557.36791962353448"/>
    <n v="0.01"/>
    <x v="0"/>
    <x v="16"/>
  </r>
  <r>
    <x v="294"/>
    <x v="3"/>
    <n v="195"/>
    <x v="0"/>
    <n v="549.61611867993633"/>
    <x v="0"/>
    <n v="577.0969246139332"/>
    <n v="0.01"/>
    <x v="0"/>
    <x v="49"/>
  </r>
  <r>
    <x v="64"/>
    <x v="4"/>
    <n v="175"/>
    <x v="2"/>
    <n v="509.25721866344338"/>
    <x v="1"/>
    <n v="534.72007959661562"/>
    <n v="0.01"/>
    <x v="0"/>
    <x v="0"/>
  </r>
  <r>
    <x v="33"/>
    <x v="0"/>
    <n v="280"/>
    <x v="0"/>
    <n v="521.63003904019752"/>
    <x v="1"/>
    <n v="547.71154099220746"/>
    <n v="0.03"/>
    <x v="1"/>
    <x v="41"/>
  </r>
  <r>
    <x v="2"/>
    <x v="5"/>
    <n v="200"/>
    <x v="2"/>
    <n v="539.83321969413919"/>
    <x v="0"/>
    <n v="566.82488067884617"/>
    <n v="0.02"/>
    <x v="0"/>
    <x v="36"/>
  </r>
  <r>
    <x v="186"/>
    <x v="3"/>
    <n v="195"/>
    <x v="0"/>
    <n v="502.26728441236901"/>
    <x v="1"/>
    <n v="527.38064863298746"/>
    <n v="0"/>
    <x v="1"/>
    <x v="39"/>
  </r>
  <r>
    <x v="350"/>
    <x v="8"/>
    <n v="188"/>
    <x v="0"/>
    <n v="545.95557049624222"/>
    <x v="0"/>
    <n v="573.25334902105431"/>
    <n v="0.02"/>
    <x v="0"/>
    <x v="34"/>
  </r>
  <r>
    <x v="284"/>
    <x v="8"/>
    <n v="188"/>
    <x v="0"/>
    <n v="523.99069128509927"/>
    <x v="1"/>
    <n v="550.19022584935431"/>
    <n v="0.02"/>
    <x v="1"/>
    <x v="48"/>
  </r>
  <r>
    <x v="56"/>
    <x v="0"/>
    <n v="280"/>
    <x v="0"/>
    <n v="545.67079274231583"/>
    <x v="0"/>
    <n v="572.95433237943166"/>
    <n v="0.03"/>
    <x v="0"/>
    <x v="9"/>
  </r>
  <r>
    <x v="51"/>
    <x v="2"/>
    <n v="250"/>
    <x v="0"/>
    <n v="532.33308513092834"/>
    <x v="0"/>
    <n v="558.94973938747478"/>
    <n v="0.03"/>
    <x v="0"/>
    <x v="26"/>
  </r>
  <r>
    <x v="136"/>
    <x v="1"/>
    <n v="140"/>
    <x v="1"/>
    <n v="542.99052550382112"/>
    <x v="0"/>
    <n v="570.1400517790122"/>
    <n v="0"/>
    <x v="0"/>
    <x v="28"/>
  </r>
  <r>
    <x v="102"/>
    <x v="6"/>
    <n v="142"/>
    <x v="1"/>
    <n v="512.68206684549659"/>
    <x v="1"/>
    <n v="538.31617018777149"/>
    <n v="0.02"/>
    <x v="1"/>
    <x v="15"/>
  </r>
  <r>
    <x v="19"/>
    <x v="1"/>
    <n v="140"/>
    <x v="1"/>
    <n v="523.42035400603345"/>
    <x v="1"/>
    <n v="549.59137170633517"/>
    <n v="0.02"/>
    <x v="0"/>
    <x v="20"/>
  </r>
  <r>
    <x v="270"/>
    <x v="8"/>
    <n v="188"/>
    <x v="0"/>
    <n v="538.41939864843425"/>
    <x v="0"/>
    <n v="565.34036858085597"/>
    <n v="0"/>
    <x v="0"/>
    <x v="34"/>
  </r>
  <r>
    <x v="22"/>
    <x v="0"/>
    <n v="280"/>
    <x v="0"/>
    <n v="513.35399561152008"/>
    <x v="1"/>
    <n v="539.02169539209615"/>
    <n v="0.01"/>
    <x v="1"/>
    <x v="24"/>
  </r>
  <r>
    <x v="351"/>
    <x v="1"/>
    <n v="140"/>
    <x v="1"/>
    <n v="514.2379187166689"/>
    <x v="1"/>
    <n v="539.94981465250237"/>
    <n v="0.03"/>
    <x v="0"/>
    <x v="30"/>
  </r>
  <r>
    <x v="109"/>
    <x v="6"/>
    <n v="142"/>
    <x v="1"/>
    <n v="530.50086763397303"/>
    <x v="0"/>
    <n v="557.02591101567168"/>
    <n v="0"/>
    <x v="0"/>
    <x v="20"/>
  </r>
  <r>
    <x v="47"/>
    <x v="5"/>
    <n v="200"/>
    <x v="2"/>
    <n v="537.14852023170079"/>
    <x v="0"/>
    <n v="564.00594624328585"/>
    <n v="0"/>
    <x v="0"/>
    <x v="3"/>
  </r>
  <r>
    <x v="114"/>
    <x v="0"/>
    <n v="280"/>
    <x v="0"/>
    <n v="503.84638158302641"/>
    <x v="1"/>
    <n v="529.0387006621778"/>
    <n v="0.03"/>
    <x v="0"/>
    <x v="8"/>
  </r>
  <r>
    <x v="172"/>
    <x v="1"/>
    <n v="140"/>
    <x v="1"/>
    <n v="539.27622497931679"/>
    <x v="0"/>
    <n v="566.24003622828263"/>
    <n v="0.01"/>
    <x v="1"/>
    <x v="27"/>
  </r>
  <r>
    <x v="98"/>
    <x v="5"/>
    <n v="200"/>
    <x v="2"/>
    <n v="526.87483949579746"/>
    <x v="1"/>
    <n v="553.21858147058731"/>
    <n v="0.01"/>
    <x v="0"/>
    <x v="3"/>
  </r>
  <r>
    <x v="119"/>
    <x v="6"/>
    <n v="142"/>
    <x v="1"/>
    <n v="549.68963406204421"/>
    <x v="0"/>
    <n v="577.17411576514644"/>
    <n v="0"/>
    <x v="0"/>
    <x v="11"/>
  </r>
  <r>
    <x v="216"/>
    <x v="8"/>
    <n v="188"/>
    <x v="0"/>
    <n v="517.9313881052567"/>
    <x v="1"/>
    <n v="543.82795751051958"/>
    <n v="0"/>
    <x v="0"/>
    <x v="3"/>
  </r>
  <r>
    <x v="160"/>
    <x v="5"/>
    <n v="200"/>
    <x v="2"/>
    <n v="552.14863696065277"/>
    <x v="0"/>
    <n v="579.75606880868543"/>
    <n v="0"/>
    <x v="1"/>
    <x v="36"/>
  </r>
  <r>
    <x v="117"/>
    <x v="0"/>
    <n v="280"/>
    <x v="0"/>
    <n v="524.41594117368641"/>
    <x v="1"/>
    <n v="550.6367382323707"/>
    <n v="0.02"/>
    <x v="0"/>
    <x v="11"/>
  </r>
  <r>
    <x v="352"/>
    <x v="5"/>
    <n v="200"/>
    <x v="2"/>
    <n v="535.33171338264401"/>
    <x v="0"/>
    <n v="562.09829905177628"/>
    <n v="0.01"/>
    <x v="0"/>
    <x v="3"/>
  </r>
  <r>
    <x v="141"/>
    <x v="0"/>
    <n v="280"/>
    <x v="0"/>
    <n v="514.68090878812882"/>
    <x v="1"/>
    <n v="540.4149542275353"/>
    <n v="0.03"/>
    <x v="0"/>
    <x v="0"/>
  </r>
  <r>
    <x v="74"/>
    <x v="6"/>
    <n v="142"/>
    <x v="1"/>
    <n v="536.76108668450797"/>
    <x v="0"/>
    <n v="563.59914101873335"/>
    <n v="0.03"/>
    <x v="1"/>
    <x v="31"/>
  </r>
  <r>
    <x v="106"/>
    <x v="8"/>
    <n v="188"/>
    <x v="0"/>
    <n v="516.66981579354069"/>
    <x v="1"/>
    <n v="542.50330658321775"/>
    <n v="0.03"/>
    <x v="1"/>
    <x v="3"/>
  </r>
  <r>
    <x v="290"/>
    <x v="4"/>
    <n v="175"/>
    <x v="2"/>
    <n v="523.32215223473759"/>
    <x v="1"/>
    <n v="549.48825984647453"/>
    <n v="0.02"/>
    <x v="0"/>
    <x v="11"/>
  </r>
  <r>
    <x v="290"/>
    <x v="6"/>
    <n v="142"/>
    <x v="1"/>
    <n v="505.98271584009308"/>
    <x v="1"/>
    <n v="531.28185163209776"/>
    <n v="0.03"/>
    <x v="0"/>
    <x v="29"/>
  </r>
  <r>
    <x v="278"/>
    <x v="6"/>
    <n v="142"/>
    <x v="1"/>
    <n v="532.91091463213797"/>
    <x v="0"/>
    <n v="559.55646036374492"/>
    <n v="0"/>
    <x v="1"/>
    <x v="41"/>
  </r>
  <r>
    <x v="137"/>
    <x v="3"/>
    <n v="195"/>
    <x v="0"/>
    <n v="541.4155985444695"/>
    <x v="0"/>
    <n v="568.486378471693"/>
    <n v="0.02"/>
    <x v="0"/>
    <x v="24"/>
  </r>
  <r>
    <x v="56"/>
    <x v="6"/>
    <n v="142"/>
    <x v="1"/>
    <n v="512.3579434607027"/>
    <x v="1"/>
    <n v="537.9758406337379"/>
    <n v="0.01"/>
    <x v="0"/>
    <x v="14"/>
  </r>
  <r>
    <x v="111"/>
    <x v="2"/>
    <n v="250"/>
    <x v="0"/>
    <n v="524.87062757624062"/>
    <x v="1"/>
    <n v="551.11415895505263"/>
    <n v="0.02"/>
    <x v="0"/>
    <x v="14"/>
  </r>
  <r>
    <x v="46"/>
    <x v="8"/>
    <n v="188"/>
    <x v="0"/>
    <n v="533.74262837578044"/>
    <x v="0"/>
    <n v="560.42975979456946"/>
    <n v="0.01"/>
    <x v="1"/>
    <x v="9"/>
  </r>
  <r>
    <x v="184"/>
    <x v="0"/>
    <n v="280"/>
    <x v="0"/>
    <n v="519.1106829058499"/>
    <x v="1"/>
    <n v="545.06621705114242"/>
    <n v="0.02"/>
    <x v="0"/>
    <x v="24"/>
  </r>
  <r>
    <x v="110"/>
    <x v="3"/>
    <n v="195"/>
    <x v="0"/>
    <n v="513.54607539036169"/>
    <x v="1"/>
    <n v="539.22337915987976"/>
    <n v="0.01"/>
    <x v="1"/>
    <x v="28"/>
  </r>
  <r>
    <x v="130"/>
    <x v="4"/>
    <n v="175"/>
    <x v="2"/>
    <n v="510.81666377978854"/>
    <x v="1"/>
    <n v="536.35749696877804"/>
    <n v="0.03"/>
    <x v="0"/>
    <x v="16"/>
  </r>
  <r>
    <x v="183"/>
    <x v="1"/>
    <n v="140"/>
    <x v="1"/>
    <n v="548.25282238141881"/>
    <x v="0"/>
    <n v="575.66546350048975"/>
    <n v="0"/>
    <x v="0"/>
    <x v="16"/>
  </r>
  <r>
    <x v="171"/>
    <x v="2"/>
    <n v="250"/>
    <x v="0"/>
    <n v="506.71149233445885"/>
    <x v="1"/>
    <n v="532.04706695118182"/>
    <n v="0.03"/>
    <x v="0"/>
    <x v="16"/>
  </r>
  <r>
    <x v="4"/>
    <x v="4"/>
    <n v="175"/>
    <x v="2"/>
    <n v="507.89616855035911"/>
    <x v="1"/>
    <n v="533.29097697787711"/>
    <n v="0.01"/>
    <x v="0"/>
    <x v="12"/>
  </r>
  <r>
    <x v="258"/>
    <x v="2"/>
    <n v="250"/>
    <x v="0"/>
    <n v="522.15248556250026"/>
    <x v="1"/>
    <n v="548.26010984062532"/>
    <n v="0.02"/>
    <x v="0"/>
    <x v="5"/>
  </r>
  <r>
    <x v="295"/>
    <x v="7"/>
    <n v="166"/>
    <x v="1"/>
    <n v="536.02181655649474"/>
    <x v="0"/>
    <n v="562.82290738431948"/>
    <n v="0.03"/>
    <x v="0"/>
    <x v="14"/>
  </r>
  <r>
    <x v="194"/>
    <x v="1"/>
    <n v="140"/>
    <x v="1"/>
    <n v="541.46861019768858"/>
    <x v="0"/>
    <n v="568.54204070757305"/>
    <n v="0.03"/>
    <x v="0"/>
    <x v="36"/>
  </r>
  <r>
    <x v="248"/>
    <x v="4"/>
    <n v="175"/>
    <x v="2"/>
    <n v="550.60304081025242"/>
    <x v="0"/>
    <n v="578.13319285076511"/>
    <n v="0.01"/>
    <x v="0"/>
    <x v="34"/>
  </r>
  <r>
    <x v="1"/>
    <x v="3"/>
    <n v="195"/>
    <x v="0"/>
    <n v="532.79156427826183"/>
    <x v="0"/>
    <n v="559.4311424921749"/>
    <n v="0.03"/>
    <x v="0"/>
    <x v="5"/>
  </r>
  <r>
    <x v="214"/>
    <x v="7"/>
    <n v="166"/>
    <x v="1"/>
    <n v="535.7281884188842"/>
    <x v="0"/>
    <n v="562.51459783982841"/>
    <n v="0.02"/>
    <x v="0"/>
    <x v="13"/>
  </r>
  <r>
    <x v="16"/>
    <x v="0"/>
    <n v="280"/>
    <x v="0"/>
    <n v="531.93963454418099"/>
    <x v="0"/>
    <n v="558.53661627139002"/>
    <n v="0"/>
    <x v="1"/>
    <x v="0"/>
  </r>
  <r>
    <x v="285"/>
    <x v="2"/>
    <n v="250"/>
    <x v="0"/>
    <n v="529.88135534733647"/>
    <x v="1"/>
    <n v="556.37542311470327"/>
    <n v="0"/>
    <x v="0"/>
    <x v="9"/>
  </r>
  <r>
    <x v="166"/>
    <x v="8"/>
    <n v="188"/>
    <x v="0"/>
    <n v="533.64523070759242"/>
    <x v="0"/>
    <n v="560.32749224297208"/>
    <n v="0.03"/>
    <x v="0"/>
    <x v="7"/>
  </r>
  <r>
    <x v="234"/>
    <x v="5"/>
    <n v="200"/>
    <x v="2"/>
    <n v="545.46760510767126"/>
    <x v="0"/>
    <n v="572.74098536305485"/>
    <n v="0.01"/>
    <x v="1"/>
    <x v="28"/>
  </r>
  <r>
    <x v="90"/>
    <x v="7"/>
    <n v="166"/>
    <x v="1"/>
    <n v="528.62414806512061"/>
    <x v="1"/>
    <n v="555.05535546837666"/>
    <n v="0.03"/>
    <x v="1"/>
    <x v="21"/>
  </r>
  <r>
    <x v="323"/>
    <x v="2"/>
    <n v="250"/>
    <x v="0"/>
    <n v="540.38486414117961"/>
    <x v="0"/>
    <n v="567.40410734823865"/>
    <n v="0"/>
    <x v="0"/>
    <x v="10"/>
  </r>
  <r>
    <x v="146"/>
    <x v="0"/>
    <n v="280"/>
    <x v="0"/>
    <n v="545.54857366896249"/>
    <x v="0"/>
    <n v="572.82600235241068"/>
    <n v="0"/>
    <x v="0"/>
    <x v="9"/>
  </r>
  <r>
    <x v="212"/>
    <x v="8"/>
    <n v="188"/>
    <x v="0"/>
    <n v="508.99228222751572"/>
    <x v="1"/>
    <n v="534.44189633889152"/>
    <n v="0.01"/>
    <x v="1"/>
    <x v="30"/>
  </r>
  <r>
    <x v="125"/>
    <x v="3"/>
    <n v="195"/>
    <x v="0"/>
    <n v="550.44506818143418"/>
    <x v="0"/>
    <n v="577.96732159050589"/>
    <n v="0.03"/>
    <x v="0"/>
    <x v="35"/>
  </r>
  <r>
    <x v="306"/>
    <x v="0"/>
    <n v="280"/>
    <x v="0"/>
    <n v="523.46668668915572"/>
    <x v="1"/>
    <n v="549.64002102361349"/>
    <n v="0.01"/>
    <x v="1"/>
    <x v="48"/>
  </r>
  <r>
    <x v="312"/>
    <x v="8"/>
    <n v="188"/>
    <x v="0"/>
    <n v="514.15458892619699"/>
    <x v="1"/>
    <n v="539.86231837250682"/>
    <n v="0.01"/>
    <x v="0"/>
    <x v="18"/>
  </r>
  <r>
    <x v="300"/>
    <x v="8"/>
    <n v="188"/>
    <x v="0"/>
    <n v="508.63993192907674"/>
    <x v="1"/>
    <n v="534.07192852553055"/>
    <n v="0.01"/>
    <x v="1"/>
    <x v="7"/>
  </r>
  <r>
    <x v="226"/>
    <x v="3"/>
    <n v="195"/>
    <x v="0"/>
    <n v="511.3788615452977"/>
    <x v="1"/>
    <n v="536.94780462256256"/>
    <n v="0.01"/>
    <x v="0"/>
    <x v="7"/>
  </r>
  <r>
    <x v="351"/>
    <x v="4"/>
    <n v="175"/>
    <x v="2"/>
    <n v="511.13727902466235"/>
    <x v="1"/>
    <n v="536.69414297589549"/>
    <n v="0"/>
    <x v="1"/>
    <x v="34"/>
  </r>
  <r>
    <x v="334"/>
    <x v="8"/>
    <n v="188"/>
    <x v="0"/>
    <n v="506.28703689987015"/>
    <x v="1"/>
    <n v="531.6013887448637"/>
    <n v="0"/>
    <x v="1"/>
    <x v="17"/>
  </r>
  <r>
    <x v="89"/>
    <x v="1"/>
    <n v="140"/>
    <x v="1"/>
    <n v="541.57068946310119"/>
    <x v="0"/>
    <n v="568.64922393625625"/>
    <n v="0.03"/>
    <x v="1"/>
    <x v="17"/>
  </r>
  <r>
    <x v="332"/>
    <x v="8"/>
    <n v="188"/>
    <x v="0"/>
    <n v="514.44645417424726"/>
    <x v="1"/>
    <n v="540.16877688295961"/>
    <n v="0"/>
    <x v="0"/>
    <x v="19"/>
  </r>
  <r>
    <x v="271"/>
    <x v="0"/>
    <n v="280"/>
    <x v="0"/>
    <n v="528.80796895731328"/>
    <x v="1"/>
    <n v="555.24836740517901"/>
    <n v="0.03"/>
    <x v="0"/>
    <x v="15"/>
  </r>
  <r>
    <x v="331"/>
    <x v="4"/>
    <n v="175"/>
    <x v="2"/>
    <n v="504.69307720432153"/>
    <x v="1"/>
    <n v="529.92773106453762"/>
    <n v="0.03"/>
    <x v="1"/>
    <x v="18"/>
  </r>
  <r>
    <x v="298"/>
    <x v="8"/>
    <n v="188"/>
    <x v="0"/>
    <n v="524.92599783006881"/>
    <x v="1"/>
    <n v="551.17229772157225"/>
    <n v="0.02"/>
    <x v="1"/>
    <x v="17"/>
  </r>
  <r>
    <x v="228"/>
    <x v="5"/>
    <n v="200"/>
    <x v="2"/>
    <n v="518.66247628062683"/>
    <x v="1"/>
    <n v="544.59560009465815"/>
    <n v="0"/>
    <x v="0"/>
    <x v="11"/>
  </r>
  <r>
    <x v="264"/>
    <x v="3"/>
    <n v="195"/>
    <x v="0"/>
    <n v="547.43454123498304"/>
    <x v="0"/>
    <n v="574.80626829673224"/>
    <n v="0"/>
    <x v="0"/>
    <x v="5"/>
  </r>
  <r>
    <x v="190"/>
    <x v="6"/>
    <n v="142"/>
    <x v="0"/>
    <n v="507.5374579295385"/>
    <x v="1"/>
    <n v="532.91433082601543"/>
    <n v="0"/>
    <x v="0"/>
    <x v="28"/>
  </r>
  <r>
    <x v="168"/>
    <x v="3"/>
    <n v="195"/>
    <x v="0"/>
    <n v="520.08539559070414"/>
    <x v="1"/>
    <n v="546.08966537023935"/>
    <n v="0.01"/>
    <x v="1"/>
    <x v="16"/>
  </r>
  <r>
    <x v="17"/>
    <x v="4"/>
    <n v="175"/>
    <x v="2"/>
    <n v="510.75427050039889"/>
    <x v="1"/>
    <n v="536.29198402541886"/>
    <n v="0"/>
    <x v="0"/>
    <x v="30"/>
  </r>
  <r>
    <x v="316"/>
    <x v="0"/>
    <n v="280"/>
    <x v="0"/>
    <n v="532.16124851353834"/>
    <x v="0"/>
    <n v="558.7693109392153"/>
    <n v="0.02"/>
    <x v="0"/>
    <x v="9"/>
  </r>
  <r>
    <x v="41"/>
    <x v="4"/>
    <n v="175"/>
    <x v="2"/>
    <n v="518.63484478585269"/>
    <x v="1"/>
    <n v="544.5665870251454"/>
    <n v="0.01"/>
    <x v="1"/>
    <x v="46"/>
  </r>
  <r>
    <x v="10"/>
    <x v="0"/>
    <n v="280"/>
    <x v="0"/>
    <n v="523.13189132030766"/>
    <x v="1"/>
    <n v="549.28848588632309"/>
    <n v="0.02"/>
    <x v="0"/>
    <x v="13"/>
  </r>
  <r>
    <x v="42"/>
    <x v="4"/>
    <n v="175"/>
    <x v="2"/>
    <n v="523.07477318482415"/>
    <x v="1"/>
    <n v="549.22851184406534"/>
    <n v="0.03"/>
    <x v="0"/>
    <x v="34"/>
  </r>
  <r>
    <x v="67"/>
    <x v="8"/>
    <n v="188"/>
    <x v="0"/>
    <n v="509.3535135787597"/>
    <x v="1"/>
    <n v="534.82118925769771"/>
    <n v="0.02"/>
    <x v="0"/>
    <x v="8"/>
  </r>
  <r>
    <x v="349"/>
    <x v="6"/>
    <n v="142"/>
    <x v="1"/>
    <n v="510.5786796543116"/>
    <x v="1"/>
    <n v="536.10761363702716"/>
    <n v="0"/>
    <x v="0"/>
    <x v="17"/>
  </r>
  <r>
    <x v="165"/>
    <x v="6"/>
    <n v="142"/>
    <x v="1"/>
    <n v="509.86462369181299"/>
    <x v="1"/>
    <n v="535.35785487640362"/>
    <n v="0.02"/>
    <x v="0"/>
    <x v="6"/>
  </r>
  <r>
    <x v="283"/>
    <x v="2"/>
    <n v="250"/>
    <x v="0"/>
    <n v="504.25750683421211"/>
    <x v="1"/>
    <n v="529.47038217592274"/>
    <n v="0.03"/>
    <x v="1"/>
    <x v="28"/>
  </r>
  <r>
    <x v="48"/>
    <x v="0"/>
    <n v="280"/>
    <x v="0"/>
    <n v="500.431458953336"/>
    <x v="1"/>
    <n v="525.45303190100287"/>
    <n v="0.03"/>
    <x v="0"/>
    <x v="3"/>
  </r>
  <r>
    <x v="261"/>
    <x v="4"/>
    <n v="175"/>
    <x v="2"/>
    <n v="511.13727902466235"/>
    <x v="1"/>
    <n v="536.69414297589549"/>
    <n v="0.02"/>
    <x v="0"/>
    <x v="4"/>
  </r>
  <r>
    <x v="34"/>
    <x v="4"/>
    <n v="175"/>
    <x v="2"/>
    <n v="518.64092074082419"/>
    <x v="1"/>
    <n v="544.57296677786542"/>
    <n v="0"/>
    <x v="1"/>
    <x v="26"/>
  </r>
  <r>
    <x v="168"/>
    <x v="7"/>
    <n v="166"/>
    <x v="1"/>
    <n v="531.57291905182046"/>
    <x v="0"/>
    <n v="558.15156500441151"/>
    <n v="0"/>
    <x v="0"/>
    <x v="34"/>
  </r>
  <r>
    <x v="203"/>
    <x v="3"/>
    <n v="195"/>
    <x v="0"/>
    <n v="535.63770904166086"/>
    <x v="0"/>
    <n v="562.41959449374394"/>
    <n v="0"/>
    <x v="0"/>
    <x v="25"/>
  </r>
  <r>
    <x v="70"/>
    <x v="5"/>
    <n v="200"/>
    <x v="2"/>
    <n v="541.54118131342057"/>
    <x v="0"/>
    <n v="568.61824037909162"/>
    <n v="0.01"/>
    <x v="0"/>
    <x v="28"/>
  </r>
  <r>
    <x v="205"/>
    <x v="3"/>
    <n v="195"/>
    <x v="0"/>
    <n v="543.01963869543033"/>
    <x v="0"/>
    <n v="570.17062063020182"/>
    <n v="0"/>
    <x v="0"/>
    <x v="4"/>
  </r>
  <r>
    <x v="182"/>
    <x v="5"/>
    <n v="200"/>
    <x v="2"/>
    <n v="540.08192986155518"/>
    <x v="0"/>
    <n v="567.08602635463296"/>
    <n v="0.01"/>
    <x v="1"/>
    <x v="8"/>
  </r>
  <r>
    <x v="180"/>
    <x v="1"/>
    <n v="140"/>
    <x v="1"/>
    <n v="519.60542897411051"/>
    <x v="1"/>
    <n v="545.5857004228161"/>
    <n v="0.02"/>
    <x v="0"/>
    <x v="17"/>
  </r>
  <r>
    <x v="166"/>
    <x v="0"/>
    <n v="280"/>
    <x v="0"/>
    <n v="548.43470703975254"/>
    <x v="0"/>
    <n v="575.85644239174019"/>
    <n v="0"/>
    <x v="0"/>
    <x v="3"/>
  </r>
  <r>
    <x v="265"/>
    <x v="2"/>
    <n v="250"/>
    <x v="0"/>
    <n v="543.34062832029122"/>
    <x v="0"/>
    <n v="570.50765973630575"/>
    <n v="0.02"/>
    <x v="1"/>
    <x v="36"/>
  </r>
  <r>
    <x v="237"/>
    <x v="5"/>
    <n v="200"/>
    <x v="2"/>
    <n v="535.03562054653412"/>
    <x v="0"/>
    <n v="561.78740157386085"/>
    <n v="0"/>
    <x v="0"/>
    <x v="28"/>
  </r>
  <r>
    <x v="57"/>
    <x v="4"/>
    <n v="175"/>
    <x v="2"/>
    <n v="536.52923047546938"/>
    <x v="0"/>
    <n v="563.35569199924282"/>
    <n v="0.03"/>
    <x v="0"/>
    <x v="24"/>
  </r>
  <r>
    <x v="170"/>
    <x v="5"/>
    <n v="200"/>
    <x v="2"/>
    <n v="534.26073357740916"/>
    <x v="0"/>
    <n v="560.97377025627964"/>
    <n v="0"/>
    <x v="1"/>
    <x v="0"/>
  </r>
  <r>
    <x v="171"/>
    <x v="7"/>
    <n v="166"/>
    <x v="1"/>
    <n v="514.88153760759269"/>
    <x v="1"/>
    <n v="540.62561448797237"/>
    <n v="0"/>
    <x v="0"/>
    <x v="35"/>
  </r>
  <r>
    <x v="179"/>
    <x v="0"/>
    <n v="280"/>
    <x v="0"/>
    <n v="546.84852963654885"/>
    <x v="0"/>
    <n v="574.19095611837633"/>
    <n v="0.02"/>
    <x v="0"/>
    <x v="7"/>
  </r>
  <r>
    <x v="181"/>
    <x v="6"/>
    <n v="142"/>
    <x v="1"/>
    <n v="534.85848010380778"/>
    <x v="0"/>
    <n v="561.60140410899817"/>
    <n v="0"/>
    <x v="0"/>
    <x v="6"/>
  </r>
  <r>
    <x v="318"/>
    <x v="2"/>
    <n v="250"/>
    <x v="0"/>
    <n v="540.96162127967273"/>
    <x v="0"/>
    <n v="568.00970234365639"/>
    <n v="0.01"/>
    <x v="0"/>
    <x v="10"/>
  </r>
  <r>
    <x v="155"/>
    <x v="4"/>
    <n v="175"/>
    <x v="2"/>
    <n v="516.34198328514958"/>
    <x v="1"/>
    <n v="542.15908244940704"/>
    <n v="0.01"/>
    <x v="0"/>
    <x v="30"/>
  </r>
  <r>
    <x v="202"/>
    <x v="5"/>
    <n v="200"/>
    <x v="2"/>
    <n v="532.71029691248441"/>
    <x v="0"/>
    <n v="559.34581175810865"/>
    <n v="0"/>
    <x v="0"/>
    <x v="29"/>
  </r>
  <r>
    <x v="93"/>
    <x v="0"/>
    <n v="280"/>
    <x v="0"/>
    <n v="520.87718636019781"/>
    <x v="1"/>
    <n v="546.92104567820775"/>
    <n v="0"/>
    <x v="0"/>
    <x v="36"/>
  </r>
  <r>
    <x v="53"/>
    <x v="8"/>
    <n v="188"/>
    <x v="0"/>
    <n v="510.54728254592374"/>
    <x v="1"/>
    <n v="536.07464667321995"/>
    <n v="0.02"/>
    <x v="0"/>
    <x v="30"/>
  </r>
  <r>
    <x v="269"/>
    <x v="5"/>
    <n v="200"/>
    <x v="2"/>
    <n v="521.22492833774595"/>
    <x v="1"/>
    <n v="547.28617475463329"/>
    <n v="0"/>
    <x v="0"/>
    <x v="4"/>
  </r>
  <r>
    <x v="3"/>
    <x v="0"/>
    <n v="280"/>
    <x v="0"/>
    <n v="506.67980177926984"/>
    <x v="1"/>
    <n v="532.0137918682334"/>
    <n v="0.02"/>
    <x v="1"/>
    <x v="17"/>
  </r>
  <r>
    <x v="302"/>
    <x v="1"/>
    <n v="140"/>
    <x v="1"/>
    <n v="501.22757219294999"/>
    <x v="1"/>
    <n v="526.28895080259747"/>
    <n v="0.02"/>
    <x v="0"/>
    <x v="11"/>
  </r>
  <r>
    <x v="317"/>
    <x v="3"/>
    <n v="195"/>
    <x v="0"/>
    <n v="539.53835306162"/>
    <x v="0"/>
    <n v="566.51527071470105"/>
    <n v="0.03"/>
    <x v="1"/>
    <x v="8"/>
  </r>
  <r>
    <x v="317"/>
    <x v="8"/>
    <n v="188"/>
    <x v="0"/>
    <n v="541.95242299518486"/>
    <x v="0"/>
    <n v="569.05004414494408"/>
    <n v="0.01"/>
    <x v="1"/>
    <x v="38"/>
  </r>
  <r>
    <x v="353"/>
    <x v="8"/>
    <n v="188"/>
    <x v="0"/>
    <n v="517.35590798137946"/>
    <x v="1"/>
    <n v="543.22370338044846"/>
    <n v="0.03"/>
    <x v="0"/>
    <x v="9"/>
  </r>
  <r>
    <x v="143"/>
    <x v="0"/>
    <n v="280"/>
    <x v="0"/>
    <n v="507.61970349303829"/>
    <x v="1"/>
    <n v="533.00068866769027"/>
    <n v="0"/>
    <x v="0"/>
    <x v="36"/>
  </r>
  <r>
    <x v="326"/>
    <x v="4"/>
    <n v="175"/>
    <x v="2"/>
    <n v="524.55600550935014"/>
    <x v="1"/>
    <n v="550.78380578481767"/>
    <n v="0"/>
    <x v="0"/>
    <x v="42"/>
  </r>
  <r>
    <x v="111"/>
    <x v="0"/>
    <n v="280"/>
    <x v="0"/>
    <n v="532.01977052576876"/>
    <x v="0"/>
    <n v="558.62075905205722"/>
    <n v="0"/>
    <x v="1"/>
    <x v="3"/>
  </r>
  <r>
    <x v="183"/>
    <x v="0"/>
    <n v="280"/>
    <x v="0"/>
    <n v="547.65658346752025"/>
    <x v="0"/>
    <n v="575.03941264089633"/>
    <n v="0"/>
    <x v="0"/>
    <x v="24"/>
  </r>
  <r>
    <x v="265"/>
    <x v="3"/>
    <n v="195"/>
    <x v="0"/>
    <n v="542.95312971832936"/>
    <x v="0"/>
    <n v="570.10078620424588"/>
    <n v="0.02"/>
    <x v="0"/>
    <x v="18"/>
  </r>
  <r>
    <x v="236"/>
    <x v="1"/>
    <n v="140"/>
    <x v="1"/>
    <n v="503.95221806653535"/>
    <x v="1"/>
    <n v="529.14982896986214"/>
    <n v="0.02"/>
    <x v="0"/>
    <x v="35"/>
  </r>
  <r>
    <x v="209"/>
    <x v="0"/>
    <n v="280"/>
    <x v="0"/>
    <n v="540.38269253837188"/>
    <x v="0"/>
    <n v="567.40182716529046"/>
    <n v="0.02"/>
    <x v="0"/>
    <x v="48"/>
  </r>
  <r>
    <x v="144"/>
    <x v="3"/>
    <n v="195"/>
    <x v="0"/>
    <n v="515.9140845076663"/>
    <x v="1"/>
    <n v="541.70978873304966"/>
    <n v="0.01"/>
    <x v="1"/>
    <x v="17"/>
  </r>
  <r>
    <x v="275"/>
    <x v="7"/>
    <n v="166"/>
    <x v="1"/>
    <n v="548.99480499796846"/>
    <x v="0"/>
    <n v="576.44454524786693"/>
    <n v="0"/>
    <x v="0"/>
    <x v="19"/>
  </r>
  <r>
    <x v="90"/>
    <x v="6"/>
    <n v="142"/>
    <x v="1"/>
    <n v="543.97888533228252"/>
    <x v="0"/>
    <n v="571.17782959889666"/>
    <n v="0"/>
    <x v="0"/>
    <x v="29"/>
  </r>
  <r>
    <x v="226"/>
    <x v="8"/>
    <n v="188"/>
    <x v="0"/>
    <n v="512.60733704098493"/>
    <x v="1"/>
    <n v="538.23770389303422"/>
    <n v="0"/>
    <x v="0"/>
    <x v="11"/>
  </r>
  <r>
    <x v="33"/>
    <x v="6"/>
    <n v="142"/>
    <x v="1"/>
    <n v="535.14531357519172"/>
    <x v="0"/>
    <n v="561.90257925395133"/>
    <n v="0.01"/>
    <x v="0"/>
    <x v="15"/>
  </r>
  <r>
    <x v="265"/>
    <x v="2"/>
    <n v="250"/>
    <x v="0"/>
    <n v="530.43193915802385"/>
    <x v="0"/>
    <n v="556.95353611592509"/>
    <n v="0.01"/>
    <x v="0"/>
    <x v="35"/>
  </r>
  <r>
    <x v="295"/>
    <x v="6"/>
    <n v="142"/>
    <x v="0"/>
    <n v="537.70526138790319"/>
    <x v="0"/>
    <n v="564.59052445729833"/>
    <n v="0.03"/>
    <x v="0"/>
    <x v="19"/>
  </r>
  <r>
    <x v="18"/>
    <x v="8"/>
    <n v="188"/>
    <x v="0"/>
    <n v="540.00037201248233"/>
    <x v="0"/>
    <n v="567.00039061310645"/>
    <n v="0.02"/>
    <x v="0"/>
    <x v="12"/>
  </r>
  <r>
    <x v="251"/>
    <x v="5"/>
    <n v="200"/>
    <x v="2"/>
    <n v="530.53822941963608"/>
    <x v="0"/>
    <n v="557.06514089061795"/>
    <n v="0"/>
    <x v="0"/>
    <x v="17"/>
  </r>
  <r>
    <x v="98"/>
    <x v="1"/>
    <n v="140"/>
    <x v="1"/>
    <n v="533.43559618042491"/>
    <x v="0"/>
    <n v="560.10737598944615"/>
    <n v="0.01"/>
    <x v="0"/>
    <x v="19"/>
  </r>
  <r>
    <x v="294"/>
    <x v="2"/>
    <n v="250"/>
    <x v="0"/>
    <n v="518.03749972583319"/>
    <x v="1"/>
    <n v="543.93937471212485"/>
    <n v="0.01"/>
    <x v="0"/>
    <x v="8"/>
  </r>
  <r>
    <x v="330"/>
    <x v="8"/>
    <n v="188"/>
    <x v="0"/>
    <n v="531.02098076643779"/>
    <x v="0"/>
    <n v="557.57202980475972"/>
    <n v="0.02"/>
    <x v="1"/>
    <x v="26"/>
  </r>
  <r>
    <x v="268"/>
    <x v="1"/>
    <n v="140"/>
    <x v="1"/>
    <n v="517.82394612619373"/>
    <x v="1"/>
    <n v="543.7151434325034"/>
    <n v="0"/>
    <x v="0"/>
    <x v="1"/>
  </r>
  <r>
    <x v="171"/>
    <x v="0"/>
    <n v="280"/>
    <x v="0"/>
    <n v="512.93190420934206"/>
    <x v="1"/>
    <n v="538.57849941980919"/>
    <n v="0.03"/>
    <x v="0"/>
    <x v="8"/>
  </r>
  <r>
    <x v="249"/>
    <x v="3"/>
    <n v="195"/>
    <x v="0"/>
    <n v="532.13560160241286"/>
    <x v="0"/>
    <n v="558.74238168253351"/>
    <n v="0"/>
    <x v="0"/>
    <x v="34"/>
  </r>
  <r>
    <x v="233"/>
    <x v="6"/>
    <n v="142"/>
    <x v="1"/>
    <n v="547.17135527625214"/>
    <x v="0"/>
    <n v="574.52992304006477"/>
    <n v="0.02"/>
    <x v="0"/>
    <x v="4"/>
  </r>
  <r>
    <x v="46"/>
    <x v="8"/>
    <n v="188"/>
    <x v="0"/>
    <n v="538.47166233288772"/>
    <x v="0"/>
    <n v="565.39524544953213"/>
    <n v="0"/>
    <x v="0"/>
    <x v="35"/>
  </r>
  <r>
    <x v="295"/>
    <x v="8"/>
    <n v="188"/>
    <x v="0"/>
    <n v="518.23415516750447"/>
    <x v="1"/>
    <n v="544.14586292587967"/>
    <n v="0.02"/>
    <x v="0"/>
    <x v="16"/>
  </r>
  <r>
    <x v="196"/>
    <x v="4"/>
    <n v="175"/>
    <x v="2"/>
    <n v="507.89616855035911"/>
    <x v="1"/>
    <n v="533.29097697787711"/>
    <n v="0.03"/>
    <x v="0"/>
    <x v="20"/>
  </r>
  <r>
    <x v="153"/>
    <x v="8"/>
    <n v="188"/>
    <x v="0"/>
    <n v="527.56094386098175"/>
    <x v="1"/>
    <n v="553.93899105403091"/>
    <n v="0"/>
    <x v="0"/>
    <x v="13"/>
  </r>
  <r>
    <x v="20"/>
    <x v="7"/>
    <n v="166"/>
    <x v="1"/>
    <n v="533.6173100519045"/>
    <x v="0"/>
    <n v="560.29817555449972"/>
    <n v="0"/>
    <x v="0"/>
    <x v="1"/>
  </r>
  <r>
    <x v="154"/>
    <x v="0"/>
    <n v="280"/>
    <x v="0"/>
    <n v="522.21487102472474"/>
    <x v="1"/>
    <n v="548.32561457596103"/>
    <n v="0"/>
    <x v="0"/>
    <x v="20"/>
  </r>
  <r>
    <x v="15"/>
    <x v="4"/>
    <n v="175"/>
    <x v="2"/>
    <n v="518.12792139665635"/>
    <x v="1"/>
    <n v="544.03431746648914"/>
    <n v="0.02"/>
    <x v="0"/>
    <x v="3"/>
  </r>
  <r>
    <x v="169"/>
    <x v="4"/>
    <n v="175"/>
    <x v="2"/>
    <n v="517.28003981994971"/>
    <x v="1"/>
    <n v="543.14404181094721"/>
    <n v="0.03"/>
    <x v="1"/>
    <x v="39"/>
  </r>
  <r>
    <x v="112"/>
    <x v="0"/>
    <n v="280"/>
    <x v="0"/>
    <n v="509.77262472194434"/>
    <x v="1"/>
    <n v="535.2612559580416"/>
    <n v="0.03"/>
    <x v="0"/>
    <x v="3"/>
  </r>
  <r>
    <x v="231"/>
    <x v="6"/>
    <n v="142"/>
    <x v="1"/>
    <n v="542.05565509041844"/>
    <x v="0"/>
    <n v="569.15843784493939"/>
    <n v="0.03"/>
    <x v="1"/>
    <x v="30"/>
  </r>
  <r>
    <x v="195"/>
    <x v="8"/>
    <n v="188"/>
    <x v="0"/>
    <n v="540.19603015936627"/>
    <x v="0"/>
    <n v="567.20583166733456"/>
    <n v="0.01"/>
    <x v="0"/>
    <x v="3"/>
  </r>
  <r>
    <x v="94"/>
    <x v="2"/>
    <n v="250"/>
    <x v="0"/>
    <n v="543.09935251896604"/>
    <x v="0"/>
    <n v="570.25432014491435"/>
    <n v="0.01"/>
    <x v="0"/>
    <x v="35"/>
  </r>
  <r>
    <x v="195"/>
    <x v="4"/>
    <n v="175"/>
    <x v="2"/>
    <n v="508.549883709803"/>
    <x v="1"/>
    <n v="533.97737789529322"/>
    <n v="0.01"/>
    <x v="0"/>
    <x v="10"/>
  </r>
  <r>
    <x v="291"/>
    <x v="7"/>
    <n v="166"/>
    <x v="1"/>
    <n v="529.66445974388898"/>
    <x v="1"/>
    <n v="556.14768273108348"/>
    <n v="0.02"/>
    <x v="1"/>
    <x v="7"/>
  </r>
  <r>
    <x v="194"/>
    <x v="3"/>
    <n v="195"/>
    <x v="0"/>
    <n v="520.23722213385281"/>
    <x v="1"/>
    <n v="546.24908324054547"/>
    <n v="0.01"/>
    <x v="1"/>
    <x v="36"/>
  </r>
  <r>
    <x v="248"/>
    <x v="1"/>
    <n v="140"/>
    <x v="1"/>
    <n v="528.9474696355519"/>
    <x v="1"/>
    <n v="555.39484311732951"/>
    <n v="0.01"/>
    <x v="1"/>
    <x v="5"/>
  </r>
  <r>
    <x v="51"/>
    <x v="8"/>
    <n v="188"/>
    <x v="0"/>
    <n v="540.36770468104714"/>
    <x v="0"/>
    <n v="567.38608991509955"/>
    <n v="0.03"/>
    <x v="0"/>
    <x v="42"/>
  </r>
  <r>
    <x v="223"/>
    <x v="4"/>
    <n v="175"/>
    <x v="2"/>
    <n v="511.58971524453682"/>
    <x v="1"/>
    <n v="537.16920100676373"/>
    <n v="0.03"/>
    <x v="0"/>
    <x v="20"/>
  </r>
  <r>
    <x v="253"/>
    <x v="4"/>
    <n v="175"/>
    <x v="2"/>
    <n v="507.89616855035911"/>
    <x v="1"/>
    <n v="533.29097697787711"/>
    <n v="0.01"/>
    <x v="1"/>
    <x v="2"/>
  </r>
  <r>
    <x v="297"/>
    <x v="6"/>
    <n v="142"/>
    <x v="1"/>
    <n v="513.39846292127822"/>
    <x v="1"/>
    <n v="539.0683860673422"/>
    <n v="0"/>
    <x v="1"/>
    <x v="29"/>
  </r>
  <r>
    <x v="339"/>
    <x v="6"/>
    <n v="142"/>
    <x v="1"/>
    <n v="523.84756802876382"/>
    <x v="1"/>
    <n v="550.03994643020201"/>
    <n v="0"/>
    <x v="0"/>
    <x v="18"/>
  </r>
  <r>
    <x v="41"/>
    <x v="7"/>
    <n v="166"/>
    <x v="1"/>
    <n v="529.95554961448852"/>
    <x v="1"/>
    <n v="556.45332709521301"/>
    <n v="0.03"/>
    <x v="0"/>
    <x v="10"/>
  </r>
  <r>
    <x v="6"/>
    <x v="2"/>
    <n v="250"/>
    <x v="0"/>
    <n v="508.72788733195011"/>
    <x v="1"/>
    <n v="534.1642816985476"/>
    <n v="0"/>
    <x v="0"/>
    <x v="10"/>
  </r>
  <r>
    <x v="226"/>
    <x v="7"/>
    <n v="166"/>
    <x v="1"/>
    <n v="549.61432390283153"/>
    <x v="0"/>
    <n v="577.09504009797308"/>
    <n v="0"/>
    <x v="0"/>
    <x v="29"/>
  </r>
  <r>
    <x v="255"/>
    <x v="7"/>
    <n v="166"/>
    <x v="1"/>
    <n v="513.38662521791593"/>
    <x v="1"/>
    <n v="539.05595647881171"/>
    <n v="0"/>
    <x v="0"/>
    <x v="13"/>
  </r>
  <r>
    <x v="277"/>
    <x v="8"/>
    <n v="188"/>
    <x v="0"/>
    <n v="549.63071650437087"/>
    <x v="0"/>
    <n v="577.11225232958941"/>
    <n v="0.02"/>
    <x v="0"/>
    <x v="0"/>
  </r>
  <r>
    <x v="171"/>
    <x v="4"/>
    <n v="175"/>
    <x v="2"/>
    <n v="512.70451539711667"/>
    <x v="1"/>
    <n v="538.33974116697254"/>
    <n v="0.02"/>
    <x v="0"/>
    <x v="17"/>
  </r>
  <r>
    <x v="1"/>
    <x v="8"/>
    <n v="188"/>
    <x v="0"/>
    <n v="547.72279556147259"/>
    <x v="0"/>
    <n v="575.10893533954629"/>
    <n v="0"/>
    <x v="0"/>
    <x v="28"/>
  </r>
  <r>
    <x v="307"/>
    <x v="6"/>
    <n v="142"/>
    <x v="0"/>
    <n v="524.58636958920943"/>
    <x v="1"/>
    <n v="550.81568806866994"/>
    <n v="0.02"/>
    <x v="0"/>
    <x v="8"/>
  </r>
  <r>
    <x v="242"/>
    <x v="3"/>
    <n v="195"/>
    <x v="0"/>
    <n v="542.80044739772165"/>
    <x v="0"/>
    <n v="569.94046976760774"/>
    <n v="0.02"/>
    <x v="0"/>
    <x v="36"/>
  </r>
  <r>
    <x v="295"/>
    <x v="8"/>
    <n v="188"/>
    <x v="0"/>
    <n v="516.73972238943952"/>
    <x v="1"/>
    <n v="542.57670850891157"/>
    <n v="0.01"/>
    <x v="0"/>
    <x v="4"/>
  </r>
  <r>
    <x v="32"/>
    <x v="6"/>
    <n v="142"/>
    <x v="1"/>
    <n v="502.89765831282511"/>
    <x v="1"/>
    <n v="528.04254122846635"/>
    <n v="0"/>
    <x v="0"/>
    <x v="7"/>
  </r>
  <r>
    <x v="62"/>
    <x v="4"/>
    <n v="175"/>
    <x v="2"/>
    <n v="507.89616855035911"/>
    <x v="1"/>
    <n v="533.29097697787711"/>
    <n v="0.01"/>
    <x v="1"/>
    <x v="36"/>
  </r>
  <r>
    <x v="267"/>
    <x v="5"/>
    <n v="200"/>
    <x v="2"/>
    <n v="519.12233221726183"/>
    <x v="1"/>
    <n v="545.07844882812492"/>
    <n v="0.03"/>
    <x v="1"/>
    <x v="29"/>
  </r>
  <r>
    <x v="265"/>
    <x v="5"/>
    <n v="200"/>
    <x v="2"/>
    <n v="519.57709105618505"/>
    <x v="1"/>
    <n v="545.55594560899431"/>
    <n v="0.01"/>
    <x v="0"/>
    <x v="3"/>
  </r>
  <r>
    <x v="87"/>
    <x v="1"/>
    <n v="140"/>
    <x v="1"/>
    <n v="506.81019728557931"/>
    <x v="1"/>
    <n v="532.15070714985825"/>
    <n v="0.03"/>
    <x v="1"/>
    <x v="14"/>
  </r>
  <r>
    <x v="330"/>
    <x v="7"/>
    <n v="166"/>
    <x v="1"/>
    <n v="548.90711606819241"/>
    <x v="0"/>
    <n v="576.35247187160201"/>
    <n v="0.02"/>
    <x v="1"/>
    <x v="36"/>
  </r>
  <r>
    <x v="199"/>
    <x v="6"/>
    <n v="142"/>
    <x v="1"/>
    <n v="536.38391559801312"/>
    <x v="0"/>
    <n v="563.20311137791384"/>
    <n v="0.01"/>
    <x v="0"/>
    <x v="6"/>
  </r>
  <r>
    <x v="235"/>
    <x v="6"/>
    <n v="142"/>
    <x v="1"/>
    <n v="535.97010714701355"/>
    <x v="0"/>
    <n v="562.76861250436423"/>
    <n v="0.03"/>
    <x v="0"/>
    <x v="12"/>
  </r>
  <r>
    <x v="90"/>
    <x v="5"/>
    <n v="200"/>
    <x v="2"/>
    <n v="550.72518846989078"/>
    <x v="0"/>
    <n v="578.26144789338537"/>
    <n v="0.03"/>
    <x v="0"/>
    <x v="13"/>
  </r>
  <r>
    <x v="132"/>
    <x v="8"/>
    <n v="188"/>
    <x v="0"/>
    <n v="505.04639281668915"/>
    <x v="1"/>
    <n v="530.29871245752361"/>
    <n v="0.03"/>
    <x v="1"/>
    <x v="38"/>
  </r>
  <r>
    <x v="319"/>
    <x v="5"/>
    <n v="200"/>
    <x v="2"/>
    <n v="541.97823298143703"/>
    <x v="0"/>
    <n v="569.07714463050888"/>
    <n v="0"/>
    <x v="0"/>
    <x v="30"/>
  </r>
  <r>
    <x v="314"/>
    <x v="7"/>
    <n v="166"/>
    <x v="1"/>
    <n v="549.57827907015599"/>
    <x v="0"/>
    <n v="577.05719302366379"/>
    <n v="0.01"/>
    <x v="0"/>
    <x v="5"/>
  </r>
  <r>
    <x v="186"/>
    <x v="2"/>
    <n v="250"/>
    <x v="0"/>
    <n v="517.55432260006546"/>
    <x v="1"/>
    <n v="543.43203873006871"/>
    <n v="0.03"/>
    <x v="0"/>
    <x v="12"/>
  </r>
  <r>
    <x v="76"/>
    <x v="0"/>
    <n v="280"/>
    <x v="0"/>
    <n v="513.02385566102384"/>
    <x v="1"/>
    <n v="538.67504844407506"/>
    <n v="0.03"/>
    <x v="0"/>
    <x v="28"/>
  </r>
  <r>
    <x v="118"/>
    <x v="3"/>
    <n v="195"/>
    <x v="0"/>
    <n v="539.17891774571854"/>
    <x v="0"/>
    <n v="566.13786363300449"/>
    <n v="0.02"/>
    <x v="1"/>
    <x v="19"/>
  </r>
  <r>
    <x v="296"/>
    <x v="0"/>
    <n v="280"/>
    <x v="0"/>
    <n v="501.91123024492845"/>
    <x v="1"/>
    <n v="527.00679175717494"/>
    <n v="0.02"/>
    <x v="1"/>
    <x v="36"/>
  </r>
  <r>
    <x v="54"/>
    <x v="5"/>
    <n v="200"/>
    <x v="2"/>
    <n v="545.65"/>
    <x v="0"/>
    <n v="572.9325"/>
    <n v="0.01"/>
    <x v="0"/>
    <x v="9"/>
  </r>
  <r>
    <x v="93"/>
    <x v="1"/>
    <n v="140"/>
    <x v="1"/>
    <n v="536.47926083033781"/>
    <x v="0"/>
    <n v="563.3032238718547"/>
    <n v="0"/>
    <x v="0"/>
    <x v="0"/>
  </r>
  <r>
    <x v="144"/>
    <x v="5"/>
    <n v="200"/>
    <x v="2"/>
    <n v="544.35213851668595"/>
    <x v="0"/>
    <n v="571.56974544252023"/>
    <n v="0.02"/>
    <x v="0"/>
    <x v="2"/>
  </r>
  <r>
    <x v="320"/>
    <x v="7"/>
    <n v="166"/>
    <x v="1"/>
    <n v="538.37590741853182"/>
    <x v="0"/>
    <n v="565.29470278945848"/>
    <n v="0"/>
    <x v="0"/>
    <x v="14"/>
  </r>
  <r>
    <x v="43"/>
    <x v="1"/>
    <n v="140"/>
    <x v="1"/>
    <n v="513.77690559108942"/>
    <x v="1"/>
    <n v="539.46575087064389"/>
    <n v="0"/>
    <x v="0"/>
    <x v="7"/>
  </r>
  <r>
    <x v="69"/>
    <x v="2"/>
    <n v="250"/>
    <x v="0"/>
    <n v="519.34464960514833"/>
    <x v="1"/>
    <n v="545.31188208540573"/>
    <n v="0.01"/>
    <x v="0"/>
    <x v="8"/>
  </r>
  <r>
    <x v="320"/>
    <x v="2"/>
    <n v="250"/>
    <x v="0"/>
    <n v="516.24735290024091"/>
    <x v="1"/>
    <n v="542.05972054525296"/>
    <n v="0.03"/>
    <x v="0"/>
    <x v="5"/>
  </r>
  <r>
    <x v="165"/>
    <x v="0"/>
    <n v="280"/>
    <x v="0"/>
    <n v="536.85335685672726"/>
    <x v="0"/>
    <n v="563.69602469956362"/>
    <n v="0.03"/>
    <x v="1"/>
    <x v="41"/>
  </r>
  <r>
    <x v="112"/>
    <x v="3"/>
    <n v="195"/>
    <x v="0"/>
    <n v="518.65648202361899"/>
    <x v="1"/>
    <n v="544.58930612479992"/>
    <n v="0.01"/>
    <x v="0"/>
    <x v="4"/>
  </r>
  <r>
    <x v="31"/>
    <x v="5"/>
    <n v="200"/>
    <x v="2"/>
    <n v="548.25046248117906"/>
    <x v="0"/>
    <n v="575.66298560523808"/>
    <n v="0"/>
    <x v="0"/>
    <x v="8"/>
  </r>
  <r>
    <x v="40"/>
    <x v="2"/>
    <n v="250"/>
    <x v="0"/>
    <n v="550.45893557173622"/>
    <x v="0"/>
    <n v="577.98188235032308"/>
    <n v="0"/>
    <x v="0"/>
    <x v="11"/>
  </r>
  <r>
    <x v="352"/>
    <x v="2"/>
    <n v="250"/>
    <x v="0"/>
    <n v="549.18754438487304"/>
    <x v="0"/>
    <n v="576.64692160411676"/>
    <n v="0.01"/>
    <x v="1"/>
    <x v="2"/>
  </r>
  <r>
    <x v="19"/>
    <x v="4"/>
    <n v="175"/>
    <x v="2"/>
    <n v="507.88426826812338"/>
    <x v="1"/>
    <n v="533.27848168152957"/>
    <n v="0"/>
    <x v="0"/>
    <x v="2"/>
  </r>
  <r>
    <x v="247"/>
    <x v="3"/>
    <n v="195"/>
    <x v="0"/>
    <n v="514.20188215512644"/>
    <x v="1"/>
    <n v="539.91197626288283"/>
    <n v="0"/>
    <x v="1"/>
    <x v="41"/>
  </r>
  <r>
    <x v="72"/>
    <x v="4"/>
    <n v="175"/>
    <x v="2"/>
    <n v="534.49810424128646"/>
    <x v="0"/>
    <n v="561.22300945335076"/>
    <n v="0.02"/>
    <x v="1"/>
    <x v="24"/>
  </r>
  <r>
    <x v="267"/>
    <x v="4"/>
    <n v="175"/>
    <x v="2"/>
    <n v="517.02123090212899"/>
    <x v="1"/>
    <n v="542.87229244723551"/>
    <n v="0"/>
    <x v="0"/>
    <x v="0"/>
  </r>
  <r>
    <x v="201"/>
    <x v="5"/>
    <n v="200"/>
    <x v="2"/>
    <n v="550.41"/>
    <x v="0"/>
    <n v="577.93049999999994"/>
    <n v="0.02"/>
    <x v="0"/>
    <x v="18"/>
  </r>
  <r>
    <x v="269"/>
    <x v="4"/>
    <n v="175"/>
    <x v="2"/>
    <n v="525.49930716155359"/>
    <x v="1"/>
    <n v="551.77427251963127"/>
    <n v="0.01"/>
    <x v="0"/>
    <x v="11"/>
  </r>
  <r>
    <x v="36"/>
    <x v="0"/>
    <n v="280"/>
    <x v="0"/>
    <n v="523.96634419940074"/>
    <x v="1"/>
    <n v="550.16466140937075"/>
    <n v="0"/>
    <x v="0"/>
    <x v="35"/>
  </r>
  <r>
    <x v="344"/>
    <x v="3"/>
    <n v="195"/>
    <x v="0"/>
    <n v="508.73242834154371"/>
    <x v="1"/>
    <n v="534.16904975862087"/>
    <n v="0.01"/>
    <x v="0"/>
    <x v="12"/>
  </r>
  <r>
    <x v="320"/>
    <x v="5"/>
    <n v="200"/>
    <x v="2"/>
    <n v="535.82353209770645"/>
    <x v="0"/>
    <n v="562.61470870259177"/>
    <n v="0"/>
    <x v="0"/>
    <x v="28"/>
  </r>
  <r>
    <x v="353"/>
    <x v="2"/>
    <n v="250"/>
    <x v="0"/>
    <n v="507.08253036579617"/>
    <x v="1"/>
    <n v="532.43665688408601"/>
    <n v="0.01"/>
    <x v="0"/>
    <x v="17"/>
  </r>
  <r>
    <x v="303"/>
    <x v="1"/>
    <n v="140"/>
    <x v="1"/>
    <n v="531.85737081921525"/>
    <x v="0"/>
    <n v="558.45023936017606"/>
    <n v="0.01"/>
    <x v="1"/>
    <x v="37"/>
  </r>
  <r>
    <x v="38"/>
    <x v="3"/>
    <n v="195"/>
    <x v="0"/>
    <n v="500.47249388610453"/>
    <x v="1"/>
    <n v="525.49611858040976"/>
    <n v="0"/>
    <x v="0"/>
    <x v="16"/>
  </r>
  <r>
    <x v="61"/>
    <x v="4"/>
    <n v="175"/>
    <x v="2"/>
    <n v="526.8101939728067"/>
    <x v="1"/>
    <n v="553.1507036714471"/>
    <n v="0.03"/>
    <x v="0"/>
    <x v="12"/>
  </r>
  <r>
    <x v="335"/>
    <x v="4"/>
    <n v="175"/>
    <x v="2"/>
    <n v="505.58001219028847"/>
    <x v="1"/>
    <n v="530.85901279980294"/>
    <n v="0.02"/>
    <x v="0"/>
    <x v="7"/>
  </r>
  <r>
    <x v="93"/>
    <x v="2"/>
    <n v="250"/>
    <x v="0"/>
    <n v="532.68875447299615"/>
    <x v="0"/>
    <n v="559.323192196646"/>
    <n v="0.03"/>
    <x v="0"/>
    <x v="11"/>
  </r>
  <r>
    <x v="159"/>
    <x v="3"/>
    <n v="195"/>
    <x v="0"/>
    <n v="504.89886842784836"/>
    <x v="1"/>
    <n v="530.14381184924082"/>
    <n v="0.01"/>
    <x v="0"/>
    <x v="6"/>
  </r>
  <r>
    <x v="107"/>
    <x v="7"/>
    <n v="166"/>
    <x v="1"/>
    <n v="513.69426478355035"/>
    <x v="1"/>
    <n v="539.37897802272789"/>
    <n v="0.01"/>
    <x v="0"/>
    <x v="17"/>
  </r>
  <r>
    <x v="205"/>
    <x v="0"/>
    <n v="280"/>
    <x v="0"/>
    <n v="543.45945033897806"/>
    <x v="0"/>
    <n v="570.63242285592696"/>
    <n v="0"/>
    <x v="0"/>
    <x v="7"/>
  </r>
  <r>
    <x v="2"/>
    <x v="6"/>
    <n v="142"/>
    <x v="1"/>
    <n v="539.98995215298964"/>
    <x v="0"/>
    <n v="566.9894497606391"/>
    <n v="0.02"/>
    <x v="0"/>
    <x v="35"/>
  </r>
  <r>
    <x v="42"/>
    <x v="4"/>
    <n v="175"/>
    <x v="2"/>
    <n v="507.89616855035911"/>
    <x v="1"/>
    <n v="533.29097697787711"/>
    <n v="0.01"/>
    <x v="1"/>
    <x v="33"/>
  </r>
  <r>
    <x v="28"/>
    <x v="3"/>
    <n v="195"/>
    <x v="0"/>
    <n v="549.04159182541298"/>
    <x v="0"/>
    <n v="576.4936714166837"/>
    <n v="0.03"/>
    <x v="0"/>
    <x v="35"/>
  </r>
  <r>
    <x v="26"/>
    <x v="5"/>
    <n v="200"/>
    <x v="2"/>
    <n v="525.07588509228844"/>
    <x v="1"/>
    <n v="551.32967934690294"/>
    <n v="0.02"/>
    <x v="0"/>
    <x v="36"/>
  </r>
  <r>
    <x v="304"/>
    <x v="6"/>
    <n v="142"/>
    <x v="0"/>
    <n v="515.44845670475934"/>
    <x v="1"/>
    <n v="541.22087953999733"/>
    <n v="0.01"/>
    <x v="0"/>
    <x v="34"/>
  </r>
  <r>
    <x v="255"/>
    <x v="5"/>
    <n v="200"/>
    <x v="2"/>
    <n v="531.50073000751036"/>
    <x v="0"/>
    <n v="558.07576650788587"/>
    <n v="0.03"/>
    <x v="0"/>
    <x v="34"/>
  </r>
  <r>
    <x v="213"/>
    <x v="5"/>
    <n v="200"/>
    <x v="2"/>
    <n v="545.55721783971603"/>
    <x v="0"/>
    <n v="572.83507873170186"/>
    <n v="0"/>
    <x v="0"/>
    <x v="20"/>
  </r>
  <r>
    <x v="297"/>
    <x v="3"/>
    <n v="195"/>
    <x v="0"/>
    <n v="510.13866656940536"/>
    <x v="1"/>
    <n v="535.64559989787563"/>
    <n v="0.02"/>
    <x v="1"/>
    <x v="17"/>
  </r>
  <r>
    <x v="230"/>
    <x v="2"/>
    <n v="250"/>
    <x v="0"/>
    <n v="537.7394806188795"/>
    <x v="0"/>
    <n v="564.62645464982347"/>
    <n v="0.01"/>
    <x v="1"/>
    <x v="1"/>
  </r>
  <r>
    <x v="231"/>
    <x v="7"/>
    <n v="166"/>
    <x v="1"/>
    <n v="541.44724850496186"/>
    <x v="0"/>
    <n v="568.51961093020998"/>
    <n v="0.03"/>
    <x v="0"/>
    <x v="7"/>
  </r>
  <r>
    <x v="284"/>
    <x v="5"/>
    <n v="200"/>
    <x v="2"/>
    <n v="545.58000000000004"/>
    <x v="0"/>
    <n v="572.85900000000004"/>
    <n v="0"/>
    <x v="0"/>
    <x v="10"/>
  </r>
  <r>
    <x v="32"/>
    <x v="0"/>
    <n v="280"/>
    <x v="0"/>
    <n v="533.12808156053961"/>
    <x v="0"/>
    <n v="559.78448563856659"/>
    <n v="0"/>
    <x v="0"/>
    <x v="5"/>
  </r>
  <r>
    <x v="215"/>
    <x v="6"/>
    <n v="142"/>
    <x v="1"/>
    <n v="525.74734521009123"/>
    <x v="1"/>
    <n v="552.03471247059576"/>
    <n v="0"/>
    <x v="0"/>
    <x v="28"/>
  </r>
  <r>
    <x v="122"/>
    <x v="1"/>
    <n v="140"/>
    <x v="1"/>
    <n v="533.81950430471534"/>
    <x v="0"/>
    <n v="560.5104795199511"/>
    <n v="0.03"/>
    <x v="0"/>
    <x v="10"/>
  </r>
  <r>
    <x v="126"/>
    <x v="3"/>
    <n v="195"/>
    <x v="0"/>
    <n v="529.32859919651219"/>
    <x v="1"/>
    <n v="555.79502915633782"/>
    <n v="0.01"/>
    <x v="0"/>
    <x v="5"/>
  </r>
  <r>
    <x v="84"/>
    <x v="6"/>
    <n v="142"/>
    <x v="1"/>
    <n v="543.9268325088342"/>
    <x v="0"/>
    <n v="571.12317413427593"/>
    <n v="0.03"/>
    <x v="1"/>
    <x v="35"/>
  </r>
  <r>
    <x v="175"/>
    <x v="5"/>
    <n v="200"/>
    <x v="2"/>
    <n v="521.39318800667661"/>
    <x v="1"/>
    <n v="547.46284740701049"/>
    <n v="0"/>
    <x v="0"/>
    <x v="4"/>
  </r>
  <r>
    <x v="69"/>
    <x v="3"/>
    <n v="195"/>
    <x v="0"/>
    <n v="502.43223405836306"/>
    <x v="1"/>
    <n v="527.5538457612812"/>
    <n v="0.03"/>
    <x v="1"/>
    <x v="30"/>
  </r>
  <r>
    <x v="8"/>
    <x v="2"/>
    <n v="250"/>
    <x v="0"/>
    <n v="544.26453531495645"/>
    <x v="0"/>
    <n v="571.47776208070434"/>
    <n v="0"/>
    <x v="0"/>
    <x v="34"/>
  </r>
  <r>
    <x v="154"/>
    <x v="3"/>
    <n v="195"/>
    <x v="0"/>
    <n v="528.70629878607542"/>
    <x v="1"/>
    <n v="555.14161372537922"/>
    <n v="0.02"/>
    <x v="1"/>
    <x v="25"/>
  </r>
  <r>
    <x v="247"/>
    <x v="4"/>
    <n v="175"/>
    <x v="2"/>
    <n v="511.13727902466235"/>
    <x v="1"/>
    <n v="536.69414297589549"/>
    <n v="0.03"/>
    <x v="0"/>
    <x v="7"/>
  </r>
  <r>
    <x v="228"/>
    <x v="8"/>
    <n v="188"/>
    <x v="0"/>
    <n v="504.8646013519292"/>
    <x v="1"/>
    <n v="530.10783141952572"/>
    <n v="0"/>
    <x v="0"/>
    <x v="8"/>
  </r>
  <r>
    <x v="293"/>
    <x v="0"/>
    <n v="280"/>
    <x v="0"/>
    <n v="523.72929938063044"/>
    <x v="1"/>
    <n v="549.91576434966203"/>
    <n v="0.02"/>
    <x v="0"/>
    <x v="13"/>
  </r>
  <r>
    <x v="116"/>
    <x v="8"/>
    <n v="188"/>
    <x v="0"/>
    <n v="546.45358839093024"/>
    <x v="0"/>
    <n v="573.77626781047672"/>
    <n v="0"/>
    <x v="0"/>
    <x v="0"/>
  </r>
  <r>
    <x v="0"/>
    <x v="2"/>
    <n v="250"/>
    <x v="0"/>
    <n v="520.58694205337088"/>
    <x v="1"/>
    <n v="546.61628915603944"/>
    <n v="0.02"/>
    <x v="1"/>
    <x v="48"/>
  </r>
  <r>
    <x v="183"/>
    <x v="5"/>
    <n v="200"/>
    <x v="2"/>
    <n v="540.03671523653975"/>
    <x v="0"/>
    <n v="567.03855099836676"/>
    <n v="0.03"/>
    <x v="0"/>
    <x v="18"/>
  </r>
  <r>
    <x v="340"/>
    <x v="2"/>
    <n v="250"/>
    <x v="0"/>
    <n v="524.0348284117681"/>
    <x v="1"/>
    <n v="550.23656983235651"/>
    <n v="0.01"/>
    <x v="0"/>
    <x v="30"/>
  </r>
  <r>
    <x v="55"/>
    <x v="0"/>
    <n v="280"/>
    <x v="0"/>
    <n v="540.71669213227688"/>
    <x v="0"/>
    <n v="567.75252673889077"/>
    <n v="0"/>
    <x v="0"/>
    <x v="26"/>
  </r>
  <r>
    <x v="148"/>
    <x v="1"/>
    <n v="140"/>
    <x v="1"/>
    <n v="522.65427069439374"/>
    <x v="1"/>
    <n v="548.7869842291135"/>
    <n v="0.02"/>
    <x v="0"/>
    <x v="24"/>
  </r>
  <r>
    <x v="155"/>
    <x v="5"/>
    <n v="200"/>
    <x v="2"/>
    <n v="516.50406314587963"/>
    <x v="1"/>
    <n v="542.32926630317365"/>
    <n v="0.01"/>
    <x v="0"/>
    <x v="28"/>
  </r>
  <r>
    <x v="96"/>
    <x v="5"/>
    <n v="200"/>
    <x v="2"/>
    <n v="545.19966278428365"/>
    <x v="0"/>
    <n v="572.45964592349787"/>
    <n v="0.02"/>
    <x v="0"/>
    <x v="1"/>
  </r>
  <r>
    <x v="160"/>
    <x v="6"/>
    <n v="142"/>
    <x v="1"/>
    <n v="505.99909145680067"/>
    <x v="1"/>
    <n v="531.29904602964075"/>
    <n v="0.01"/>
    <x v="0"/>
    <x v="10"/>
  </r>
  <r>
    <x v="301"/>
    <x v="0"/>
    <n v="280"/>
    <x v="0"/>
    <n v="501.58373567624221"/>
    <x v="1"/>
    <n v="526.66292246005435"/>
    <n v="0.01"/>
    <x v="0"/>
    <x v="1"/>
  </r>
  <r>
    <x v="155"/>
    <x v="0"/>
    <n v="280"/>
    <x v="0"/>
    <n v="513.28595397264507"/>
    <x v="1"/>
    <n v="538.95025167127733"/>
    <n v="0.01"/>
    <x v="1"/>
    <x v="16"/>
  </r>
  <r>
    <x v="223"/>
    <x v="2"/>
    <n v="250"/>
    <x v="0"/>
    <n v="526.21199742337558"/>
    <x v="1"/>
    <n v="552.52259729454443"/>
    <n v="0"/>
    <x v="0"/>
    <x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28D96-B4DB-4734-9516-4D0F3CB74D14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1">
    <pivotField dataField="1" numFmtId="14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numFmtId="44" showAll="0"/>
    <pivotField showAll="0"/>
    <pivotField numFmtId="44" showAll="0"/>
    <pivotField numFmtId="164" showAll="0"/>
    <pivotField showAll="0"/>
    <pivotField showAll="0">
      <items count="51">
        <item x="23"/>
        <item x="21"/>
        <item x="32"/>
        <item x="40"/>
        <item x="38"/>
        <item x="6"/>
        <item x="12"/>
        <item x="20"/>
        <item x="9"/>
        <item x="24"/>
        <item x="17"/>
        <item x="16"/>
        <item x="13"/>
        <item x="11"/>
        <item x="25"/>
        <item x="29"/>
        <item x="10"/>
        <item x="19"/>
        <item x="14"/>
        <item x="3"/>
        <item x="15"/>
        <item x="35"/>
        <item x="4"/>
        <item x="7"/>
        <item x="5"/>
        <item x="34"/>
        <item x="30"/>
        <item x="36"/>
        <item x="26"/>
        <item x="28"/>
        <item x="0"/>
        <item x="18"/>
        <item x="1"/>
        <item x="2"/>
        <item x="8"/>
        <item x="45"/>
        <item x="44"/>
        <item x="49"/>
        <item x="37"/>
        <item x="48"/>
        <item x="22"/>
        <item x="47"/>
        <item x="42"/>
        <item x="39"/>
        <item x="41"/>
        <item x="43"/>
        <item x="31"/>
        <item x="46"/>
        <item x="33"/>
        <item x="27"/>
        <item t="default"/>
      </items>
    </pivotField>
    <pivotField showAll="0">
      <items count="5">
        <item x="3"/>
        <item x="0"/>
        <item x="1"/>
        <item x="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transactions" fld="0" subtotal="count" baseField="2" baseItem="0"/>
    <dataField name="Average of Sales amount" fld="4" subtotal="average" baseField="3" baseItem="0" numFmtId="165"/>
  </dataFields>
  <formats count="2">
    <format dxfId="16">
      <pivotArea outline="0" collapsedLevelsAreSubtotals="1" fieldPosition="0"/>
    </format>
    <format dxfId="15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6199CB-E73B-47EE-8752-808AE5BE179C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11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dataField="1" numFmtId="44" showAll="0"/>
    <pivotField showAll="0"/>
    <pivotField numFmtId="44" showAll="0"/>
    <pivotField numFmtId="164" showAll="0"/>
    <pivotField showAll="0"/>
    <pivotField showAll="0">
      <items count="51">
        <item x="23"/>
        <item x="21"/>
        <item x="32"/>
        <item x="40"/>
        <item x="38"/>
        <item x="6"/>
        <item x="12"/>
        <item x="20"/>
        <item x="9"/>
        <item x="24"/>
        <item x="17"/>
        <item x="16"/>
        <item x="13"/>
        <item x="11"/>
        <item x="25"/>
        <item x="29"/>
        <item x="10"/>
        <item x="19"/>
        <item x="14"/>
        <item x="3"/>
        <item x="15"/>
        <item x="35"/>
        <item x="4"/>
        <item x="7"/>
        <item x="5"/>
        <item x="34"/>
        <item x="30"/>
        <item x="36"/>
        <item x="26"/>
        <item x="28"/>
        <item x="0"/>
        <item x="18"/>
        <item x="1"/>
        <item x="2"/>
        <item x="8"/>
        <item x="45"/>
        <item x="44"/>
        <item x="49"/>
        <item x="37"/>
        <item x="48"/>
        <item x="22"/>
        <item x="47"/>
        <item x="42"/>
        <item x="39"/>
        <item x="41"/>
        <item x="43"/>
        <item x="31"/>
        <item x="46"/>
        <item x="33"/>
        <item x="27"/>
        <item t="default"/>
      </items>
    </pivotField>
    <pivotField showAll="0">
      <items count="5">
        <item x="3"/>
        <item x="0"/>
        <item x="1"/>
        <item x="2"/>
        <item t="default"/>
      </items>
    </pivotField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s amount" fld="4" subtotal="average" baseField="7" baseItem="5" numFmtId="165"/>
    <dataField name="% increase" fld="4" subtotal="average" showDataAs="percentDiff" baseField="0" baseItem="1048828" numFmtId="10"/>
  </dataFields>
  <formats count="2">
    <format dxfId="14">
      <pivotArea outline="0" collapsedLevelsAreSubtotals="1" fieldPosition="0"/>
    </format>
    <format dxfId="13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A0B8AE-0506-44D4-A066-A922112D95E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11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numFmtId="44" showAll="0"/>
    <pivotField showAll="0"/>
    <pivotField dataField="1" numFmtId="44" showAll="0"/>
    <pivotField numFmtId="164" showAll="0"/>
    <pivotField showAll="0"/>
    <pivotField showAll="0">
      <items count="51">
        <item x="23"/>
        <item x="21"/>
        <item x="32"/>
        <item x="40"/>
        <item x="38"/>
        <item x="6"/>
        <item x="12"/>
        <item x="20"/>
        <item x="9"/>
        <item x="24"/>
        <item x="17"/>
        <item x="16"/>
        <item x="13"/>
        <item x="11"/>
        <item x="25"/>
        <item x="29"/>
        <item x="10"/>
        <item x="19"/>
        <item x="14"/>
        <item x="3"/>
        <item x="15"/>
        <item x="35"/>
        <item x="4"/>
        <item x="7"/>
        <item x="5"/>
        <item x="34"/>
        <item x="30"/>
        <item x="36"/>
        <item x="26"/>
        <item x="28"/>
        <item x="0"/>
        <item x="18"/>
        <item x="1"/>
        <item x="2"/>
        <item x="8"/>
        <item x="45"/>
        <item x="44"/>
        <item x="49"/>
        <item x="37"/>
        <item x="48"/>
        <item x="22"/>
        <item x="47"/>
        <item x="42"/>
        <item x="39"/>
        <item x="41"/>
        <item x="43"/>
        <item x="31"/>
        <item x="46"/>
        <item x="33"/>
        <item x="27"/>
        <item t="default"/>
      </items>
    </pivotField>
    <pivotField showAll="0">
      <items count="5">
        <item x="3"/>
        <item x="0"/>
        <item x="1"/>
        <item x="2"/>
        <item t="default"/>
      </items>
    </pivotField>
  </pivotFields>
  <rowFields count="1"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s incremented" fld="6" subtotal="average" baseField="8" baseItem="5" numFmtId="165"/>
    <dataField name="% increase" fld="6" subtotal="average" showDataAs="percentDiff" baseField="0" baseItem="1048828" numFmtId="10"/>
  </dataFields>
  <formats count="2">
    <format dxfId="12">
      <pivotArea outline="0" collapsedLevelsAreSubtotals="1" fieldPosition="0"/>
    </format>
    <format dxfId="11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E9ADBF-2246-497C-BC52-AD72F737252B}" name="PivotTable8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C19" firstHeaderRow="1" firstDataRow="2" firstDataCol="1"/>
  <pivotFields count="11">
    <pivotField dataField="1" numFmtId="14" showAll="0"/>
    <pivotField axis="axisRow" showAll="0">
      <items count="10">
        <item x="0"/>
        <item x="2"/>
        <item x="3"/>
        <item x="8"/>
        <item x="5"/>
        <item x="4"/>
        <item x="7"/>
        <item x="6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numFmtId="44" showAll="0"/>
    <pivotField axis="axisCol" showAll="0">
      <items count="3">
        <item x="1"/>
        <item x="0"/>
        <item t="default"/>
      </items>
    </pivotField>
    <pivotField numFmtId="44" showAll="0"/>
    <pivotField numFmtId="164" showAll="0"/>
    <pivotField showAll="0"/>
    <pivotField showAll="0">
      <items count="51">
        <item x="23"/>
        <item x="21"/>
        <item x="32"/>
        <item x="40"/>
        <item x="38"/>
        <item x="6"/>
        <item x="12"/>
        <item x="20"/>
        <item x="9"/>
        <item x="24"/>
        <item x="17"/>
        <item x="16"/>
        <item x="13"/>
        <item x="11"/>
        <item x="25"/>
        <item x="29"/>
        <item x="10"/>
        <item x="19"/>
        <item x="14"/>
        <item x="3"/>
        <item x="15"/>
        <item x="35"/>
        <item x="4"/>
        <item x="7"/>
        <item x="5"/>
        <item x="34"/>
        <item x="30"/>
        <item x="36"/>
        <item x="26"/>
        <item x="28"/>
        <item x="0"/>
        <item x="18"/>
        <item x="1"/>
        <item x="2"/>
        <item x="8"/>
        <item x="45"/>
        <item x="44"/>
        <item x="49"/>
        <item x="37"/>
        <item x="48"/>
        <item x="22"/>
        <item x="47"/>
        <item x="42"/>
        <item x="39"/>
        <item x="41"/>
        <item x="43"/>
        <item x="31"/>
        <item x="46"/>
        <item x="33"/>
        <item x="27"/>
        <item t="default"/>
      </items>
    </pivotField>
    <pivotField showAll="0">
      <items count="5">
        <item x="3"/>
        <item x="0"/>
        <item x="1"/>
        <item x="2"/>
        <item t="default"/>
      </items>
    </pivotField>
  </pivotFields>
  <rowFields count="2">
    <field x="3"/>
    <field x="1"/>
  </rowFields>
  <rowItems count="15">
    <i>
      <x/>
    </i>
    <i r="1">
      <x/>
    </i>
    <i r="1">
      <x v="1"/>
    </i>
    <i r="1">
      <x v="2"/>
    </i>
    <i r="1">
      <x v="3"/>
    </i>
    <i r="1">
      <x v="6"/>
    </i>
    <i r="1">
      <x v="7"/>
    </i>
    <i>
      <x v="1"/>
    </i>
    <i r="1">
      <x v="6"/>
    </i>
    <i r="1">
      <x v="7"/>
    </i>
    <i r="1">
      <x v="8"/>
    </i>
    <i>
      <x v="2"/>
    </i>
    <i r="1">
      <x v="4"/>
    </i>
    <i r="1">
      <x v="5"/>
    </i>
    <i t="grand">
      <x/>
    </i>
  </rowItems>
  <colFields count="1">
    <field x="5"/>
  </colFields>
  <colItems count="2">
    <i>
      <x/>
    </i>
    <i>
      <x v="1"/>
    </i>
  </colItems>
  <dataFields count="1">
    <dataField name="Number of transactions" fld="0" subtotal="count" baseField="2" baseItem="0"/>
  </dataFields>
  <formats count="1">
    <format dxfId="10">
      <pivotArea dataOnly="0" outline="0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21FBE-0A2E-41CC-BB86-3E990DA6AE82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0" firstHeaderRow="1" firstDataRow="1" firstDataCol="1" rowPageCount="1" colPageCount="1"/>
  <pivotFields count="11">
    <pivotField numFmtId="14" showAll="0"/>
    <pivotField showAll="0"/>
    <pivotField showAll="0"/>
    <pivotField showAll="0"/>
    <pivotField dataField="1" numFmtId="44" showAll="0"/>
    <pivotField showAll="0"/>
    <pivotField numFmtId="44" showAll="0"/>
    <pivotField numFmtId="164" showAll="0"/>
    <pivotField axis="axisPage" showAll="0">
      <items count="3">
        <item x="0"/>
        <item x="1"/>
        <item t="default"/>
      </items>
    </pivotField>
    <pivotField showAll="0">
      <items count="51">
        <item x="23"/>
        <item x="21"/>
        <item x="32"/>
        <item x="40"/>
        <item x="38"/>
        <item x="6"/>
        <item x="12"/>
        <item x="20"/>
        <item x="9"/>
        <item x="24"/>
        <item x="17"/>
        <item x="16"/>
        <item x="13"/>
        <item x="11"/>
        <item x="25"/>
        <item x="29"/>
        <item x="10"/>
        <item x="19"/>
        <item x="14"/>
        <item x="3"/>
        <item x="15"/>
        <item x="35"/>
        <item x="4"/>
        <item x="7"/>
        <item x="5"/>
        <item x="34"/>
        <item x="30"/>
        <item x="36"/>
        <item x="26"/>
        <item x="28"/>
        <item x="0"/>
        <item x="18"/>
        <item x="1"/>
        <item x="2"/>
        <item x="8"/>
        <item x="45"/>
        <item x="44"/>
        <item x="49"/>
        <item x="37"/>
        <item x="48"/>
        <item x="22"/>
        <item x="47"/>
        <item x="42"/>
        <item x="39"/>
        <item x="41"/>
        <item x="43"/>
        <item x="31"/>
        <item x="46"/>
        <item x="33"/>
        <item x="27"/>
        <item t="default"/>
      </items>
    </pivotField>
    <pivotField axis="axisRow" showAll="0" sortType="descending">
      <items count="5">
        <item n="Other" x="3"/>
        <item n="From 20 to 29" x="0"/>
        <item n="From 30 to 39" x="1"/>
        <item n="Over 50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5">
    <i>
      <x v="1"/>
    </i>
    <i>
      <x v="2"/>
    </i>
    <i>
      <x/>
    </i>
    <i>
      <x v="3"/>
    </i>
    <i t="grand">
      <x/>
    </i>
  </rowItems>
  <colItems count="1">
    <i/>
  </colItems>
  <pageFields count="1">
    <pageField fld="8" item="1" hier="-1"/>
  </pageFields>
  <dataFields count="1">
    <dataField name="Average of Sales amount" fld="4" subtotal="average" baseField="9" baseItem="1" numFmtId="165"/>
  </dataFields>
  <formats count="5">
    <format dxfId="9">
      <pivotArea outline="0" collapsedLevelsAreSubtotals="1" fieldPosition="0"/>
    </format>
    <format dxfId="8">
      <pivotArea collapsedLevelsAreSubtotals="1" fieldPosition="0">
        <references count="1">
          <reference field="10" count="1">
            <x v="1"/>
          </reference>
        </references>
      </pivotArea>
    </format>
    <format dxfId="7">
      <pivotArea dataOnly="0" labelOnly="1" fieldPosition="0">
        <references count="1">
          <reference field="10" count="1">
            <x v="1"/>
          </reference>
        </references>
      </pivotArea>
    </format>
    <format dxfId="6">
      <pivotArea collapsedLevelsAreSubtotals="1" fieldPosition="0">
        <references count="1">
          <reference field="10" count="1">
            <x v="1"/>
          </reference>
        </references>
      </pivotArea>
    </format>
    <format dxfId="5">
      <pivotArea dataOnly="0" labelOnly="1" fieldPosition="0">
        <references count="1">
          <reference field="10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22CA1-DC2C-4196-88F0-DE660E940E3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0" firstDataRow="1" firstDataCol="1"/>
  <pivotFields count="11">
    <pivotField numFmtId="14" showAll="0"/>
    <pivotField axis="axisRow" showAll="0" sortType="descending">
      <items count="10">
        <item x="0"/>
        <item x="2"/>
        <item x="3"/>
        <item x="8"/>
        <item x="5"/>
        <item x="4"/>
        <item x="7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dataField="1" numFmtId="44" showAll="0"/>
    <pivotField showAll="0"/>
    <pivotField numFmtId="44" showAll="0"/>
    <pivotField numFmtId="164" showAll="0"/>
    <pivotField showAll="0"/>
    <pivotField showAll="0">
      <items count="51">
        <item x="23"/>
        <item x="21"/>
        <item x="32"/>
        <item x="40"/>
        <item x="38"/>
        <item x="6"/>
        <item x="12"/>
        <item x="20"/>
        <item x="9"/>
        <item x="24"/>
        <item x="17"/>
        <item x="16"/>
        <item x="13"/>
        <item x="11"/>
        <item x="25"/>
        <item x="29"/>
        <item x="10"/>
        <item x="19"/>
        <item x="14"/>
        <item x="3"/>
        <item x="15"/>
        <item x="35"/>
        <item x="4"/>
        <item x="7"/>
        <item x="5"/>
        <item x="34"/>
        <item x="30"/>
        <item x="36"/>
        <item x="26"/>
        <item x="28"/>
        <item x="0"/>
        <item x="18"/>
        <item x="1"/>
        <item x="2"/>
        <item x="8"/>
        <item x="45"/>
        <item x="44"/>
        <item x="49"/>
        <item x="37"/>
        <item x="48"/>
        <item x="22"/>
        <item x="47"/>
        <item x="42"/>
        <item x="39"/>
        <item x="41"/>
        <item x="43"/>
        <item x="31"/>
        <item x="46"/>
        <item x="33"/>
        <item x="27"/>
        <item t="default"/>
      </items>
    </pivotField>
    <pivotField showAll="0">
      <items count="5">
        <item x="3"/>
        <item x="0"/>
        <item x="1"/>
        <item x="2"/>
        <item t="default"/>
      </items>
    </pivotField>
  </pivotFields>
  <rowFields count="1">
    <field x="1"/>
  </rowFields>
  <rowItems count="10">
    <i>
      <x v="2"/>
    </i>
    <i>
      <x v="4"/>
    </i>
    <i>
      <x v="5"/>
    </i>
    <i>
      <x/>
    </i>
    <i>
      <x v="1"/>
    </i>
    <i>
      <x v="3"/>
    </i>
    <i>
      <x v="7"/>
    </i>
    <i>
      <x v="6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amount" fld="4" baseField="1" baseItem="0" numFmtId="165"/>
    <dataField name="Sum of Area in sqm" fld="2" baseField="0" baseItem="0"/>
  </dataFields>
  <formats count="5">
    <format dxfId="4">
      <pivotArea collapsedLevelsAreSubtotals="1" fieldPosition="0">
        <references count="2">
          <reference field="4294967294" count="1" selected="0">
            <x v="0"/>
          </reference>
          <reference field="1" count="2">
            <x v="2"/>
            <x v="4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0"/>
          </reference>
          <reference field="1" count="2">
            <x v="2"/>
            <x v="4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1" count="1">
            <x v="2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0"/>
          </reference>
          <reference field="1" count="1">
            <x v="4"/>
          </reference>
        </references>
      </pivotArea>
    </format>
    <format dxfId="0">
      <pivotArea dataOnly="0" labelOnly="1" fieldPosition="0">
        <references count="1">
          <reference field="1" count="2">
            <x v="2"/>
            <x v="4"/>
          </reference>
        </references>
      </pivotArea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9">
              <x v="0"/>
              <x v="1"/>
              <x v="2"/>
              <x v="3"/>
              <x v="4"/>
              <x v="5"/>
              <x v="6"/>
              <x v="7"/>
              <x v="8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17"/>
  <sheetViews>
    <sheetView showGridLines="0" zoomScale="95" zoomScaleNormal="95" workbookViewId="0">
      <selection sqref="A1:J1"/>
    </sheetView>
  </sheetViews>
  <sheetFormatPr baseColWidth="10" defaultColWidth="10.88671875" defaultRowHeight="13.2" x14ac:dyDescent="0.25"/>
  <cols>
    <col min="1" max="1" width="11" bestFit="1" customWidth="1"/>
    <col min="2" max="2" width="13.44140625" bestFit="1" customWidth="1"/>
    <col min="3" max="3" width="11.44140625" bestFit="1" customWidth="1"/>
    <col min="4" max="4" width="7" bestFit="1" customWidth="1"/>
    <col min="5" max="5" width="13.109375" bestFit="1" customWidth="1"/>
    <col min="6" max="6" width="18.44140625" bestFit="1" customWidth="1"/>
    <col min="7" max="7" width="17.6640625" bestFit="1" customWidth="1"/>
    <col min="8" max="9" width="9" bestFit="1" customWidth="1"/>
    <col min="10" max="10" width="4.44140625" bestFit="1" customWidth="1"/>
    <col min="11" max="11" width="1.44140625" customWidth="1"/>
    <col min="12" max="12" width="2.5546875" bestFit="1" customWidth="1"/>
    <col min="13" max="13" width="98.5546875" bestFit="1" customWidth="1"/>
    <col min="14" max="14" width="2.88671875" bestFit="1" customWidth="1"/>
  </cols>
  <sheetData>
    <row r="1" spans="1:14" ht="28.8" x14ac:dyDescent="0.55000000000000004">
      <c r="A1" s="36" t="s">
        <v>4</v>
      </c>
      <c r="B1" s="36"/>
      <c r="C1" s="36"/>
      <c r="D1" s="36"/>
      <c r="E1" s="36"/>
      <c r="F1" s="36"/>
      <c r="G1" s="36"/>
      <c r="H1" s="36"/>
      <c r="I1" s="36"/>
      <c r="J1" s="36"/>
      <c r="K1" s="15"/>
      <c r="L1" s="15"/>
      <c r="M1" s="36" t="s">
        <v>3</v>
      </c>
      <c r="N1" s="36"/>
    </row>
    <row r="3" spans="1:14" ht="18" x14ac:dyDescent="0.35">
      <c r="A3" s="4" t="s">
        <v>5</v>
      </c>
      <c r="B3" s="4" t="s">
        <v>6</v>
      </c>
      <c r="C3" s="31" t="s">
        <v>52</v>
      </c>
      <c r="D3" s="4" t="s">
        <v>7</v>
      </c>
      <c r="E3" s="4" t="s">
        <v>8</v>
      </c>
      <c r="F3" s="31" t="s">
        <v>39</v>
      </c>
      <c r="G3" s="31" t="s">
        <v>35</v>
      </c>
      <c r="H3" s="4" t="s">
        <v>9</v>
      </c>
      <c r="I3" s="4" t="s">
        <v>18</v>
      </c>
      <c r="J3" s="4" t="s">
        <v>10</v>
      </c>
      <c r="K3" s="1"/>
      <c r="L3" s="10"/>
      <c r="M3" s="9" t="s">
        <v>0</v>
      </c>
      <c r="N3" s="10"/>
    </row>
    <row r="4" spans="1:14" ht="17.399999999999999" x14ac:dyDescent="0.35">
      <c r="A4" s="14">
        <v>44843</v>
      </c>
      <c r="B4" s="5">
        <v>1</v>
      </c>
      <c r="C4" s="32">
        <f>VLOOKUP(B4,'area in m2'!B$2:C$10,2,FALSE)</f>
        <v>280</v>
      </c>
      <c r="D4" s="5" t="s">
        <v>11</v>
      </c>
      <c r="E4" s="6">
        <v>533.62466465154921</v>
      </c>
      <c r="F4" s="33" t="str">
        <f>IF(E4&gt;530,"Over 530","Below 530")</f>
        <v>Over 530</v>
      </c>
      <c r="G4" s="33">
        <f>+E4*1.05</f>
        <v>560.30589788412669</v>
      </c>
      <c r="H4" s="7">
        <v>0.01</v>
      </c>
      <c r="I4" s="5" t="s">
        <v>14</v>
      </c>
      <c r="J4" s="5">
        <v>46</v>
      </c>
      <c r="K4" s="2"/>
      <c r="L4" s="13">
        <v>1</v>
      </c>
      <c r="M4" s="13" t="s">
        <v>16</v>
      </c>
    </row>
    <row r="5" spans="1:14" ht="17.399999999999999" x14ac:dyDescent="0.35">
      <c r="A5" s="14">
        <v>44786</v>
      </c>
      <c r="B5" s="5">
        <v>9</v>
      </c>
      <c r="C5" s="32">
        <f>VLOOKUP(B5,'area in m2'!B$2:C$10,2,FALSE)</f>
        <v>140</v>
      </c>
      <c r="D5" s="5" t="s">
        <v>12</v>
      </c>
      <c r="E5" s="6">
        <v>521.93931604370209</v>
      </c>
      <c r="F5" s="33" t="str">
        <f t="shared" ref="F5:F68" si="0">IF(E5&gt;530,"Over 530","Below 530")</f>
        <v>Below 530</v>
      </c>
      <c r="G5" s="33">
        <f t="shared" ref="G5:G68" si="1">+E5*1.05</f>
        <v>548.03628184588717</v>
      </c>
      <c r="H5" s="7">
        <v>0.02</v>
      </c>
      <c r="I5" s="5" t="s">
        <v>15</v>
      </c>
      <c r="J5" s="5">
        <v>48</v>
      </c>
      <c r="K5" s="2"/>
      <c r="L5" s="13">
        <v>2</v>
      </c>
      <c r="M5" s="13" t="s">
        <v>49</v>
      </c>
    </row>
    <row r="6" spans="1:14" ht="17.399999999999999" x14ac:dyDescent="0.35">
      <c r="A6" s="14">
        <v>44682</v>
      </c>
      <c r="B6" s="5">
        <v>2</v>
      </c>
      <c r="C6" s="32">
        <f>VLOOKUP(B6,'area in m2'!B$2:C$10,2,FALSE)</f>
        <v>250</v>
      </c>
      <c r="D6" s="5" t="s">
        <v>11</v>
      </c>
      <c r="E6" s="6">
        <v>522.2433839538262</v>
      </c>
      <c r="F6" s="33" t="str">
        <f t="shared" si="0"/>
        <v>Below 530</v>
      </c>
      <c r="G6" s="33">
        <f t="shared" si="1"/>
        <v>548.35555315151748</v>
      </c>
      <c r="H6" s="7">
        <v>0</v>
      </c>
      <c r="I6" s="5" t="s">
        <v>15</v>
      </c>
      <c r="J6" s="5">
        <v>49</v>
      </c>
      <c r="K6" s="2"/>
      <c r="L6" s="13">
        <v>3</v>
      </c>
      <c r="M6" s="13" t="s">
        <v>17</v>
      </c>
    </row>
    <row r="7" spans="1:14" ht="14.4" x14ac:dyDescent="0.3">
      <c r="A7" s="14">
        <v>44634</v>
      </c>
      <c r="B7" s="5">
        <v>9</v>
      </c>
      <c r="C7" s="32">
        <f>VLOOKUP(B7,'area in m2'!B$2:C$10,2,FALSE)</f>
        <v>140</v>
      </c>
      <c r="D7" s="5" t="s">
        <v>12</v>
      </c>
      <c r="E7" s="6">
        <v>504.80304413866179</v>
      </c>
      <c r="F7" s="33" t="str">
        <f t="shared" si="0"/>
        <v>Below 530</v>
      </c>
      <c r="G7" s="33">
        <f t="shared" si="1"/>
        <v>530.04319634559488</v>
      </c>
      <c r="H7" s="7">
        <v>0.02</v>
      </c>
      <c r="I7" s="5" t="s">
        <v>14</v>
      </c>
      <c r="J7" s="5">
        <v>35</v>
      </c>
      <c r="K7" s="2"/>
    </row>
    <row r="8" spans="1:14" ht="18" x14ac:dyDescent="0.35">
      <c r="A8" s="14">
        <v>44888</v>
      </c>
      <c r="B8" s="5">
        <v>3</v>
      </c>
      <c r="C8" s="32">
        <f>VLOOKUP(B8,'area in m2'!B$2:C$10,2,FALSE)</f>
        <v>195</v>
      </c>
      <c r="D8" s="5" t="s">
        <v>11</v>
      </c>
      <c r="E8" s="6">
        <v>524.31073760378604</v>
      </c>
      <c r="F8" s="33" t="str">
        <f t="shared" si="0"/>
        <v>Below 530</v>
      </c>
      <c r="G8" s="33">
        <f t="shared" si="1"/>
        <v>550.52627448397539</v>
      </c>
      <c r="H8" s="7">
        <v>0.01</v>
      </c>
      <c r="I8" s="5" t="s">
        <v>14</v>
      </c>
      <c r="J8" s="5">
        <v>38</v>
      </c>
      <c r="K8" s="2"/>
      <c r="L8" s="12"/>
      <c r="M8" s="11" t="s">
        <v>1</v>
      </c>
    </row>
    <row r="9" spans="1:14" ht="17.399999999999999" x14ac:dyDescent="0.35">
      <c r="A9" s="14">
        <v>44631</v>
      </c>
      <c r="B9" s="5">
        <v>6</v>
      </c>
      <c r="C9" s="32">
        <f>VLOOKUP(B9,'area in m2'!B$2:C$10,2,FALSE)</f>
        <v>175</v>
      </c>
      <c r="D9" s="5" t="s">
        <v>13</v>
      </c>
      <c r="E9" s="6">
        <v>505.40692903705076</v>
      </c>
      <c r="F9" s="33" t="str">
        <f t="shared" si="0"/>
        <v>Below 530</v>
      </c>
      <c r="G9" s="33">
        <f t="shared" si="1"/>
        <v>530.67727548890332</v>
      </c>
      <c r="H9" s="7">
        <v>0</v>
      </c>
      <c r="I9" s="5" t="s">
        <v>14</v>
      </c>
      <c r="J9" s="5">
        <v>40</v>
      </c>
      <c r="K9" s="2"/>
      <c r="L9" s="21">
        <v>4</v>
      </c>
      <c r="M9" s="12" t="s">
        <v>2</v>
      </c>
    </row>
    <row r="10" spans="1:14" ht="17.399999999999999" x14ac:dyDescent="0.35">
      <c r="A10" s="14">
        <v>44807</v>
      </c>
      <c r="B10" s="5">
        <v>1</v>
      </c>
      <c r="C10" s="32">
        <f>VLOOKUP(B10,'area in m2'!B$2:C$10,2,FALSE)</f>
        <v>280</v>
      </c>
      <c r="D10" s="5" t="s">
        <v>11</v>
      </c>
      <c r="E10" s="6">
        <v>520.79123385421008</v>
      </c>
      <c r="F10" s="33" t="str">
        <f t="shared" si="0"/>
        <v>Below 530</v>
      </c>
      <c r="G10" s="33">
        <f t="shared" si="1"/>
        <v>546.83079554692063</v>
      </c>
      <c r="H10" s="7">
        <v>0.01</v>
      </c>
      <c r="I10" s="5" t="s">
        <v>14</v>
      </c>
      <c r="J10" s="5">
        <v>21</v>
      </c>
      <c r="K10" s="2"/>
      <c r="L10" s="21">
        <v>5</v>
      </c>
      <c r="M10" s="20" t="s">
        <v>50</v>
      </c>
    </row>
    <row r="11" spans="1:14" ht="17.399999999999999" x14ac:dyDescent="0.35">
      <c r="A11" s="14">
        <v>44919</v>
      </c>
      <c r="B11" s="5">
        <v>1</v>
      </c>
      <c r="C11" s="32">
        <f>VLOOKUP(B11,'area in m2'!B$2:C$10,2,FALSE)</f>
        <v>280</v>
      </c>
      <c r="D11" s="5" t="s">
        <v>11</v>
      </c>
      <c r="E11" s="6">
        <v>501.27099782657842</v>
      </c>
      <c r="F11" s="33" t="str">
        <f t="shared" si="0"/>
        <v>Below 530</v>
      </c>
      <c r="G11" s="33">
        <f t="shared" si="1"/>
        <v>526.33454771790741</v>
      </c>
      <c r="H11" s="7">
        <v>0</v>
      </c>
      <c r="I11" s="5" t="s">
        <v>15</v>
      </c>
      <c r="J11" s="5">
        <v>39</v>
      </c>
      <c r="K11" s="2"/>
      <c r="L11" s="21">
        <v>6</v>
      </c>
      <c r="M11" s="12" t="s">
        <v>46</v>
      </c>
    </row>
    <row r="12" spans="1:14" ht="14.4" x14ac:dyDescent="0.3">
      <c r="A12" s="14">
        <v>44634</v>
      </c>
      <c r="B12" s="5">
        <v>9</v>
      </c>
      <c r="C12" s="32">
        <f>VLOOKUP(B12,'area in m2'!B$2:C$10,2,FALSE)</f>
        <v>140</v>
      </c>
      <c r="D12" s="5" t="s">
        <v>12</v>
      </c>
      <c r="E12" s="6">
        <v>543.18559837383145</v>
      </c>
      <c r="F12" s="33" t="str">
        <f t="shared" si="0"/>
        <v>Over 530</v>
      </c>
      <c r="G12" s="33">
        <f t="shared" si="1"/>
        <v>570.34487829252305</v>
      </c>
      <c r="H12" s="7">
        <v>0.01</v>
      </c>
      <c r="I12" s="5" t="s">
        <v>14</v>
      </c>
      <c r="J12" s="5">
        <v>50</v>
      </c>
      <c r="K12" s="2"/>
    </row>
    <row r="13" spans="1:14" ht="17.399999999999999" x14ac:dyDescent="0.35">
      <c r="A13" s="14">
        <v>44734</v>
      </c>
      <c r="B13" s="5">
        <v>1</v>
      </c>
      <c r="C13" s="32">
        <f>VLOOKUP(B13,'area in m2'!B$2:C$10,2,FALSE)</f>
        <v>280</v>
      </c>
      <c r="D13" s="5" t="s">
        <v>11</v>
      </c>
      <c r="E13" s="6">
        <v>524.31993259310275</v>
      </c>
      <c r="F13" s="33" t="str">
        <f t="shared" si="0"/>
        <v>Below 530</v>
      </c>
      <c r="G13" s="33">
        <f t="shared" si="1"/>
        <v>550.53592922275789</v>
      </c>
      <c r="H13" s="7">
        <v>0.02</v>
      </c>
      <c r="I13" s="5" t="s">
        <v>14</v>
      </c>
      <c r="J13" s="5">
        <v>24</v>
      </c>
      <c r="K13" s="2"/>
      <c r="L13" s="21"/>
      <c r="M13" s="20"/>
    </row>
    <row r="14" spans="1:14" ht="17.399999999999999" x14ac:dyDescent="0.3">
      <c r="A14" s="14">
        <v>44680</v>
      </c>
      <c r="B14" s="5">
        <v>5</v>
      </c>
      <c r="C14" s="32">
        <f>VLOOKUP(B14,'area in m2'!B$2:C$10,2,FALSE)</f>
        <v>200</v>
      </c>
      <c r="D14" s="5" t="s">
        <v>13</v>
      </c>
      <c r="E14" s="6">
        <v>521.06854525906238</v>
      </c>
      <c r="F14" s="33" t="str">
        <f t="shared" si="0"/>
        <v>Below 530</v>
      </c>
      <c r="G14" s="33">
        <f t="shared" si="1"/>
        <v>547.12197252201554</v>
      </c>
      <c r="H14" s="7">
        <v>0.02</v>
      </c>
      <c r="I14" s="5" t="s">
        <v>15</v>
      </c>
      <c r="J14" s="5">
        <v>32</v>
      </c>
      <c r="K14" s="2"/>
      <c r="L14" s="21"/>
    </row>
    <row r="15" spans="1:14" ht="14.4" x14ac:dyDescent="0.3">
      <c r="A15" s="14">
        <v>44878</v>
      </c>
      <c r="B15" s="5">
        <v>8</v>
      </c>
      <c r="C15" s="32">
        <f>VLOOKUP(B15,'area in m2'!B$2:C$10,2,FALSE)</f>
        <v>142</v>
      </c>
      <c r="D15" s="5" t="s">
        <v>12</v>
      </c>
      <c r="E15" s="6">
        <v>507.96048314913514</v>
      </c>
      <c r="F15" s="33" t="str">
        <f t="shared" si="0"/>
        <v>Below 530</v>
      </c>
      <c r="G15" s="33">
        <f t="shared" si="1"/>
        <v>533.35850730659195</v>
      </c>
      <c r="H15" s="7">
        <v>0.01</v>
      </c>
      <c r="I15" s="5" t="s">
        <v>14</v>
      </c>
      <c r="J15" s="5">
        <v>29</v>
      </c>
      <c r="K15" s="2"/>
    </row>
    <row r="16" spans="1:14" ht="14.4" x14ac:dyDescent="0.3">
      <c r="A16" s="14">
        <v>44917</v>
      </c>
      <c r="B16" s="5">
        <v>6</v>
      </c>
      <c r="C16" s="32">
        <f>VLOOKUP(B16,'area in m2'!B$2:C$10,2,FALSE)</f>
        <v>175</v>
      </c>
      <c r="D16" s="5" t="s">
        <v>13</v>
      </c>
      <c r="E16" s="6">
        <v>518.81312146490654</v>
      </c>
      <c r="F16" s="33" t="str">
        <f t="shared" si="0"/>
        <v>Below 530</v>
      </c>
      <c r="G16" s="33">
        <f t="shared" si="1"/>
        <v>544.75377753815189</v>
      </c>
      <c r="H16" s="7">
        <v>0.03</v>
      </c>
      <c r="I16" s="5" t="s">
        <v>14</v>
      </c>
      <c r="J16" s="5">
        <v>22</v>
      </c>
      <c r="K16" s="2"/>
      <c r="L16" s="3"/>
      <c r="M16" s="8"/>
    </row>
    <row r="17" spans="1:13" ht="14.4" x14ac:dyDescent="0.3">
      <c r="A17" s="14">
        <v>44736</v>
      </c>
      <c r="B17" s="5">
        <v>6</v>
      </c>
      <c r="C17" s="32">
        <f>VLOOKUP(B17,'area in m2'!B$2:C$10,2,FALSE)</f>
        <v>175</v>
      </c>
      <c r="D17" s="5" t="s">
        <v>13</v>
      </c>
      <c r="E17" s="6">
        <v>519.04455634810165</v>
      </c>
      <c r="F17" s="33" t="str">
        <f t="shared" si="0"/>
        <v>Below 530</v>
      </c>
      <c r="G17" s="33">
        <f t="shared" si="1"/>
        <v>544.99678416550671</v>
      </c>
      <c r="H17" s="7">
        <v>0</v>
      </c>
      <c r="I17" s="5" t="s">
        <v>15</v>
      </c>
      <c r="J17" s="5">
        <v>39</v>
      </c>
      <c r="K17" s="2"/>
      <c r="L17" s="3"/>
      <c r="M17" s="3"/>
    </row>
    <row r="18" spans="1:13" ht="14.4" x14ac:dyDescent="0.3">
      <c r="A18" s="14">
        <v>44695</v>
      </c>
      <c r="B18" s="5">
        <v>1</v>
      </c>
      <c r="C18" s="32">
        <f>VLOOKUP(B18,'area in m2'!B$2:C$10,2,FALSE)</f>
        <v>280</v>
      </c>
      <c r="D18" s="5" t="s">
        <v>11</v>
      </c>
      <c r="E18" s="6">
        <v>528.3973588266972</v>
      </c>
      <c r="F18" s="33" t="str">
        <f t="shared" si="0"/>
        <v>Below 530</v>
      </c>
      <c r="G18" s="33">
        <f t="shared" si="1"/>
        <v>554.81722676803213</v>
      </c>
      <c r="H18" s="7">
        <v>0</v>
      </c>
      <c r="I18" s="5" t="s">
        <v>14</v>
      </c>
      <c r="J18" s="5">
        <v>28</v>
      </c>
      <c r="K18" s="2"/>
    </row>
    <row r="19" spans="1:13" ht="14.4" x14ac:dyDescent="0.3">
      <c r="A19" s="14">
        <v>44568</v>
      </c>
      <c r="B19" s="5">
        <v>9</v>
      </c>
      <c r="C19" s="32">
        <f>VLOOKUP(B19,'area in m2'!B$2:C$10,2,FALSE)</f>
        <v>140</v>
      </c>
      <c r="D19" s="5" t="s">
        <v>12</v>
      </c>
      <c r="E19" s="6">
        <v>510.44928210452326</v>
      </c>
      <c r="F19" s="33" t="str">
        <f t="shared" si="0"/>
        <v>Below 530</v>
      </c>
      <c r="G19" s="33">
        <f t="shared" si="1"/>
        <v>535.97174620974943</v>
      </c>
      <c r="H19" s="7">
        <v>0.03</v>
      </c>
      <c r="I19" s="5" t="s">
        <v>14</v>
      </c>
      <c r="J19" s="5">
        <v>46</v>
      </c>
      <c r="K19" s="2"/>
    </row>
    <row r="20" spans="1:13" ht="14.4" x14ac:dyDescent="0.3">
      <c r="A20" s="14">
        <v>44828</v>
      </c>
      <c r="B20" s="5">
        <v>2</v>
      </c>
      <c r="C20" s="32">
        <f>VLOOKUP(B20,'area in m2'!B$2:C$10,2,FALSE)</f>
        <v>250</v>
      </c>
      <c r="D20" s="5" t="s">
        <v>11</v>
      </c>
      <c r="E20" s="6">
        <v>506.83972564156193</v>
      </c>
      <c r="F20" s="33" t="str">
        <f t="shared" si="0"/>
        <v>Below 530</v>
      </c>
      <c r="G20" s="33">
        <f t="shared" si="1"/>
        <v>532.18171192364002</v>
      </c>
      <c r="H20" s="7">
        <v>0</v>
      </c>
      <c r="I20" s="5" t="s">
        <v>14</v>
      </c>
      <c r="J20" s="5">
        <v>34</v>
      </c>
      <c r="K20" s="2"/>
    </row>
    <row r="21" spans="1:13" ht="14.4" x14ac:dyDescent="0.3">
      <c r="A21" s="14">
        <v>44767</v>
      </c>
      <c r="B21" s="5">
        <v>7</v>
      </c>
      <c r="C21" s="32">
        <f>VLOOKUP(B21,'area in m2'!B$2:C$10,2,FALSE)</f>
        <v>166</v>
      </c>
      <c r="D21" s="5" t="s">
        <v>12</v>
      </c>
      <c r="E21" s="6">
        <v>525.99557062189342</v>
      </c>
      <c r="F21" s="33" t="str">
        <f t="shared" si="0"/>
        <v>Below 530</v>
      </c>
      <c r="G21" s="33">
        <f t="shared" si="1"/>
        <v>552.29534915298814</v>
      </c>
      <c r="H21" s="7">
        <v>0.02</v>
      </c>
      <c r="I21" s="5" t="s">
        <v>15</v>
      </c>
      <c r="J21" s="5">
        <v>36</v>
      </c>
      <c r="K21" s="2"/>
    </row>
    <row r="22" spans="1:13" ht="14.4" x14ac:dyDescent="0.3">
      <c r="A22" s="14">
        <v>44673</v>
      </c>
      <c r="B22" s="5">
        <v>4</v>
      </c>
      <c r="C22" s="32">
        <f>VLOOKUP(B22,'area in m2'!B$2:C$10,2,FALSE)</f>
        <v>188</v>
      </c>
      <c r="D22" s="5" t="s">
        <v>11</v>
      </c>
      <c r="E22" s="6">
        <v>504.43710308529717</v>
      </c>
      <c r="F22" s="33" t="str">
        <f t="shared" si="0"/>
        <v>Below 530</v>
      </c>
      <c r="G22" s="33">
        <f t="shared" si="1"/>
        <v>529.65895823956203</v>
      </c>
      <c r="H22" s="7">
        <v>0.02</v>
      </c>
      <c r="I22" s="5" t="s">
        <v>15</v>
      </c>
      <c r="J22" s="5">
        <v>24</v>
      </c>
      <c r="K22" s="2"/>
    </row>
    <row r="23" spans="1:13" ht="14.4" x14ac:dyDescent="0.3">
      <c r="A23" s="14">
        <v>44763</v>
      </c>
      <c r="B23" s="5">
        <v>7</v>
      </c>
      <c r="C23" s="32">
        <f>VLOOKUP(B23,'area in m2'!B$2:C$10,2,FALSE)</f>
        <v>166</v>
      </c>
      <c r="D23" s="5" t="s">
        <v>11</v>
      </c>
      <c r="E23" s="6">
        <v>537.25821499165704</v>
      </c>
      <c r="F23" s="33" t="str">
        <f t="shared" si="0"/>
        <v>Over 530</v>
      </c>
      <c r="G23" s="33">
        <f t="shared" si="1"/>
        <v>564.12112574123989</v>
      </c>
      <c r="H23" s="7">
        <v>0.03</v>
      </c>
      <c r="I23" s="5" t="s">
        <v>15</v>
      </c>
      <c r="J23" s="5">
        <v>21</v>
      </c>
      <c r="K23" s="2"/>
      <c r="M23" s="1"/>
    </row>
    <row r="24" spans="1:13" ht="14.4" x14ac:dyDescent="0.3">
      <c r="A24" s="14">
        <v>44807</v>
      </c>
      <c r="B24" s="5">
        <v>3</v>
      </c>
      <c r="C24" s="32">
        <f>VLOOKUP(B24,'area in m2'!B$2:C$10,2,FALSE)</f>
        <v>195</v>
      </c>
      <c r="D24" s="5" t="s">
        <v>11</v>
      </c>
      <c r="E24" s="6">
        <v>507.84258001132912</v>
      </c>
      <c r="F24" s="33" t="str">
        <f t="shared" si="0"/>
        <v>Below 530</v>
      </c>
      <c r="G24" s="33">
        <f t="shared" si="1"/>
        <v>533.23470901189557</v>
      </c>
      <c r="H24" s="7">
        <v>0.03</v>
      </c>
      <c r="I24" s="5" t="s">
        <v>14</v>
      </c>
      <c r="J24" s="5">
        <v>34</v>
      </c>
      <c r="K24" s="2"/>
      <c r="M24" s="1"/>
    </row>
    <row r="25" spans="1:13" ht="14.4" x14ac:dyDescent="0.3">
      <c r="A25" s="14">
        <v>44846</v>
      </c>
      <c r="B25" s="5">
        <v>7</v>
      </c>
      <c r="C25" s="32">
        <f>VLOOKUP(B25,'area in m2'!B$2:C$10,2,FALSE)</f>
        <v>166</v>
      </c>
      <c r="D25" s="5" t="s">
        <v>12</v>
      </c>
      <c r="E25" s="6">
        <v>550.08349457677468</v>
      </c>
      <c r="F25" s="33" t="str">
        <f t="shared" si="0"/>
        <v>Over 530</v>
      </c>
      <c r="G25" s="33">
        <f t="shared" si="1"/>
        <v>577.58766930561342</v>
      </c>
      <c r="H25" s="7">
        <v>0.02</v>
      </c>
      <c r="I25" s="5" t="s">
        <v>14</v>
      </c>
      <c r="J25" s="5">
        <v>35</v>
      </c>
      <c r="K25" s="2"/>
      <c r="M25" s="1"/>
    </row>
    <row r="26" spans="1:13" ht="14.4" x14ac:dyDescent="0.3">
      <c r="A26" s="14">
        <v>44782</v>
      </c>
      <c r="B26" s="5">
        <v>2</v>
      </c>
      <c r="C26" s="32">
        <f>VLOOKUP(B26,'area in m2'!B$2:C$10,2,FALSE)</f>
        <v>250</v>
      </c>
      <c r="D26" s="5" t="s">
        <v>11</v>
      </c>
      <c r="E26" s="6">
        <v>530.25204125646724</v>
      </c>
      <c r="F26" s="33" t="str">
        <f t="shared" si="0"/>
        <v>Over 530</v>
      </c>
      <c r="G26" s="33">
        <f t="shared" si="1"/>
        <v>556.7646433192906</v>
      </c>
      <c r="H26" s="7">
        <v>0.02</v>
      </c>
      <c r="I26" s="5" t="s">
        <v>14</v>
      </c>
      <c r="J26" s="5">
        <v>27</v>
      </c>
      <c r="K26" s="2"/>
      <c r="M26" s="1"/>
    </row>
    <row r="27" spans="1:13" ht="14.4" x14ac:dyDescent="0.3">
      <c r="A27" s="14">
        <v>44809</v>
      </c>
      <c r="B27" s="5">
        <v>4</v>
      </c>
      <c r="C27" s="32">
        <f>VLOOKUP(B27,'area in m2'!B$2:C$10,2,FALSE)</f>
        <v>188</v>
      </c>
      <c r="D27" s="5" t="s">
        <v>11</v>
      </c>
      <c r="E27" s="6">
        <v>526.8909709923837</v>
      </c>
      <c r="F27" s="33" t="str">
        <f t="shared" si="0"/>
        <v>Below 530</v>
      </c>
      <c r="G27" s="33">
        <f t="shared" si="1"/>
        <v>553.23551954200286</v>
      </c>
      <c r="H27" s="7">
        <v>0.03</v>
      </c>
      <c r="I27" s="5" t="s">
        <v>14</v>
      </c>
      <c r="J27" s="5">
        <v>26</v>
      </c>
      <c r="K27" s="2"/>
      <c r="M27" s="1"/>
    </row>
    <row r="28" spans="1:13" ht="14.4" x14ac:dyDescent="0.3">
      <c r="A28" s="14">
        <v>44658</v>
      </c>
      <c r="B28" s="5">
        <v>5</v>
      </c>
      <c r="C28" s="32">
        <f>VLOOKUP(B28,'area in m2'!B$2:C$10,2,FALSE)</f>
        <v>200</v>
      </c>
      <c r="D28" s="5" t="s">
        <v>13</v>
      </c>
      <c r="E28" s="6">
        <v>534.69167058554558</v>
      </c>
      <c r="F28" s="33" t="str">
        <f t="shared" si="0"/>
        <v>Over 530</v>
      </c>
      <c r="G28" s="33">
        <f t="shared" si="1"/>
        <v>561.42625411482288</v>
      </c>
      <c r="H28" s="7">
        <v>0</v>
      </c>
      <c r="I28" s="5" t="s">
        <v>15</v>
      </c>
      <c r="J28" s="5">
        <v>21</v>
      </c>
      <c r="K28" s="2"/>
      <c r="M28" s="1"/>
    </row>
    <row r="29" spans="1:13" ht="14.4" x14ac:dyDescent="0.3">
      <c r="A29" s="14">
        <v>44916</v>
      </c>
      <c r="B29" s="5">
        <v>3</v>
      </c>
      <c r="C29" s="32">
        <f>VLOOKUP(B29,'area in m2'!B$2:C$10,2,FALSE)</f>
        <v>195</v>
      </c>
      <c r="D29" s="5" t="s">
        <v>11</v>
      </c>
      <c r="E29" s="6">
        <v>541.04491012763719</v>
      </c>
      <c r="F29" s="33" t="str">
        <f t="shared" si="0"/>
        <v>Over 530</v>
      </c>
      <c r="G29" s="33">
        <f t="shared" si="1"/>
        <v>568.09715563401903</v>
      </c>
      <c r="H29" s="7">
        <v>0.01</v>
      </c>
      <c r="I29" s="5" t="s">
        <v>14</v>
      </c>
      <c r="J29" s="5">
        <v>21</v>
      </c>
      <c r="K29" s="2"/>
      <c r="M29" s="1"/>
    </row>
    <row r="30" spans="1:13" ht="14.4" x14ac:dyDescent="0.3">
      <c r="A30" s="14">
        <v>44762</v>
      </c>
      <c r="B30" s="5">
        <v>4</v>
      </c>
      <c r="C30" s="32">
        <f>VLOOKUP(B30,'area in m2'!B$2:C$10,2,FALSE)</f>
        <v>188</v>
      </c>
      <c r="D30" s="5" t="s">
        <v>11</v>
      </c>
      <c r="E30" s="6">
        <v>540.01250368363253</v>
      </c>
      <c r="F30" s="33" t="str">
        <f t="shared" si="0"/>
        <v>Over 530</v>
      </c>
      <c r="G30" s="33">
        <f t="shared" si="1"/>
        <v>567.0131288678142</v>
      </c>
      <c r="H30" s="7">
        <v>0.02</v>
      </c>
      <c r="I30" s="5" t="s">
        <v>14</v>
      </c>
      <c r="J30" s="5">
        <v>47</v>
      </c>
      <c r="K30" s="2"/>
      <c r="M30" s="1"/>
    </row>
    <row r="31" spans="1:13" ht="14.4" x14ac:dyDescent="0.3">
      <c r="A31" s="14">
        <v>44671</v>
      </c>
      <c r="B31" s="5">
        <v>8</v>
      </c>
      <c r="C31" s="32">
        <f>VLOOKUP(B31,'area in m2'!B$2:C$10,2,FALSE)</f>
        <v>142</v>
      </c>
      <c r="D31" s="5" t="s">
        <v>12</v>
      </c>
      <c r="E31" s="6">
        <v>542.87515513716426</v>
      </c>
      <c r="F31" s="33" t="str">
        <f t="shared" si="0"/>
        <v>Over 530</v>
      </c>
      <c r="G31" s="33">
        <f t="shared" si="1"/>
        <v>570.01891289402249</v>
      </c>
      <c r="H31" s="7">
        <v>0.01</v>
      </c>
      <c r="I31" s="5" t="s">
        <v>14</v>
      </c>
      <c r="J31" s="5">
        <v>33</v>
      </c>
      <c r="K31" s="2"/>
      <c r="M31" s="1"/>
    </row>
    <row r="32" spans="1:13" ht="14.4" x14ac:dyDescent="0.3">
      <c r="A32" s="14">
        <v>44643</v>
      </c>
      <c r="B32" s="5">
        <v>9</v>
      </c>
      <c r="C32" s="32">
        <f>VLOOKUP(B32,'area in m2'!B$2:C$10,2,FALSE)</f>
        <v>140</v>
      </c>
      <c r="D32" s="5" t="s">
        <v>12</v>
      </c>
      <c r="E32" s="6">
        <v>513.08492757040858</v>
      </c>
      <c r="F32" s="33" t="str">
        <f t="shared" si="0"/>
        <v>Below 530</v>
      </c>
      <c r="G32" s="33">
        <f t="shared" si="1"/>
        <v>538.73917394892908</v>
      </c>
      <c r="H32" s="7">
        <v>0.01</v>
      </c>
      <c r="I32" s="5" t="s">
        <v>14</v>
      </c>
      <c r="J32" s="5">
        <v>40</v>
      </c>
      <c r="K32" s="2"/>
      <c r="L32" s="2"/>
      <c r="M32" s="1"/>
    </row>
    <row r="33" spans="1:13" ht="14.4" x14ac:dyDescent="0.3">
      <c r="A33" s="14">
        <v>44913</v>
      </c>
      <c r="B33" s="5">
        <v>2</v>
      </c>
      <c r="C33" s="32">
        <f>VLOOKUP(B33,'area in m2'!B$2:C$10,2,FALSE)</f>
        <v>250</v>
      </c>
      <c r="D33" s="5" t="s">
        <v>11</v>
      </c>
      <c r="E33" s="6">
        <v>502.30191952703899</v>
      </c>
      <c r="F33" s="33" t="str">
        <f t="shared" si="0"/>
        <v>Below 530</v>
      </c>
      <c r="G33" s="33">
        <f t="shared" si="1"/>
        <v>527.41701550339099</v>
      </c>
      <c r="H33" s="7">
        <v>0.01</v>
      </c>
      <c r="I33" s="5" t="s">
        <v>14</v>
      </c>
      <c r="J33" s="5">
        <v>23</v>
      </c>
      <c r="K33" s="2"/>
      <c r="L33" s="2"/>
      <c r="M33" s="1"/>
    </row>
    <row r="34" spans="1:13" ht="14.4" x14ac:dyDescent="0.3">
      <c r="A34" s="14">
        <v>44703</v>
      </c>
      <c r="B34" s="5">
        <v>7</v>
      </c>
      <c r="C34" s="32">
        <f>VLOOKUP(B34,'area in m2'!B$2:C$10,2,FALSE)</f>
        <v>166</v>
      </c>
      <c r="D34" s="5" t="s">
        <v>12</v>
      </c>
      <c r="E34" s="6">
        <v>507.71621311337276</v>
      </c>
      <c r="F34" s="33" t="str">
        <f t="shared" si="0"/>
        <v>Below 530</v>
      </c>
      <c r="G34" s="33">
        <f t="shared" si="1"/>
        <v>533.10202376904147</v>
      </c>
      <c r="H34" s="7">
        <v>0</v>
      </c>
      <c r="I34" s="5" t="s">
        <v>14</v>
      </c>
      <c r="J34" s="5">
        <v>22</v>
      </c>
      <c r="K34" s="2"/>
      <c r="L34" s="2"/>
      <c r="M34" s="1"/>
    </row>
    <row r="35" spans="1:13" ht="14.4" x14ac:dyDescent="0.3">
      <c r="A35" s="14">
        <v>44758</v>
      </c>
      <c r="B35" s="5">
        <v>7</v>
      </c>
      <c r="C35" s="32">
        <f>VLOOKUP(B35,'area in m2'!B$2:C$10,2,FALSE)</f>
        <v>166</v>
      </c>
      <c r="D35" s="5" t="s">
        <v>12</v>
      </c>
      <c r="E35" s="6">
        <v>540.97331655895596</v>
      </c>
      <c r="F35" s="33" t="str">
        <f t="shared" si="0"/>
        <v>Over 530</v>
      </c>
      <c r="G35" s="33">
        <f t="shared" si="1"/>
        <v>568.0219823869038</v>
      </c>
      <c r="H35" s="7">
        <v>0.03</v>
      </c>
      <c r="I35" s="5" t="s">
        <v>15</v>
      </c>
      <c r="J35" s="5">
        <v>33</v>
      </c>
      <c r="K35" s="2"/>
      <c r="L35" s="2"/>
      <c r="M35" s="1"/>
    </row>
    <row r="36" spans="1:13" ht="14.4" x14ac:dyDescent="0.3">
      <c r="A36" s="14">
        <v>44677</v>
      </c>
      <c r="B36" s="5">
        <v>1</v>
      </c>
      <c r="C36" s="32">
        <f>VLOOKUP(B36,'area in m2'!B$2:C$10,2,FALSE)</f>
        <v>280</v>
      </c>
      <c r="D36" s="5" t="s">
        <v>11</v>
      </c>
      <c r="E36" s="6">
        <v>503.83253203367167</v>
      </c>
      <c r="F36" s="33" t="str">
        <f t="shared" si="0"/>
        <v>Below 530</v>
      </c>
      <c r="G36" s="33">
        <f t="shared" si="1"/>
        <v>529.02415863535532</v>
      </c>
      <c r="H36" s="7">
        <v>0.01</v>
      </c>
      <c r="I36" s="5" t="s">
        <v>14</v>
      </c>
      <c r="J36" s="5">
        <v>22</v>
      </c>
      <c r="K36" s="2"/>
      <c r="L36" s="2"/>
      <c r="M36" s="1"/>
    </row>
    <row r="37" spans="1:13" ht="14.4" x14ac:dyDescent="0.3">
      <c r="A37" s="14">
        <v>44819</v>
      </c>
      <c r="B37" s="5">
        <v>5</v>
      </c>
      <c r="C37" s="32">
        <f>VLOOKUP(B37,'area in m2'!B$2:C$10,2,FALSE)</f>
        <v>200</v>
      </c>
      <c r="D37" s="5" t="s">
        <v>13</v>
      </c>
      <c r="E37" s="6">
        <v>531.84212958782155</v>
      </c>
      <c r="F37" s="33" t="str">
        <f t="shared" si="0"/>
        <v>Over 530</v>
      </c>
      <c r="G37" s="33">
        <f t="shared" si="1"/>
        <v>558.43423606721262</v>
      </c>
      <c r="H37" s="7">
        <v>0.03</v>
      </c>
      <c r="I37" s="5" t="s">
        <v>14</v>
      </c>
      <c r="J37" s="5">
        <v>50</v>
      </c>
      <c r="K37" s="2"/>
      <c r="L37" s="2"/>
      <c r="M37" s="1"/>
    </row>
    <row r="38" spans="1:13" ht="14.4" x14ac:dyDescent="0.3">
      <c r="A38" s="14">
        <v>44731</v>
      </c>
      <c r="B38" s="5">
        <v>2</v>
      </c>
      <c r="C38" s="32">
        <f>VLOOKUP(B38,'area in m2'!B$2:C$10,2,FALSE)</f>
        <v>250</v>
      </c>
      <c r="D38" s="5" t="s">
        <v>11</v>
      </c>
      <c r="E38" s="6">
        <v>522.59413194515673</v>
      </c>
      <c r="F38" s="33" t="str">
        <f t="shared" si="0"/>
        <v>Below 530</v>
      </c>
      <c r="G38" s="33">
        <f t="shared" si="1"/>
        <v>548.72383854241457</v>
      </c>
      <c r="H38" s="7">
        <v>0.01</v>
      </c>
      <c r="I38" s="5" t="s">
        <v>15</v>
      </c>
      <c r="J38" s="5">
        <v>17</v>
      </c>
      <c r="K38" s="2"/>
      <c r="L38" s="2"/>
      <c r="M38" s="1"/>
    </row>
    <row r="39" spans="1:13" ht="14.4" x14ac:dyDescent="0.3">
      <c r="A39" s="14">
        <v>44632</v>
      </c>
      <c r="B39" s="5">
        <v>1</v>
      </c>
      <c r="C39" s="32">
        <f>VLOOKUP(B39,'area in m2'!B$2:C$10,2,FALSE)</f>
        <v>280</v>
      </c>
      <c r="D39" s="5" t="s">
        <v>11</v>
      </c>
      <c r="E39" s="6">
        <v>530.14659104228122</v>
      </c>
      <c r="F39" s="33" t="str">
        <f t="shared" si="0"/>
        <v>Over 530</v>
      </c>
      <c r="G39" s="33">
        <f t="shared" si="1"/>
        <v>556.65392059439534</v>
      </c>
      <c r="H39" s="7">
        <v>0.01</v>
      </c>
      <c r="I39" s="5" t="s">
        <v>15</v>
      </c>
      <c r="J39" s="5">
        <v>40</v>
      </c>
      <c r="K39" s="2"/>
      <c r="L39" s="2"/>
      <c r="M39" s="1"/>
    </row>
    <row r="40" spans="1:13" ht="14.4" x14ac:dyDescent="0.3">
      <c r="A40" s="14">
        <v>44730</v>
      </c>
      <c r="B40" s="5">
        <v>3</v>
      </c>
      <c r="C40" s="32">
        <f>VLOOKUP(B40,'area in m2'!B$2:C$10,2,FALSE)</f>
        <v>195</v>
      </c>
      <c r="D40" s="5" t="s">
        <v>11</v>
      </c>
      <c r="E40" s="6">
        <v>550.73568301142586</v>
      </c>
      <c r="F40" s="33" t="str">
        <f t="shared" si="0"/>
        <v>Over 530</v>
      </c>
      <c r="G40" s="33">
        <f t="shared" si="1"/>
        <v>578.27246716199716</v>
      </c>
      <c r="H40" s="7">
        <v>0.02</v>
      </c>
      <c r="I40" s="5" t="s">
        <v>14</v>
      </c>
      <c r="J40" s="5">
        <v>48</v>
      </c>
      <c r="K40" s="2"/>
      <c r="L40" s="2"/>
      <c r="M40" s="1"/>
    </row>
    <row r="41" spans="1:13" ht="14.4" x14ac:dyDescent="0.3">
      <c r="A41" s="14">
        <v>44914</v>
      </c>
      <c r="B41" s="5">
        <v>1</v>
      </c>
      <c r="C41" s="32">
        <f>VLOOKUP(B41,'area in m2'!B$2:C$10,2,FALSE)</f>
        <v>280</v>
      </c>
      <c r="D41" s="5" t="s">
        <v>11</v>
      </c>
      <c r="E41" s="6">
        <v>529.64326356123274</v>
      </c>
      <c r="F41" s="33" t="str">
        <f t="shared" si="0"/>
        <v>Below 530</v>
      </c>
      <c r="G41" s="33">
        <f t="shared" si="1"/>
        <v>556.12542673929443</v>
      </c>
      <c r="H41" s="7">
        <v>0</v>
      </c>
      <c r="I41" s="5" t="s">
        <v>15</v>
      </c>
      <c r="J41" s="5">
        <v>17</v>
      </c>
      <c r="K41" s="2"/>
      <c r="L41" s="2"/>
      <c r="M41" s="1"/>
    </row>
    <row r="42" spans="1:13" ht="14.4" x14ac:dyDescent="0.3">
      <c r="A42" s="14">
        <v>44802</v>
      </c>
      <c r="B42" s="5">
        <v>5</v>
      </c>
      <c r="C42" s="32">
        <f>VLOOKUP(B42,'area in m2'!B$2:C$10,2,FALSE)</f>
        <v>200</v>
      </c>
      <c r="D42" s="5" t="s">
        <v>13</v>
      </c>
      <c r="E42" s="6">
        <v>543.76527225178143</v>
      </c>
      <c r="F42" s="33" t="str">
        <f t="shared" si="0"/>
        <v>Over 530</v>
      </c>
      <c r="G42" s="33">
        <f t="shared" si="1"/>
        <v>570.95353586437056</v>
      </c>
      <c r="H42" s="7">
        <v>0.03</v>
      </c>
      <c r="I42" s="5" t="s">
        <v>15</v>
      </c>
      <c r="J42" s="5">
        <v>24</v>
      </c>
      <c r="K42" s="2"/>
      <c r="L42" s="2"/>
      <c r="M42" s="1"/>
    </row>
    <row r="43" spans="1:13" ht="14.4" x14ac:dyDescent="0.3">
      <c r="A43" s="14">
        <v>44636</v>
      </c>
      <c r="B43" s="5">
        <v>3</v>
      </c>
      <c r="C43" s="32">
        <f>VLOOKUP(B43,'area in m2'!B$2:C$10,2,FALSE)</f>
        <v>195</v>
      </c>
      <c r="D43" s="5" t="s">
        <v>11</v>
      </c>
      <c r="E43" s="6">
        <v>531.1362173034322</v>
      </c>
      <c r="F43" s="33" t="str">
        <f t="shared" si="0"/>
        <v>Over 530</v>
      </c>
      <c r="G43" s="33">
        <f t="shared" si="1"/>
        <v>557.69302816860386</v>
      </c>
      <c r="H43" s="7">
        <v>0</v>
      </c>
      <c r="I43" s="5" t="s">
        <v>15</v>
      </c>
      <c r="J43" s="5">
        <v>56</v>
      </c>
      <c r="K43" s="2"/>
      <c r="L43" s="2"/>
      <c r="M43" s="1"/>
    </row>
    <row r="44" spans="1:13" ht="14.4" x14ac:dyDescent="0.3">
      <c r="A44" s="14">
        <v>44696</v>
      </c>
      <c r="B44" s="5">
        <v>9</v>
      </c>
      <c r="C44" s="32">
        <f>VLOOKUP(B44,'area in m2'!B$2:C$10,2,FALSE)</f>
        <v>140</v>
      </c>
      <c r="D44" s="5" t="s">
        <v>12</v>
      </c>
      <c r="E44" s="6">
        <v>536.39447464224668</v>
      </c>
      <c r="F44" s="33" t="str">
        <f t="shared" si="0"/>
        <v>Over 530</v>
      </c>
      <c r="G44" s="33">
        <f t="shared" si="1"/>
        <v>563.21419837435906</v>
      </c>
      <c r="H44" s="7">
        <v>0.02</v>
      </c>
      <c r="I44" s="5" t="s">
        <v>15</v>
      </c>
      <c r="J44" s="5">
        <v>48</v>
      </c>
      <c r="K44" s="2"/>
      <c r="L44" s="2"/>
      <c r="M44" s="1"/>
    </row>
    <row r="45" spans="1:13" ht="14.4" x14ac:dyDescent="0.3">
      <c r="A45" s="14">
        <v>44755</v>
      </c>
      <c r="B45" s="5">
        <v>1</v>
      </c>
      <c r="C45" s="32">
        <f>VLOOKUP(B45,'area in m2'!B$2:C$10,2,FALSE)</f>
        <v>280</v>
      </c>
      <c r="D45" s="5" t="s">
        <v>11</v>
      </c>
      <c r="E45" s="6">
        <v>500.23231707821014</v>
      </c>
      <c r="F45" s="33" t="str">
        <f t="shared" si="0"/>
        <v>Below 530</v>
      </c>
      <c r="G45" s="33">
        <f t="shared" si="1"/>
        <v>525.24393293212063</v>
      </c>
      <c r="H45" s="7">
        <v>0.01</v>
      </c>
      <c r="I45" s="5" t="s">
        <v>14</v>
      </c>
      <c r="J45" s="5">
        <v>36</v>
      </c>
      <c r="K45" s="2"/>
      <c r="L45" s="2"/>
      <c r="M45" s="1"/>
    </row>
    <row r="46" spans="1:13" ht="14.4" x14ac:dyDescent="0.3">
      <c r="A46" s="14">
        <v>44747</v>
      </c>
      <c r="B46" s="5">
        <v>6</v>
      </c>
      <c r="C46" s="32">
        <f>VLOOKUP(B46,'area in m2'!B$2:C$10,2,FALSE)</f>
        <v>175</v>
      </c>
      <c r="D46" s="5" t="s">
        <v>13</v>
      </c>
      <c r="E46" s="6">
        <v>511.13727902466235</v>
      </c>
      <c r="F46" s="33" t="str">
        <f t="shared" si="0"/>
        <v>Below 530</v>
      </c>
      <c r="G46" s="33">
        <f t="shared" si="1"/>
        <v>536.69414297589549</v>
      </c>
      <c r="H46" s="7">
        <v>0.02</v>
      </c>
      <c r="I46" s="5" t="s">
        <v>14</v>
      </c>
      <c r="J46" s="5">
        <v>32</v>
      </c>
      <c r="K46" s="2"/>
      <c r="L46" s="2"/>
      <c r="M46" s="1"/>
    </row>
    <row r="47" spans="1:13" ht="14.4" x14ac:dyDescent="0.3">
      <c r="A47" s="14">
        <v>44739</v>
      </c>
      <c r="B47" s="5">
        <v>9</v>
      </c>
      <c r="C47" s="32">
        <f>VLOOKUP(B47,'area in m2'!B$2:C$10,2,FALSE)</f>
        <v>140</v>
      </c>
      <c r="D47" s="5" t="s">
        <v>12</v>
      </c>
      <c r="E47" s="6">
        <v>509.45229064562864</v>
      </c>
      <c r="F47" s="33" t="str">
        <f t="shared" si="0"/>
        <v>Below 530</v>
      </c>
      <c r="G47" s="33">
        <f t="shared" si="1"/>
        <v>534.92490517791009</v>
      </c>
      <c r="H47" s="7">
        <v>0.02</v>
      </c>
      <c r="I47" s="5" t="s">
        <v>14</v>
      </c>
      <c r="J47" s="5">
        <v>23</v>
      </c>
      <c r="K47" s="2"/>
      <c r="L47" s="2"/>
      <c r="M47" s="1"/>
    </row>
    <row r="48" spans="1:13" ht="14.4" x14ac:dyDescent="0.3">
      <c r="A48" s="14">
        <v>44589</v>
      </c>
      <c r="B48" s="5">
        <v>2</v>
      </c>
      <c r="C48" s="32">
        <f>VLOOKUP(B48,'area in m2'!B$2:C$10,2,FALSE)</f>
        <v>250</v>
      </c>
      <c r="D48" s="5" t="s">
        <v>11</v>
      </c>
      <c r="E48" s="6">
        <v>530.03892364672447</v>
      </c>
      <c r="F48" s="33" t="str">
        <f t="shared" si="0"/>
        <v>Over 530</v>
      </c>
      <c r="G48" s="33">
        <f t="shared" si="1"/>
        <v>556.54086982906074</v>
      </c>
      <c r="H48" s="7">
        <v>0.02</v>
      </c>
      <c r="I48" s="5" t="s">
        <v>14</v>
      </c>
      <c r="J48" s="5">
        <v>48</v>
      </c>
      <c r="K48" s="2"/>
      <c r="L48" s="2"/>
      <c r="M48" s="1"/>
    </row>
    <row r="49" spans="1:13" ht="14.4" x14ac:dyDescent="0.3">
      <c r="A49" s="14">
        <v>44564</v>
      </c>
      <c r="B49" s="5">
        <v>1</v>
      </c>
      <c r="C49" s="32">
        <f>VLOOKUP(B49,'area in m2'!B$2:C$10,2,FALSE)</f>
        <v>280</v>
      </c>
      <c r="D49" s="5" t="s">
        <v>11</v>
      </c>
      <c r="E49" s="6">
        <v>523.20279489787208</v>
      </c>
      <c r="F49" s="33" t="str">
        <f t="shared" si="0"/>
        <v>Below 530</v>
      </c>
      <c r="G49" s="33">
        <f t="shared" si="1"/>
        <v>549.36293464276571</v>
      </c>
      <c r="H49" s="7">
        <v>0.02</v>
      </c>
      <c r="I49" s="5" t="s">
        <v>14</v>
      </c>
      <c r="J49" s="5">
        <v>39</v>
      </c>
      <c r="K49" s="2"/>
      <c r="L49" s="2"/>
      <c r="M49" s="1"/>
    </row>
    <row r="50" spans="1:13" ht="14.4" x14ac:dyDescent="0.3">
      <c r="A50" s="14">
        <v>44638</v>
      </c>
      <c r="B50" s="5">
        <v>6</v>
      </c>
      <c r="C50" s="32">
        <f>VLOOKUP(B50,'area in m2'!B$2:C$10,2,FALSE)</f>
        <v>175</v>
      </c>
      <c r="D50" s="5" t="s">
        <v>13</v>
      </c>
      <c r="E50" s="6">
        <v>505.32087733019353</v>
      </c>
      <c r="F50" s="33" t="str">
        <f t="shared" si="0"/>
        <v>Below 530</v>
      </c>
      <c r="G50" s="33">
        <f t="shared" si="1"/>
        <v>530.5869211967032</v>
      </c>
      <c r="H50" s="7">
        <v>0.01</v>
      </c>
      <c r="I50" s="5" t="s">
        <v>15</v>
      </c>
      <c r="J50" s="5">
        <v>16</v>
      </c>
      <c r="K50" s="2"/>
      <c r="L50" s="2"/>
      <c r="M50" s="1"/>
    </row>
    <row r="51" spans="1:13" ht="14.4" x14ac:dyDescent="0.3">
      <c r="A51" s="14">
        <v>44816</v>
      </c>
      <c r="B51" s="5">
        <v>4</v>
      </c>
      <c r="C51" s="32">
        <f>VLOOKUP(B51,'area in m2'!B$2:C$10,2,FALSE)</f>
        <v>188</v>
      </c>
      <c r="D51" s="5" t="s">
        <v>11</v>
      </c>
      <c r="E51" s="6">
        <v>534.32101568800044</v>
      </c>
      <c r="F51" s="33" t="str">
        <f t="shared" si="0"/>
        <v>Over 530</v>
      </c>
      <c r="G51" s="33">
        <f t="shared" si="1"/>
        <v>561.03706647240051</v>
      </c>
      <c r="H51" s="7">
        <v>0.02</v>
      </c>
      <c r="I51" s="5" t="s">
        <v>15</v>
      </c>
      <c r="J51" s="5">
        <v>25</v>
      </c>
      <c r="K51" s="2"/>
      <c r="L51" s="2"/>
      <c r="M51" s="1"/>
    </row>
    <row r="52" spans="1:13" ht="14.4" x14ac:dyDescent="0.3">
      <c r="A52" s="14">
        <v>44822</v>
      </c>
      <c r="B52" s="5">
        <v>7</v>
      </c>
      <c r="C52" s="32">
        <f>VLOOKUP(B52,'area in m2'!B$2:C$10,2,FALSE)</f>
        <v>166</v>
      </c>
      <c r="D52" s="5" t="s">
        <v>12</v>
      </c>
      <c r="E52" s="6">
        <v>533.6183922400196</v>
      </c>
      <c r="F52" s="33" t="str">
        <f t="shared" si="0"/>
        <v>Over 530</v>
      </c>
      <c r="G52" s="33">
        <f t="shared" si="1"/>
        <v>560.29931185202065</v>
      </c>
      <c r="H52" s="7">
        <v>0.02</v>
      </c>
      <c r="I52" s="5" t="s">
        <v>15</v>
      </c>
      <c r="J52" s="5">
        <v>48</v>
      </c>
      <c r="K52" s="2"/>
      <c r="L52" s="2"/>
      <c r="M52" s="1"/>
    </row>
    <row r="53" spans="1:13" ht="14.4" x14ac:dyDescent="0.3">
      <c r="A53" s="14">
        <v>44920</v>
      </c>
      <c r="B53" s="5">
        <v>2</v>
      </c>
      <c r="C53" s="32">
        <f>VLOOKUP(B53,'area in m2'!B$2:C$10,2,FALSE)</f>
        <v>250</v>
      </c>
      <c r="D53" s="5" t="s">
        <v>11</v>
      </c>
      <c r="E53" s="6">
        <v>541.16318167282225</v>
      </c>
      <c r="F53" s="33" t="str">
        <f t="shared" si="0"/>
        <v>Over 530</v>
      </c>
      <c r="G53" s="33">
        <f t="shared" si="1"/>
        <v>568.22134075646341</v>
      </c>
      <c r="H53" s="7">
        <v>0</v>
      </c>
      <c r="I53" s="5" t="s">
        <v>14</v>
      </c>
      <c r="J53" s="5">
        <v>22</v>
      </c>
      <c r="K53" s="2"/>
      <c r="L53" s="2"/>
      <c r="M53" s="1"/>
    </row>
    <row r="54" spans="1:13" ht="14.4" x14ac:dyDescent="0.3">
      <c r="A54" s="14">
        <v>44777</v>
      </c>
      <c r="B54" s="5">
        <v>8</v>
      </c>
      <c r="C54" s="32">
        <f>VLOOKUP(B54,'area in m2'!B$2:C$10,2,FALSE)</f>
        <v>142</v>
      </c>
      <c r="D54" s="5" t="s">
        <v>12</v>
      </c>
      <c r="E54" s="6">
        <v>541.96139371240861</v>
      </c>
      <c r="F54" s="33" t="str">
        <f t="shared" si="0"/>
        <v>Over 530</v>
      </c>
      <c r="G54" s="33">
        <f t="shared" si="1"/>
        <v>569.05946339802904</v>
      </c>
      <c r="H54" s="7">
        <v>0.03</v>
      </c>
      <c r="I54" s="5" t="s">
        <v>14</v>
      </c>
      <c r="J54" s="5">
        <v>21</v>
      </c>
      <c r="K54" s="2"/>
      <c r="L54" s="2"/>
      <c r="M54" s="1"/>
    </row>
    <row r="55" spans="1:13" ht="14.4" x14ac:dyDescent="0.3">
      <c r="A55" s="14">
        <v>44700</v>
      </c>
      <c r="B55" s="5">
        <v>3</v>
      </c>
      <c r="C55" s="32">
        <f>VLOOKUP(B55,'area in m2'!B$2:C$10,2,FALSE)</f>
        <v>195</v>
      </c>
      <c r="D55" s="5" t="s">
        <v>11</v>
      </c>
      <c r="E55" s="6">
        <v>547.63679280738143</v>
      </c>
      <c r="F55" s="33" t="str">
        <f t="shared" si="0"/>
        <v>Over 530</v>
      </c>
      <c r="G55" s="33">
        <f t="shared" si="1"/>
        <v>575.01863244775052</v>
      </c>
      <c r="H55" s="7">
        <v>0.03</v>
      </c>
      <c r="I55" s="5" t="s">
        <v>15</v>
      </c>
      <c r="J55" s="5">
        <v>25</v>
      </c>
      <c r="K55" s="2"/>
      <c r="L55" s="2"/>
      <c r="M55" s="1"/>
    </row>
    <row r="56" spans="1:13" ht="14.4" x14ac:dyDescent="0.3">
      <c r="A56" s="14">
        <v>44620</v>
      </c>
      <c r="B56" s="5">
        <v>7</v>
      </c>
      <c r="C56" s="32">
        <f>VLOOKUP(B56,'area in m2'!B$2:C$10,2,FALSE)</f>
        <v>166</v>
      </c>
      <c r="D56" s="5" t="s">
        <v>12</v>
      </c>
      <c r="E56" s="6">
        <v>506.42350942166649</v>
      </c>
      <c r="F56" s="33" t="str">
        <f t="shared" si="0"/>
        <v>Below 530</v>
      </c>
      <c r="G56" s="33">
        <f t="shared" si="1"/>
        <v>531.74468489274989</v>
      </c>
      <c r="H56" s="7">
        <v>0.03</v>
      </c>
      <c r="I56" s="5" t="s">
        <v>14</v>
      </c>
      <c r="J56" s="5">
        <v>23</v>
      </c>
      <c r="K56" s="2"/>
      <c r="L56" s="2"/>
      <c r="M56" s="1"/>
    </row>
    <row r="57" spans="1:13" ht="14.4" x14ac:dyDescent="0.3">
      <c r="A57" s="14">
        <v>44564</v>
      </c>
      <c r="B57" s="5">
        <v>3</v>
      </c>
      <c r="C57" s="32">
        <f>VLOOKUP(B57,'area in m2'!B$2:C$10,2,FALSE)</f>
        <v>195</v>
      </c>
      <c r="D57" s="5" t="s">
        <v>11</v>
      </c>
      <c r="E57" s="6">
        <v>534.42472315546911</v>
      </c>
      <c r="F57" s="33" t="str">
        <f t="shared" si="0"/>
        <v>Over 530</v>
      </c>
      <c r="G57" s="33">
        <f t="shared" si="1"/>
        <v>561.14595931324254</v>
      </c>
      <c r="H57" s="7">
        <v>0.03</v>
      </c>
      <c r="I57" s="5" t="s">
        <v>14</v>
      </c>
      <c r="J57" s="5">
        <v>33</v>
      </c>
      <c r="K57" s="2"/>
      <c r="L57" s="2"/>
      <c r="M57" s="1"/>
    </row>
    <row r="58" spans="1:13" ht="14.4" x14ac:dyDescent="0.3">
      <c r="A58" s="14">
        <v>44903</v>
      </c>
      <c r="B58" s="5">
        <v>3</v>
      </c>
      <c r="C58" s="32">
        <f>VLOOKUP(B58,'area in m2'!B$2:C$10,2,FALSE)</f>
        <v>195</v>
      </c>
      <c r="D58" s="5" t="s">
        <v>11</v>
      </c>
      <c r="E58" s="6">
        <v>500.41425587691174</v>
      </c>
      <c r="F58" s="33" t="str">
        <f t="shared" si="0"/>
        <v>Below 530</v>
      </c>
      <c r="G58" s="33">
        <f t="shared" si="1"/>
        <v>525.43496867075737</v>
      </c>
      <c r="H58" s="7">
        <v>0</v>
      </c>
      <c r="I58" s="5" t="s">
        <v>14</v>
      </c>
      <c r="J58" s="5">
        <v>25</v>
      </c>
      <c r="K58" s="2"/>
      <c r="L58" s="2"/>
      <c r="M58" s="1"/>
    </row>
    <row r="59" spans="1:13" ht="14.4" x14ac:dyDescent="0.3">
      <c r="A59" s="14">
        <v>44757</v>
      </c>
      <c r="B59" s="5">
        <v>3</v>
      </c>
      <c r="C59" s="32">
        <f>VLOOKUP(B59,'area in m2'!B$2:C$10,2,FALSE)</f>
        <v>195</v>
      </c>
      <c r="D59" s="5" t="s">
        <v>11</v>
      </c>
      <c r="E59" s="6">
        <v>547.75109499995051</v>
      </c>
      <c r="F59" s="33" t="str">
        <f t="shared" si="0"/>
        <v>Over 530</v>
      </c>
      <c r="G59" s="33">
        <f t="shared" si="1"/>
        <v>575.13864974994806</v>
      </c>
      <c r="H59" s="7">
        <v>0.01</v>
      </c>
      <c r="I59" s="5" t="s">
        <v>15</v>
      </c>
      <c r="J59" s="5">
        <v>50</v>
      </c>
      <c r="K59" s="2"/>
      <c r="L59" s="2"/>
      <c r="M59" s="1"/>
    </row>
    <row r="60" spans="1:13" ht="14.4" x14ac:dyDescent="0.3">
      <c r="A60" s="14">
        <v>44581</v>
      </c>
      <c r="B60" s="5">
        <v>2</v>
      </c>
      <c r="C60" s="32">
        <f>VLOOKUP(B60,'area in m2'!B$2:C$10,2,FALSE)</f>
        <v>250</v>
      </c>
      <c r="D60" s="5" t="s">
        <v>11</v>
      </c>
      <c r="E60" s="6">
        <v>549.75440665874339</v>
      </c>
      <c r="F60" s="33" t="str">
        <f t="shared" si="0"/>
        <v>Over 530</v>
      </c>
      <c r="G60" s="33">
        <f t="shared" si="1"/>
        <v>577.24212699168061</v>
      </c>
      <c r="H60" s="7">
        <v>0</v>
      </c>
      <c r="I60" s="5" t="s">
        <v>14</v>
      </c>
      <c r="J60" s="5">
        <v>21</v>
      </c>
      <c r="K60" s="2"/>
      <c r="L60" s="2"/>
      <c r="M60" s="1"/>
    </row>
    <row r="61" spans="1:13" ht="14.4" x14ac:dyDescent="0.3">
      <c r="A61" s="14">
        <v>44832</v>
      </c>
      <c r="B61" s="5">
        <v>3</v>
      </c>
      <c r="C61" s="32">
        <f>VLOOKUP(B61,'area in m2'!B$2:C$10,2,FALSE)</f>
        <v>195</v>
      </c>
      <c r="D61" s="5" t="s">
        <v>11</v>
      </c>
      <c r="E61" s="6">
        <v>536.40847345971724</v>
      </c>
      <c r="F61" s="33" t="str">
        <f t="shared" si="0"/>
        <v>Over 530</v>
      </c>
      <c r="G61" s="33">
        <f t="shared" si="1"/>
        <v>563.22889713270308</v>
      </c>
      <c r="H61" s="7">
        <v>0.01</v>
      </c>
      <c r="I61" s="5" t="s">
        <v>14</v>
      </c>
      <c r="J61" s="5">
        <v>49</v>
      </c>
      <c r="K61" s="2"/>
      <c r="L61" s="2"/>
      <c r="M61" s="1"/>
    </row>
    <row r="62" spans="1:13" ht="14.4" x14ac:dyDescent="0.3">
      <c r="A62" s="14">
        <v>44623</v>
      </c>
      <c r="B62" s="5">
        <v>6</v>
      </c>
      <c r="C62" s="32">
        <f>VLOOKUP(B62,'area in m2'!B$2:C$10,2,FALSE)</f>
        <v>175</v>
      </c>
      <c r="D62" s="5" t="s">
        <v>13</v>
      </c>
      <c r="E62" s="6">
        <v>549.15387256155736</v>
      </c>
      <c r="F62" s="33" t="str">
        <f t="shared" si="0"/>
        <v>Over 530</v>
      </c>
      <c r="G62" s="33">
        <f t="shared" si="1"/>
        <v>576.61156618963525</v>
      </c>
      <c r="H62" s="7">
        <v>0.02</v>
      </c>
      <c r="I62" s="5" t="s">
        <v>14</v>
      </c>
      <c r="J62" s="5">
        <v>22</v>
      </c>
      <c r="K62" s="2"/>
      <c r="L62" s="2"/>
      <c r="M62" s="1"/>
    </row>
    <row r="63" spans="1:13" ht="14.4" x14ac:dyDescent="0.3">
      <c r="A63" s="14">
        <v>44878</v>
      </c>
      <c r="B63" s="5">
        <v>5</v>
      </c>
      <c r="C63" s="32">
        <f>VLOOKUP(B63,'area in m2'!B$2:C$10,2,FALSE)</f>
        <v>200</v>
      </c>
      <c r="D63" s="5" t="s">
        <v>13</v>
      </c>
      <c r="E63" s="6">
        <v>530.22</v>
      </c>
      <c r="F63" s="33" t="str">
        <f t="shared" si="0"/>
        <v>Over 530</v>
      </c>
      <c r="G63" s="33">
        <f t="shared" si="1"/>
        <v>556.73100000000011</v>
      </c>
      <c r="H63" s="7">
        <v>0</v>
      </c>
      <c r="I63" s="5" t="s">
        <v>15</v>
      </c>
      <c r="J63" s="5">
        <v>30</v>
      </c>
      <c r="K63" s="2"/>
      <c r="L63" s="2"/>
      <c r="M63" s="1"/>
    </row>
    <row r="64" spans="1:13" ht="14.4" x14ac:dyDescent="0.3">
      <c r="A64" s="14">
        <v>44662</v>
      </c>
      <c r="B64" s="5">
        <v>8</v>
      </c>
      <c r="C64" s="32">
        <f>VLOOKUP(B64,'area in m2'!B$2:C$10,2,FALSE)</f>
        <v>142</v>
      </c>
      <c r="D64" s="5" t="s">
        <v>12</v>
      </c>
      <c r="E64" s="6">
        <v>522.51630617580304</v>
      </c>
      <c r="F64" s="33" t="str">
        <f t="shared" si="0"/>
        <v>Below 530</v>
      </c>
      <c r="G64" s="33">
        <f t="shared" si="1"/>
        <v>548.64212148459319</v>
      </c>
      <c r="H64" s="7">
        <v>0.01</v>
      </c>
      <c r="I64" s="5" t="s">
        <v>14</v>
      </c>
      <c r="J64" s="5">
        <v>35</v>
      </c>
      <c r="K64" s="2"/>
      <c r="L64" s="2"/>
      <c r="M64" s="1"/>
    </row>
    <row r="65" spans="1:13" ht="14.4" x14ac:dyDescent="0.3">
      <c r="A65" s="14">
        <v>44720</v>
      </c>
      <c r="B65" s="5">
        <v>6</v>
      </c>
      <c r="C65" s="32">
        <f>VLOOKUP(B65,'area in m2'!B$2:C$10,2,FALSE)</f>
        <v>175</v>
      </c>
      <c r="D65" s="5" t="s">
        <v>13</v>
      </c>
      <c r="E65" s="6">
        <v>533.89762095097194</v>
      </c>
      <c r="F65" s="33" t="str">
        <f t="shared" si="0"/>
        <v>Over 530</v>
      </c>
      <c r="G65" s="33">
        <f t="shared" si="1"/>
        <v>560.59250199852056</v>
      </c>
      <c r="H65" s="7">
        <v>0.02</v>
      </c>
      <c r="I65" s="5" t="s">
        <v>14</v>
      </c>
      <c r="J65" s="5">
        <v>44</v>
      </c>
      <c r="K65" s="2"/>
      <c r="L65" s="2"/>
      <c r="M65" s="1"/>
    </row>
    <row r="66" spans="1:13" ht="14.4" x14ac:dyDescent="0.3">
      <c r="A66" s="14">
        <v>44637</v>
      </c>
      <c r="B66" s="5">
        <v>6</v>
      </c>
      <c r="C66" s="32">
        <f>VLOOKUP(B66,'area in m2'!B$2:C$10,2,FALSE)</f>
        <v>175</v>
      </c>
      <c r="D66" s="5" t="s">
        <v>13</v>
      </c>
      <c r="E66" s="6">
        <v>510.72481854971102</v>
      </c>
      <c r="F66" s="33" t="str">
        <f t="shared" si="0"/>
        <v>Below 530</v>
      </c>
      <c r="G66" s="33">
        <f t="shared" si="1"/>
        <v>536.26105947719657</v>
      </c>
      <c r="H66" s="7">
        <v>0.03</v>
      </c>
      <c r="I66" s="5" t="s">
        <v>15</v>
      </c>
      <c r="J66" s="5">
        <v>24</v>
      </c>
      <c r="K66" s="2"/>
      <c r="L66" s="2"/>
      <c r="M66" s="1"/>
    </row>
    <row r="67" spans="1:13" ht="14.4" x14ac:dyDescent="0.3">
      <c r="A67" s="14">
        <v>44623</v>
      </c>
      <c r="B67" s="5">
        <v>8</v>
      </c>
      <c r="C67" s="32">
        <f>VLOOKUP(B67,'area in m2'!B$2:C$10,2,FALSE)</f>
        <v>142</v>
      </c>
      <c r="D67" s="5" t="s">
        <v>12</v>
      </c>
      <c r="E67" s="6">
        <v>500.46016988361544</v>
      </c>
      <c r="F67" s="33" t="str">
        <f t="shared" si="0"/>
        <v>Below 530</v>
      </c>
      <c r="G67" s="33">
        <f t="shared" si="1"/>
        <v>525.48317837779621</v>
      </c>
      <c r="H67" s="7">
        <v>0.03</v>
      </c>
      <c r="I67" s="5" t="s">
        <v>14</v>
      </c>
      <c r="J67" s="5">
        <v>22</v>
      </c>
      <c r="K67" s="2"/>
      <c r="L67" s="2"/>
      <c r="M67" s="1"/>
    </row>
    <row r="68" spans="1:13" ht="14.4" x14ac:dyDescent="0.3">
      <c r="A68" s="14">
        <v>44704</v>
      </c>
      <c r="B68" s="5">
        <v>3</v>
      </c>
      <c r="C68" s="32">
        <f>VLOOKUP(B68,'area in m2'!B$2:C$10,2,FALSE)</f>
        <v>195</v>
      </c>
      <c r="D68" s="5" t="s">
        <v>11</v>
      </c>
      <c r="E68" s="6">
        <v>524.02491275510238</v>
      </c>
      <c r="F68" s="33" t="str">
        <f t="shared" si="0"/>
        <v>Below 530</v>
      </c>
      <c r="G68" s="33">
        <f t="shared" si="1"/>
        <v>550.22615839285754</v>
      </c>
      <c r="H68" s="7">
        <v>0.01</v>
      </c>
      <c r="I68" s="5" t="s">
        <v>14</v>
      </c>
      <c r="J68" s="5">
        <v>33</v>
      </c>
      <c r="K68" s="2"/>
      <c r="L68" s="2"/>
      <c r="M68" s="1"/>
    </row>
    <row r="69" spans="1:13" ht="14.4" x14ac:dyDescent="0.3">
      <c r="A69" s="14">
        <v>44692</v>
      </c>
      <c r="B69" s="5">
        <v>9</v>
      </c>
      <c r="C69" s="32">
        <f>VLOOKUP(B69,'area in m2'!B$2:C$10,2,FALSE)</f>
        <v>140</v>
      </c>
      <c r="D69" s="5" t="s">
        <v>12</v>
      </c>
      <c r="E69" s="6">
        <v>505.70443720091589</v>
      </c>
      <c r="F69" s="33" t="str">
        <f t="shared" ref="F69:F132" si="2">IF(E69&gt;530,"Over 530","Below 530")</f>
        <v>Below 530</v>
      </c>
      <c r="G69" s="33">
        <f t="shared" ref="G69:G132" si="3">+E69*1.05</f>
        <v>530.98965906096169</v>
      </c>
      <c r="H69" s="7">
        <v>0.02</v>
      </c>
      <c r="I69" s="5" t="s">
        <v>14</v>
      </c>
      <c r="J69" s="5">
        <v>44</v>
      </c>
      <c r="K69" s="2"/>
      <c r="L69" s="2"/>
      <c r="M69" s="1"/>
    </row>
    <row r="70" spans="1:13" ht="14.4" x14ac:dyDescent="0.3">
      <c r="A70" s="14">
        <v>44584</v>
      </c>
      <c r="B70" s="5">
        <v>1</v>
      </c>
      <c r="C70" s="32">
        <f>VLOOKUP(B70,'area in m2'!B$2:C$10,2,FALSE)</f>
        <v>280</v>
      </c>
      <c r="D70" s="5" t="s">
        <v>11</v>
      </c>
      <c r="E70" s="6">
        <v>538.74670682023952</v>
      </c>
      <c r="F70" s="33" t="str">
        <f t="shared" si="2"/>
        <v>Over 530</v>
      </c>
      <c r="G70" s="33">
        <f t="shared" si="3"/>
        <v>565.68404216125157</v>
      </c>
      <c r="H70" s="7">
        <v>0.02</v>
      </c>
      <c r="I70" s="5" t="s">
        <v>14</v>
      </c>
      <c r="J70" s="5">
        <v>38</v>
      </c>
      <c r="K70" s="2"/>
      <c r="L70" s="2"/>
      <c r="M70" s="1"/>
    </row>
    <row r="71" spans="1:13" ht="14.4" x14ac:dyDescent="0.3">
      <c r="A71" s="14">
        <v>44585</v>
      </c>
      <c r="B71" s="5">
        <v>7</v>
      </c>
      <c r="C71" s="32">
        <f>VLOOKUP(B71,'area in m2'!B$2:C$10,2,FALSE)</f>
        <v>166</v>
      </c>
      <c r="D71" s="5" t="s">
        <v>12</v>
      </c>
      <c r="E71" s="6">
        <v>532.55806839607158</v>
      </c>
      <c r="F71" s="33" t="str">
        <f t="shared" si="2"/>
        <v>Over 530</v>
      </c>
      <c r="G71" s="33">
        <f t="shared" si="3"/>
        <v>559.18597181587518</v>
      </c>
      <c r="H71" s="7">
        <v>0.01</v>
      </c>
      <c r="I71" s="5" t="s">
        <v>14</v>
      </c>
      <c r="J71" s="5">
        <v>28</v>
      </c>
      <c r="K71" s="2"/>
      <c r="L71" s="2"/>
      <c r="M71" s="1"/>
    </row>
    <row r="72" spans="1:13" ht="14.4" x14ac:dyDescent="0.3">
      <c r="A72" s="14">
        <v>44859</v>
      </c>
      <c r="B72" s="5">
        <v>3</v>
      </c>
      <c r="C72" s="32">
        <f>VLOOKUP(B72,'area in m2'!B$2:C$10,2,FALSE)</f>
        <v>195</v>
      </c>
      <c r="D72" s="5" t="s">
        <v>11</v>
      </c>
      <c r="E72" s="6">
        <v>544.69970556839689</v>
      </c>
      <c r="F72" s="33" t="str">
        <f t="shared" si="2"/>
        <v>Over 530</v>
      </c>
      <c r="G72" s="33">
        <f t="shared" si="3"/>
        <v>571.93469084681681</v>
      </c>
      <c r="H72" s="7">
        <v>0.03</v>
      </c>
      <c r="I72" s="5" t="s">
        <v>14</v>
      </c>
      <c r="J72" s="5">
        <v>25</v>
      </c>
      <c r="K72" s="2"/>
      <c r="L72" s="2"/>
      <c r="M72" s="1"/>
    </row>
    <row r="73" spans="1:13" ht="14.4" x14ac:dyDescent="0.3">
      <c r="A73" s="14">
        <v>44637</v>
      </c>
      <c r="B73" s="5">
        <v>3</v>
      </c>
      <c r="C73" s="32">
        <f>VLOOKUP(B73,'area in m2'!B$2:C$10,2,FALSE)</f>
        <v>195</v>
      </c>
      <c r="D73" s="5" t="s">
        <v>11</v>
      </c>
      <c r="E73" s="6">
        <v>545.60367957835842</v>
      </c>
      <c r="F73" s="33" t="str">
        <f t="shared" si="2"/>
        <v>Over 530</v>
      </c>
      <c r="G73" s="33">
        <f t="shared" si="3"/>
        <v>572.88386355727641</v>
      </c>
      <c r="H73" s="7">
        <v>0.02</v>
      </c>
      <c r="I73" s="5" t="s">
        <v>14</v>
      </c>
      <c r="J73" s="5">
        <v>44</v>
      </c>
      <c r="K73" s="2"/>
      <c r="L73" s="2"/>
      <c r="M73" s="1"/>
    </row>
    <row r="74" spans="1:13" ht="14.4" x14ac:dyDescent="0.3">
      <c r="A74" s="14">
        <v>44817</v>
      </c>
      <c r="B74" s="5">
        <v>7</v>
      </c>
      <c r="C74" s="32">
        <f>VLOOKUP(B74,'area in m2'!B$2:C$10,2,FALSE)</f>
        <v>166</v>
      </c>
      <c r="D74" s="5" t="s">
        <v>12</v>
      </c>
      <c r="E74" s="6">
        <v>542.52521599600368</v>
      </c>
      <c r="F74" s="33" t="str">
        <f t="shared" si="2"/>
        <v>Over 530</v>
      </c>
      <c r="G74" s="33">
        <f t="shared" si="3"/>
        <v>569.65147679580389</v>
      </c>
      <c r="H74" s="7">
        <v>0.03</v>
      </c>
      <c r="I74" s="5" t="s">
        <v>15</v>
      </c>
      <c r="J74" s="5">
        <v>40</v>
      </c>
      <c r="K74" s="2"/>
      <c r="L74" s="2"/>
      <c r="M74" s="1"/>
    </row>
    <row r="75" spans="1:13" ht="14.4" x14ac:dyDescent="0.3">
      <c r="A75" s="14">
        <v>44655</v>
      </c>
      <c r="B75" s="5">
        <v>2</v>
      </c>
      <c r="C75" s="32">
        <f>VLOOKUP(B75,'area in m2'!B$2:C$10,2,FALSE)</f>
        <v>250</v>
      </c>
      <c r="D75" s="5" t="s">
        <v>11</v>
      </c>
      <c r="E75" s="6">
        <v>547.58117916820993</v>
      </c>
      <c r="F75" s="33" t="str">
        <f t="shared" si="2"/>
        <v>Over 530</v>
      </c>
      <c r="G75" s="33">
        <f t="shared" si="3"/>
        <v>574.96023812662042</v>
      </c>
      <c r="H75" s="7">
        <v>0</v>
      </c>
      <c r="I75" s="5" t="s">
        <v>14</v>
      </c>
      <c r="J75" s="5">
        <v>35</v>
      </c>
      <c r="K75" s="2"/>
      <c r="L75" s="2"/>
      <c r="M75" s="1"/>
    </row>
    <row r="76" spans="1:13" ht="14.4" x14ac:dyDescent="0.3">
      <c r="A76" s="14">
        <v>44868</v>
      </c>
      <c r="B76" s="5">
        <v>3</v>
      </c>
      <c r="C76" s="32">
        <f>VLOOKUP(B76,'area in m2'!B$2:C$10,2,FALSE)</f>
        <v>195</v>
      </c>
      <c r="D76" s="5" t="s">
        <v>11</v>
      </c>
      <c r="E76" s="6">
        <v>521.10340591544627</v>
      </c>
      <c r="F76" s="33" t="str">
        <f t="shared" si="2"/>
        <v>Below 530</v>
      </c>
      <c r="G76" s="33">
        <f t="shared" si="3"/>
        <v>547.15857621121859</v>
      </c>
      <c r="H76" s="7">
        <v>0.03</v>
      </c>
      <c r="I76" s="5" t="s">
        <v>14</v>
      </c>
      <c r="J76" s="5">
        <v>38</v>
      </c>
      <c r="K76" s="2"/>
      <c r="L76" s="2"/>
      <c r="M76" s="1"/>
    </row>
    <row r="77" spans="1:13" ht="14.4" x14ac:dyDescent="0.3">
      <c r="A77" s="14">
        <v>44637</v>
      </c>
      <c r="B77" s="5">
        <v>6</v>
      </c>
      <c r="C77" s="32">
        <f>VLOOKUP(B77,'area in m2'!B$2:C$10,2,FALSE)</f>
        <v>175</v>
      </c>
      <c r="D77" s="5" t="s">
        <v>13</v>
      </c>
      <c r="E77" s="6">
        <v>525.62508642062949</v>
      </c>
      <c r="F77" s="33" t="str">
        <f t="shared" si="2"/>
        <v>Below 530</v>
      </c>
      <c r="G77" s="33">
        <f t="shared" si="3"/>
        <v>551.90634074166098</v>
      </c>
      <c r="H77" s="7">
        <v>0</v>
      </c>
      <c r="I77" s="5" t="s">
        <v>15</v>
      </c>
      <c r="J77" s="5">
        <v>65</v>
      </c>
      <c r="K77" s="2"/>
      <c r="L77" s="2"/>
      <c r="M77" s="1"/>
    </row>
    <row r="78" spans="1:13" ht="14.4" x14ac:dyDescent="0.3">
      <c r="A78" s="14">
        <v>44714</v>
      </c>
      <c r="B78" s="5">
        <v>3</v>
      </c>
      <c r="C78" s="32">
        <f>VLOOKUP(B78,'area in m2'!B$2:C$10,2,FALSE)</f>
        <v>195</v>
      </c>
      <c r="D78" s="5" t="s">
        <v>11</v>
      </c>
      <c r="E78" s="6">
        <v>544.34378178771658</v>
      </c>
      <c r="F78" s="33" t="str">
        <f t="shared" si="2"/>
        <v>Over 530</v>
      </c>
      <c r="G78" s="33">
        <f t="shared" si="3"/>
        <v>571.56097087710248</v>
      </c>
      <c r="H78" s="7">
        <v>0.01</v>
      </c>
      <c r="I78" s="5" t="s">
        <v>14</v>
      </c>
      <c r="J78" s="5">
        <v>48</v>
      </c>
      <c r="K78" s="2"/>
      <c r="L78" s="2"/>
      <c r="M78" s="1"/>
    </row>
    <row r="79" spans="1:13" ht="14.4" x14ac:dyDescent="0.3">
      <c r="A79" s="14">
        <v>44718</v>
      </c>
      <c r="B79" s="5">
        <v>5</v>
      </c>
      <c r="C79" s="32">
        <f>VLOOKUP(B79,'area in m2'!B$2:C$10,2,FALSE)</f>
        <v>200</v>
      </c>
      <c r="D79" s="5" t="s">
        <v>13</v>
      </c>
      <c r="E79" s="6">
        <v>543.63565697651029</v>
      </c>
      <c r="F79" s="33" t="str">
        <f t="shared" si="2"/>
        <v>Over 530</v>
      </c>
      <c r="G79" s="33">
        <f t="shared" si="3"/>
        <v>570.81743982533578</v>
      </c>
      <c r="H79" s="7">
        <v>0</v>
      </c>
      <c r="I79" s="5" t="s">
        <v>14</v>
      </c>
      <c r="J79" s="5">
        <v>40</v>
      </c>
      <c r="K79" s="2"/>
      <c r="L79" s="2"/>
      <c r="M79" s="1"/>
    </row>
    <row r="80" spans="1:13" ht="14.4" x14ac:dyDescent="0.3">
      <c r="A80" s="14">
        <v>44633</v>
      </c>
      <c r="B80" s="5">
        <v>4</v>
      </c>
      <c r="C80" s="32">
        <f>VLOOKUP(B80,'area in m2'!B$2:C$10,2,FALSE)</f>
        <v>188</v>
      </c>
      <c r="D80" s="5" t="s">
        <v>11</v>
      </c>
      <c r="E80" s="6">
        <v>526.23186648347564</v>
      </c>
      <c r="F80" s="33" t="str">
        <f t="shared" si="2"/>
        <v>Below 530</v>
      </c>
      <c r="G80" s="33">
        <f t="shared" si="3"/>
        <v>552.54345980764947</v>
      </c>
      <c r="H80" s="7">
        <v>0</v>
      </c>
      <c r="I80" s="5" t="s">
        <v>14</v>
      </c>
      <c r="J80" s="5">
        <v>30</v>
      </c>
      <c r="K80" s="2"/>
      <c r="L80" s="2"/>
      <c r="M80" s="1"/>
    </row>
    <row r="81" spans="1:13" ht="14.4" x14ac:dyDescent="0.3">
      <c r="A81" s="14">
        <v>44855</v>
      </c>
      <c r="B81" s="5">
        <v>3</v>
      </c>
      <c r="C81" s="32">
        <f>VLOOKUP(B81,'area in m2'!B$2:C$10,2,FALSE)</f>
        <v>195</v>
      </c>
      <c r="D81" s="5" t="s">
        <v>11</v>
      </c>
      <c r="E81" s="6">
        <v>544.48858323336935</v>
      </c>
      <c r="F81" s="33" t="str">
        <f t="shared" si="2"/>
        <v>Over 530</v>
      </c>
      <c r="G81" s="33">
        <f t="shared" si="3"/>
        <v>571.71301239503782</v>
      </c>
      <c r="H81" s="7">
        <v>0.02</v>
      </c>
      <c r="I81" s="5" t="s">
        <v>14</v>
      </c>
      <c r="J81" s="5">
        <v>47</v>
      </c>
      <c r="K81" s="2"/>
      <c r="L81" s="2"/>
      <c r="M81" s="1"/>
    </row>
    <row r="82" spans="1:13" ht="14.4" x14ac:dyDescent="0.3">
      <c r="A82" s="14">
        <v>44665</v>
      </c>
      <c r="B82" s="5">
        <v>4</v>
      </c>
      <c r="C82" s="32">
        <f>VLOOKUP(B82,'area in m2'!B$2:C$10,2,FALSE)</f>
        <v>188</v>
      </c>
      <c r="D82" s="5" t="s">
        <v>11</v>
      </c>
      <c r="E82" s="6">
        <v>522.24694742857537</v>
      </c>
      <c r="F82" s="33" t="str">
        <f t="shared" si="2"/>
        <v>Below 530</v>
      </c>
      <c r="G82" s="33">
        <f t="shared" si="3"/>
        <v>548.35929480000414</v>
      </c>
      <c r="H82" s="7">
        <v>0.01</v>
      </c>
      <c r="I82" s="5" t="s">
        <v>15</v>
      </c>
      <c r="J82" s="5">
        <v>56</v>
      </c>
      <c r="K82" s="2"/>
      <c r="L82" s="2"/>
      <c r="M82" s="1"/>
    </row>
    <row r="83" spans="1:13" ht="14.4" x14ac:dyDescent="0.3">
      <c r="A83" s="14">
        <v>44832</v>
      </c>
      <c r="B83" s="5">
        <v>7</v>
      </c>
      <c r="C83" s="32">
        <f>VLOOKUP(B83,'area in m2'!B$2:C$10,2,FALSE)</f>
        <v>166</v>
      </c>
      <c r="D83" s="5" t="s">
        <v>12</v>
      </c>
      <c r="E83" s="6">
        <v>533.94335753434461</v>
      </c>
      <c r="F83" s="33" t="str">
        <f t="shared" si="2"/>
        <v>Over 530</v>
      </c>
      <c r="G83" s="33">
        <f t="shared" si="3"/>
        <v>560.64052541106184</v>
      </c>
      <c r="H83" s="7">
        <v>0.02</v>
      </c>
      <c r="I83" s="5" t="s">
        <v>14</v>
      </c>
      <c r="J83" s="5">
        <v>29</v>
      </c>
      <c r="K83" s="2"/>
      <c r="L83" s="2"/>
      <c r="M83" s="1"/>
    </row>
    <row r="84" spans="1:13" ht="14.4" x14ac:dyDescent="0.3">
      <c r="A84" s="14">
        <v>44608</v>
      </c>
      <c r="B84" s="5">
        <v>1</v>
      </c>
      <c r="C84" s="32">
        <f>VLOOKUP(B84,'area in m2'!B$2:C$10,2,FALSE)</f>
        <v>280</v>
      </c>
      <c r="D84" s="5" t="s">
        <v>11</v>
      </c>
      <c r="E84" s="6">
        <v>539.12659082764003</v>
      </c>
      <c r="F84" s="33" t="str">
        <f t="shared" si="2"/>
        <v>Over 530</v>
      </c>
      <c r="G84" s="33">
        <f t="shared" si="3"/>
        <v>566.08292036902208</v>
      </c>
      <c r="H84" s="7">
        <v>0.03</v>
      </c>
      <c r="I84" s="5" t="s">
        <v>14</v>
      </c>
      <c r="J84" s="5">
        <v>46</v>
      </c>
      <c r="K84" s="2"/>
      <c r="L84" s="2"/>
      <c r="M84" s="1"/>
    </row>
    <row r="85" spans="1:13" ht="14.4" x14ac:dyDescent="0.3">
      <c r="A85" s="14">
        <v>44640</v>
      </c>
      <c r="B85" s="5">
        <v>6</v>
      </c>
      <c r="C85" s="32">
        <f>VLOOKUP(B85,'area in m2'!B$2:C$10,2,FALSE)</f>
        <v>175</v>
      </c>
      <c r="D85" s="5" t="s">
        <v>13</v>
      </c>
      <c r="E85" s="6">
        <v>540.80154932241203</v>
      </c>
      <c r="F85" s="33" t="str">
        <f t="shared" si="2"/>
        <v>Over 530</v>
      </c>
      <c r="G85" s="33">
        <f t="shared" si="3"/>
        <v>567.84162678853261</v>
      </c>
      <c r="H85" s="7">
        <v>0.01</v>
      </c>
      <c r="I85" s="5" t="s">
        <v>15</v>
      </c>
      <c r="J85" s="5">
        <v>49</v>
      </c>
      <c r="K85" s="2"/>
      <c r="L85" s="2"/>
      <c r="M85" s="1"/>
    </row>
    <row r="86" spans="1:13" ht="14.4" x14ac:dyDescent="0.3">
      <c r="A86" s="14">
        <v>44743</v>
      </c>
      <c r="B86" s="5">
        <v>1</v>
      </c>
      <c r="C86" s="32">
        <f>VLOOKUP(B86,'area in m2'!B$2:C$10,2,FALSE)</f>
        <v>280</v>
      </c>
      <c r="D86" s="5" t="s">
        <v>11</v>
      </c>
      <c r="E86" s="6">
        <v>537.39400747365926</v>
      </c>
      <c r="F86" s="33" t="str">
        <f t="shared" si="2"/>
        <v>Over 530</v>
      </c>
      <c r="G86" s="33">
        <f t="shared" si="3"/>
        <v>564.26370784734229</v>
      </c>
      <c r="H86" s="7">
        <v>0.01</v>
      </c>
      <c r="I86" s="5" t="s">
        <v>14</v>
      </c>
      <c r="J86" s="5">
        <v>49</v>
      </c>
      <c r="K86" s="2"/>
      <c r="L86" s="2"/>
      <c r="M86" s="1"/>
    </row>
    <row r="87" spans="1:13" ht="14.4" x14ac:dyDescent="0.3">
      <c r="A87" s="14">
        <v>44753</v>
      </c>
      <c r="B87" s="5">
        <v>5</v>
      </c>
      <c r="C87" s="32">
        <f>VLOOKUP(B87,'area in m2'!B$2:C$10,2,FALSE)</f>
        <v>200</v>
      </c>
      <c r="D87" s="5" t="s">
        <v>13</v>
      </c>
      <c r="E87" s="6">
        <v>533.36203294951156</v>
      </c>
      <c r="F87" s="33" t="str">
        <f t="shared" si="2"/>
        <v>Over 530</v>
      </c>
      <c r="G87" s="33">
        <f t="shared" si="3"/>
        <v>560.03013459698718</v>
      </c>
      <c r="H87" s="7">
        <v>0.01</v>
      </c>
      <c r="I87" s="5" t="s">
        <v>14</v>
      </c>
      <c r="J87" s="5">
        <v>25</v>
      </c>
      <c r="K87" s="2"/>
      <c r="L87" s="2"/>
      <c r="M87" s="1"/>
    </row>
    <row r="88" spans="1:13" ht="14.4" x14ac:dyDescent="0.3">
      <c r="A88" s="14">
        <v>44563</v>
      </c>
      <c r="B88" s="5">
        <v>6</v>
      </c>
      <c r="C88" s="32">
        <f>VLOOKUP(B88,'area in m2'!B$2:C$10,2,FALSE)</f>
        <v>175</v>
      </c>
      <c r="D88" s="5" t="s">
        <v>13</v>
      </c>
      <c r="E88" s="6">
        <v>521.96024055371254</v>
      </c>
      <c r="F88" s="33" t="str">
        <f t="shared" si="2"/>
        <v>Below 530</v>
      </c>
      <c r="G88" s="33">
        <f t="shared" si="3"/>
        <v>548.05825258139816</v>
      </c>
      <c r="H88" s="7">
        <v>0.02</v>
      </c>
      <c r="I88" s="5" t="s">
        <v>14</v>
      </c>
      <c r="J88" s="5">
        <v>22</v>
      </c>
      <c r="K88" s="2"/>
      <c r="L88" s="2"/>
      <c r="M88" s="1"/>
    </row>
    <row r="89" spans="1:13" ht="14.4" x14ac:dyDescent="0.3">
      <c r="A89" s="14">
        <v>44777</v>
      </c>
      <c r="B89" s="5">
        <v>7</v>
      </c>
      <c r="C89" s="32">
        <f>VLOOKUP(B89,'area in m2'!B$2:C$10,2,FALSE)</f>
        <v>166</v>
      </c>
      <c r="D89" s="5" t="s">
        <v>12</v>
      </c>
      <c r="E89" s="6">
        <v>513.75661292539553</v>
      </c>
      <c r="F89" s="33" t="str">
        <f t="shared" si="2"/>
        <v>Below 530</v>
      </c>
      <c r="G89" s="33">
        <f t="shared" si="3"/>
        <v>539.44444357166537</v>
      </c>
      <c r="H89" s="7">
        <v>0.03</v>
      </c>
      <c r="I89" s="5" t="s">
        <v>14</v>
      </c>
      <c r="J89" s="5">
        <v>45</v>
      </c>
      <c r="K89" s="2"/>
      <c r="L89" s="2"/>
      <c r="M89" s="1"/>
    </row>
    <row r="90" spans="1:13" ht="14.4" x14ac:dyDescent="0.3">
      <c r="A90" s="14">
        <v>44578</v>
      </c>
      <c r="B90" s="5">
        <v>6</v>
      </c>
      <c r="C90" s="32">
        <f>VLOOKUP(B90,'area in m2'!B$2:C$10,2,FALSE)</f>
        <v>175</v>
      </c>
      <c r="D90" s="5" t="s">
        <v>13</v>
      </c>
      <c r="E90" s="6">
        <v>527.73980130922064</v>
      </c>
      <c r="F90" s="33" t="str">
        <f t="shared" si="2"/>
        <v>Below 530</v>
      </c>
      <c r="G90" s="33">
        <f t="shared" si="3"/>
        <v>554.12679137468172</v>
      </c>
      <c r="H90" s="7">
        <v>0.03</v>
      </c>
      <c r="I90" s="5" t="s">
        <v>14</v>
      </c>
      <c r="J90" s="5">
        <v>29</v>
      </c>
      <c r="K90" s="2"/>
      <c r="L90" s="2"/>
      <c r="M90" s="1"/>
    </row>
    <row r="91" spans="1:13" ht="14.4" x14ac:dyDescent="0.3">
      <c r="A91" s="14">
        <v>44703</v>
      </c>
      <c r="B91" s="5">
        <v>9</v>
      </c>
      <c r="C91" s="32">
        <f>VLOOKUP(B91,'area in m2'!B$2:C$10,2,FALSE)</f>
        <v>140</v>
      </c>
      <c r="D91" s="5" t="s">
        <v>12</v>
      </c>
      <c r="E91" s="6">
        <v>539.17221574422183</v>
      </c>
      <c r="F91" s="33" t="str">
        <f t="shared" si="2"/>
        <v>Over 530</v>
      </c>
      <c r="G91" s="33">
        <f t="shared" si="3"/>
        <v>566.13082653143294</v>
      </c>
      <c r="H91" s="7">
        <v>0.02</v>
      </c>
      <c r="I91" s="5" t="s">
        <v>14</v>
      </c>
      <c r="J91" s="5">
        <v>31</v>
      </c>
      <c r="K91" s="2"/>
      <c r="L91" s="2"/>
      <c r="M91" s="1"/>
    </row>
    <row r="92" spans="1:13" ht="14.4" x14ac:dyDescent="0.3">
      <c r="A92" s="14">
        <v>44870</v>
      </c>
      <c r="B92" s="5">
        <v>1</v>
      </c>
      <c r="C92" s="32">
        <f>VLOOKUP(B92,'area in m2'!B$2:C$10,2,FALSE)</f>
        <v>280</v>
      </c>
      <c r="D92" s="5" t="s">
        <v>11</v>
      </c>
      <c r="E92" s="6">
        <v>504.71712397340434</v>
      </c>
      <c r="F92" s="33" t="str">
        <f t="shared" si="2"/>
        <v>Below 530</v>
      </c>
      <c r="G92" s="33">
        <f t="shared" si="3"/>
        <v>529.9529801720746</v>
      </c>
      <c r="H92" s="7">
        <v>0.02</v>
      </c>
      <c r="I92" s="5" t="s">
        <v>15</v>
      </c>
      <c r="J92" s="5">
        <v>42</v>
      </c>
      <c r="K92" s="2"/>
      <c r="L92" s="2"/>
      <c r="M92" s="1"/>
    </row>
    <row r="93" spans="1:13" ht="14.4" x14ac:dyDescent="0.3">
      <c r="A93" s="14">
        <v>44875</v>
      </c>
      <c r="B93" s="5">
        <v>6</v>
      </c>
      <c r="C93" s="32">
        <f>VLOOKUP(B93,'area in m2'!B$2:C$10,2,FALSE)</f>
        <v>175</v>
      </c>
      <c r="D93" s="5" t="s">
        <v>13</v>
      </c>
      <c r="E93" s="6">
        <v>511.13727902466235</v>
      </c>
      <c r="F93" s="33" t="str">
        <f t="shared" si="2"/>
        <v>Below 530</v>
      </c>
      <c r="G93" s="33">
        <f t="shared" si="3"/>
        <v>536.69414297589549</v>
      </c>
      <c r="H93" s="7">
        <v>0.02</v>
      </c>
      <c r="I93" s="5" t="s">
        <v>14</v>
      </c>
      <c r="J93" s="5">
        <v>36</v>
      </c>
      <c r="K93" s="2"/>
      <c r="L93" s="2"/>
      <c r="M93" s="1"/>
    </row>
    <row r="94" spans="1:13" ht="14.4" x14ac:dyDescent="0.3">
      <c r="A94" s="14">
        <v>44774</v>
      </c>
      <c r="B94" s="5">
        <v>1</v>
      </c>
      <c r="C94" s="32">
        <f>VLOOKUP(B94,'area in m2'!B$2:C$10,2,FALSE)</f>
        <v>280</v>
      </c>
      <c r="D94" s="5" t="s">
        <v>11</v>
      </c>
      <c r="E94" s="6">
        <v>541.87400900563171</v>
      </c>
      <c r="F94" s="33" t="str">
        <f t="shared" si="2"/>
        <v>Over 530</v>
      </c>
      <c r="G94" s="33">
        <f t="shared" si="3"/>
        <v>568.96770945591334</v>
      </c>
      <c r="H94" s="7">
        <v>0.03</v>
      </c>
      <c r="I94" s="5" t="s">
        <v>15</v>
      </c>
      <c r="J94" s="5">
        <v>22</v>
      </c>
      <c r="K94" s="2"/>
      <c r="L94" s="2"/>
      <c r="M94" s="1"/>
    </row>
    <row r="95" spans="1:13" ht="14.4" x14ac:dyDescent="0.3">
      <c r="A95" s="14">
        <v>44728</v>
      </c>
      <c r="B95" s="5">
        <v>3</v>
      </c>
      <c r="C95" s="32">
        <f>VLOOKUP(B95,'area in m2'!B$2:C$10,2,FALSE)</f>
        <v>195</v>
      </c>
      <c r="D95" s="5" t="s">
        <v>11</v>
      </c>
      <c r="E95" s="6">
        <v>525.25002591557313</v>
      </c>
      <c r="F95" s="33" t="str">
        <f t="shared" si="2"/>
        <v>Below 530</v>
      </c>
      <c r="G95" s="33">
        <f t="shared" si="3"/>
        <v>551.51252721135177</v>
      </c>
      <c r="H95" s="7">
        <v>0.02</v>
      </c>
      <c r="I95" s="5" t="s">
        <v>14</v>
      </c>
      <c r="J95" s="5">
        <v>23</v>
      </c>
      <c r="K95" s="2"/>
      <c r="L95" s="2"/>
      <c r="M95" s="1"/>
    </row>
    <row r="96" spans="1:13" ht="14.4" x14ac:dyDescent="0.3">
      <c r="A96" s="14">
        <v>44584</v>
      </c>
      <c r="B96" s="5">
        <v>4</v>
      </c>
      <c r="C96" s="32">
        <f>VLOOKUP(B96,'area in m2'!B$2:C$10,2,FALSE)</f>
        <v>188</v>
      </c>
      <c r="D96" s="5" t="s">
        <v>11</v>
      </c>
      <c r="E96" s="6">
        <v>517.32897895102178</v>
      </c>
      <c r="F96" s="33" t="str">
        <f t="shared" si="2"/>
        <v>Below 530</v>
      </c>
      <c r="G96" s="33">
        <f t="shared" si="3"/>
        <v>543.19542789857292</v>
      </c>
      <c r="H96" s="7">
        <v>0.02</v>
      </c>
      <c r="I96" s="5" t="s">
        <v>15</v>
      </c>
      <c r="J96" s="5">
        <v>48</v>
      </c>
      <c r="K96" s="2"/>
      <c r="L96" s="2"/>
      <c r="M96" s="1"/>
    </row>
    <row r="97" spans="1:13" ht="14.4" x14ac:dyDescent="0.3">
      <c r="A97" s="14">
        <v>44797</v>
      </c>
      <c r="B97" s="5">
        <v>5</v>
      </c>
      <c r="C97" s="32">
        <f>VLOOKUP(B97,'area in m2'!B$2:C$10,2,FALSE)</f>
        <v>200</v>
      </c>
      <c r="D97" s="5" t="s">
        <v>13</v>
      </c>
      <c r="E97" s="6">
        <v>540.97</v>
      </c>
      <c r="F97" s="33" t="str">
        <f t="shared" si="2"/>
        <v>Over 530</v>
      </c>
      <c r="G97" s="33">
        <f t="shared" si="3"/>
        <v>568.01850000000002</v>
      </c>
      <c r="H97" s="7">
        <v>0.02</v>
      </c>
      <c r="I97" s="5" t="s">
        <v>15</v>
      </c>
      <c r="J97" s="5">
        <v>62</v>
      </c>
      <c r="K97" s="2"/>
      <c r="L97" s="2"/>
      <c r="M97" s="1"/>
    </row>
    <row r="98" spans="1:13" ht="14.4" x14ac:dyDescent="0.3">
      <c r="A98" s="14">
        <v>44739</v>
      </c>
      <c r="B98" s="5">
        <v>3</v>
      </c>
      <c r="C98" s="32">
        <f>VLOOKUP(B98,'area in m2'!B$2:C$10,2,FALSE)</f>
        <v>195</v>
      </c>
      <c r="D98" s="5" t="s">
        <v>11</v>
      </c>
      <c r="E98" s="6">
        <v>518.98078941106451</v>
      </c>
      <c r="F98" s="33" t="str">
        <f t="shared" si="2"/>
        <v>Below 530</v>
      </c>
      <c r="G98" s="33">
        <f t="shared" si="3"/>
        <v>544.92982888161771</v>
      </c>
      <c r="H98" s="7">
        <v>0.03</v>
      </c>
      <c r="I98" s="5" t="s">
        <v>14</v>
      </c>
      <c r="J98" s="5">
        <v>18</v>
      </c>
      <c r="K98" s="2"/>
      <c r="L98" s="2"/>
      <c r="M98" s="1"/>
    </row>
    <row r="99" spans="1:13" ht="14.4" x14ac:dyDescent="0.3">
      <c r="A99" s="14">
        <v>44814</v>
      </c>
      <c r="B99" s="5">
        <v>4</v>
      </c>
      <c r="C99" s="32">
        <f>VLOOKUP(B99,'area in m2'!B$2:C$10,2,FALSE)</f>
        <v>188</v>
      </c>
      <c r="D99" s="5" t="s">
        <v>11</v>
      </c>
      <c r="E99" s="6">
        <v>529.3237841148657</v>
      </c>
      <c r="F99" s="33" t="str">
        <f t="shared" si="2"/>
        <v>Below 530</v>
      </c>
      <c r="G99" s="33">
        <f t="shared" si="3"/>
        <v>555.78997332060896</v>
      </c>
      <c r="H99" s="7">
        <v>0.01</v>
      </c>
      <c r="I99" s="5" t="s">
        <v>14</v>
      </c>
      <c r="J99" s="5">
        <v>46</v>
      </c>
      <c r="K99" s="2"/>
      <c r="L99" s="2"/>
      <c r="M99" s="1"/>
    </row>
    <row r="100" spans="1:13" ht="14.4" x14ac:dyDescent="0.3">
      <c r="A100" s="14">
        <v>44912</v>
      </c>
      <c r="B100" s="5">
        <v>6</v>
      </c>
      <c r="C100" s="32">
        <f>VLOOKUP(B100,'area in m2'!B$2:C$10,2,FALSE)</f>
        <v>175</v>
      </c>
      <c r="D100" s="5" t="s">
        <v>13</v>
      </c>
      <c r="E100" s="6">
        <v>511.13727902466235</v>
      </c>
      <c r="F100" s="33" t="str">
        <f t="shared" si="2"/>
        <v>Below 530</v>
      </c>
      <c r="G100" s="33">
        <f t="shared" si="3"/>
        <v>536.69414297589549</v>
      </c>
      <c r="H100" s="7">
        <v>0.03</v>
      </c>
      <c r="I100" s="5" t="s">
        <v>14</v>
      </c>
      <c r="J100" s="5">
        <v>48</v>
      </c>
      <c r="K100" s="2"/>
      <c r="L100" s="2"/>
      <c r="M100" s="1"/>
    </row>
    <row r="101" spans="1:13" ht="14.4" x14ac:dyDescent="0.3">
      <c r="A101" s="14">
        <v>44619</v>
      </c>
      <c r="B101" s="5">
        <v>7</v>
      </c>
      <c r="C101" s="32">
        <f>VLOOKUP(B101,'area in m2'!B$2:C$10,2,FALSE)</f>
        <v>166</v>
      </c>
      <c r="D101" s="5" t="s">
        <v>11</v>
      </c>
      <c r="E101" s="6">
        <v>524.7927494908181</v>
      </c>
      <c r="F101" s="33" t="str">
        <f t="shared" si="2"/>
        <v>Below 530</v>
      </c>
      <c r="G101" s="33">
        <f t="shared" si="3"/>
        <v>551.03238696535902</v>
      </c>
      <c r="H101" s="7">
        <v>0.02</v>
      </c>
      <c r="I101" s="5" t="s">
        <v>14</v>
      </c>
      <c r="J101" s="5">
        <v>25</v>
      </c>
      <c r="K101" s="2"/>
      <c r="L101" s="2"/>
      <c r="M101" s="1"/>
    </row>
    <row r="102" spans="1:13" ht="14.4" x14ac:dyDescent="0.3">
      <c r="A102" s="14">
        <v>44672</v>
      </c>
      <c r="B102" s="5">
        <v>3</v>
      </c>
      <c r="C102" s="32">
        <f>VLOOKUP(B102,'area in m2'!B$2:C$10,2,FALSE)</f>
        <v>195</v>
      </c>
      <c r="D102" s="5" t="s">
        <v>11</v>
      </c>
      <c r="E102" s="6">
        <v>531.67667654660181</v>
      </c>
      <c r="F102" s="33" t="str">
        <f t="shared" si="2"/>
        <v>Over 530</v>
      </c>
      <c r="G102" s="33">
        <f t="shared" si="3"/>
        <v>558.26051037393188</v>
      </c>
      <c r="H102" s="7">
        <v>0.01</v>
      </c>
      <c r="I102" s="5" t="s">
        <v>15</v>
      </c>
      <c r="J102" s="5">
        <v>64</v>
      </c>
      <c r="K102" s="2"/>
      <c r="L102" s="2"/>
      <c r="M102" s="1"/>
    </row>
    <row r="103" spans="1:13" ht="14.4" x14ac:dyDescent="0.3">
      <c r="A103" s="14">
        <v>44605</v>
      </c>
      <c r="B103" s="5">
        <v>2</v>
      </c>
      <c r="C103" s="32">
        <f>VLOOKUP(B103,'area in m2'!B$2:C$10,2,FALSE)</f>
        <v>250</v>
      </c>
      <c r="D103" s="5" t="s">
        <v>11</v>
      </c>
      <c r="E103" s="6">
        <v>530.54919689603594</v>
      </c>
      <c r="F103" s="33" t="str">
        <f t="shared" si="2"/>
        <v>Over 530</v>
      </c>
      <c r="G103" s="33">
        <f t="shared" si="3"/>
        <v>557.07665674083773</v>
      </c>
      <c r="H103" s="7">
        <v>0.01</v>
      </c>
      <c r="I103" s="5" t="s">
        <v>14</v>
      </c>
      <c r="J103" s="5">
        <v>45</v>
      </c>
      <c r="K103" s="2"/>
      <c r="L103" s="2"/>
      <c r="M103" s="1"/>
    </row>
    <row r="104" spans="1:13" ht="14.4" x14ac:dyDescent="0.3">
      <c r="A104" s="14">
        <v>44778</v>
      </c>
      <c r="B104" s="5">
        <v>1</v>
      </c>
      <c r="C104" s="32">
        <f>VLOOKUP(B104,'area in m2'!B$2:C$10,2,FALSE)</f>
        <v>280</v>
      </c>
      <c r="D104" s="5" t="s">
        <v>11</v>
      </c>
      <c r="E104" s="6">
        <v>541.75089755398858</v>
      </c>
      <c r="F104" s="33" t="str">
        <f t="shared" si="2"/>
        <v>Over 530</v>
      </c>
      <c r="G104" s="33">
        <f t="shared" si="3"/>
        <v>568.83844243168801</v>
      </c>
      <c r="H104" s="7">
        <v>0.03</v>
      </c>
      <c r="I104" s="5" t="s">
        <v>15</v>
      </c>
      <c r="J104" s="5">
        <v>35</v>
      </c>
      <c r="K104" s="2"/>
      <c r="L104" s="2"/>
      <c r="M104" s="1"/>
    </row>
    <row r="105" spans="1:13" ht="14.4" x14ac:dyDescent="0.3">
      <c r="A105" s="14">
        <v>44696</v>
      </c>
      <c r="B105" s="5">
        <v>2</v>
      </c>
      <c r="C105" s="32">
        <f>VLOOKUP(B105,'area in m2'!B$2:C$10,2,FALSE)</f>
        <v>250</v>
      </c>
      <c r="D105" s="5" t="s">
        <v>11</v>
      </c>
      <c r="E105" s="6">
        <v>509.09159328367878</v>
      </c>
      <c r="F105" s="33" t="str">
        <f t="shared" si="2"/>
        <v>Below 530</v>
      </c>
      <c r="G105" s="33">
        <f t="shared" si="3"/>
        <v>534.54617294786271</v>
      </c>
      <c r="H105" s="7">
        <v>0.03</v>
      </c>
      <c r="I105" s="5" t="s">
        <v>14</v>
      </c>
      <c r="J105" s="5">
        <v>36</v>
      </c>
      <c r="K105" s="2"/>
      <c r="L105" s="2"/>
      <c r="M105" s="1"/>
    </row>
    <row r="106" spans="1:13" ht="14.4" x14ac:dyDescent="0.3">
      <c r="A106" s="14">
        <v>44747</v>
      </c>
      <c r="B106" s="5">
        <v>4</v>
      </c>
      <c r="C106" s="32">
        <f>VLOOKUP(B106,'area in m2'!B$2:C$10,2,FALSE)</f>
        <v>188</v>
      </c>
      <c r="D106" s="5" t="s">
        <v>11</v>
      </c>
      <c r="E106" s="6">
        <v>510.55146262820926</v>
      </c>
      <c r="F106" s="33" t="str">
        <f t="shared" si="2"/>
        <v>Below 530</v>
      </c>
      <c r="G106" s="33">
        <f t="shared" si="3"/>
        <v>536.07903575961973</v>
      </c>
      <c r="H106" s="7">
        <v>0.01</v>
      </c>
      <c r="I106" s="5" t="s">
        <v>14</v>
      </c>
      <c r="J106" s="5">
        <v>42</v>
      </c>
      <c r="K106" s="2"/>
      <c r="L106" s="2"/>
      <c r="M106" s="1"/>
    </row>
    <row r="107" spans="1:13" ht="14.4" x14ac:dyDescent="0.3">
      <c r="A107" s="14">
        <v>44803</v>
      </c>
      <c r="B107" s="5">
        <v>8</v>
      </c>
      <c r="C107" s="32">
        <f>VLOOKUP(B107,'area in m2'!B$2:C$10,2,FALSE)</f>
        <v>142</v>
      </c>
      <c r="D107" s="5" t="s">
        <v>11</v>
      </c>
      <c r="E107" s="6">
        <v>537.09976182559421</v>
      </c>
      <c r="F107" s="33" t="str">
        <f t="shared" si="2"/>
        <v>Over 530</v>
      </c>
      <c r="G107" s="33">
        <f t="shared" si="3"/>
        <v>563.95474991687399</v>
      </c>
      <c r="H107" s="7">
        <v>0.01</v>
      </c>
      <c r="I107" s="5" t="s">
        <v>14</v>
      </c>
      <c r="J107" s="5">
        <v>23</v>
      </c>
      <c r="K107" s="2"/>
      <c r="L107" s="2"/>
      <c r="M107" s="1"/>
    </row>
    <row r="108" spans="1:13" ht="14.4" x14ac:dyDescent="0.3">
      <c r="A108" s="14">
        <v>44632</v>
      </c>
      <c r="B108" s="5">
        <v>3</v>
      </c>
      <c r="C108" s="32">
        <f>VLOOKUP(B108,'area in m2'!B$2:C$10,2,FALSE)</f>
        <v>195</v>
      </c>
      <c r="D108" s="5" t="s">
        <v>11</v>
      </c>
      <c r="E108" s="6">
        <v>550.14521411715759</v>
      </c>
      <c r="F108" s="33" t="str">
        <f t="shared" si="2"/>
        <v>Over 530</v>
      </c>
      <c r="G108" s="33">
        <f t="shared" si="3"/>
        <v>577.6524748230155</v>
      </c>
      <c r="H108" s="7">
        <v>0.02</v>
      </c>
      <c r="I108" s="5" t="s">
        <v>14</v>
      </c>
      <c r="J108" s="5">
        <v>44</v>
      </c>
      <c r="K108" s="2"/>
      <c r="L108" s="2"/>
      <c r="M108" s="1"/>
    </row>
    <row r="109" spans="1:13" ht="14.4" x14ac:dyDescent="0.3">
      <c r="A109" s="14">
        <v>44634</v>
      </c>
      <c r="B109" s="5">
        <v>1</v>
      </c>
      <c r="C109" s="32">
        <f>VLOOKUP(B109,'area in m2'!B$2:C$10,2,FALSE)</f>
        <v>280</v>
      </c>
      <c r="D109" s="5" t="s">
        <v>11</v>
      </c>
      <c r="E109" s="6">
        <v>501.72531850045107</v>
      </c>
      <c r="F109" s="33" t="str">
        <f t="shared" si="2"/>
        <v>Below 530</v>
      </c>
      <c r="G109" s="33">
        <f t="shared" si="3"/>
        <v>526.8115844254736</v>
      </c>
      <c r="H109" s="7">
        <v>0.03</v>
      </c>
      <c r="I109" s="5" t="s">
        <v>14</v>
      </c>
      <c r="J109" s="5">
        <v>48</v>
      </c>
      <c r="K109" s="2"/>
      <c r="L109" s="2"/>
      <c r="M109" s="1"/>
    </row>
    <row r="110" spans="1:13" ht="14.4" x14ac:dyDescent="0.3">
      <c r="A110" s="14">
        <v>44565</v>
      </c>
      <c r="B110" s="5">
        <v>2</v>
      </c>
      <c r="C110" s="32">
        <f>VLOOKUP(B110,'area in m2'!B$2:C$10,2,FALSE)</f>
        <v>250</v>
      </c>
      <c r="D110" s="5" t="s">
        <v>11</v>
      </c>
      <c r="E110" s="6">
        <v>536.51371634377938</v>
      </c>
      <c r="F110" s="33" t="str">
        <f t="shared" si="2"/>
        <v>Over 530</v>
      </c>
      <c r="G110" s="33">
        <f t="shared" si="3"/>
        <v>563.33940216096835</v>
      </c>
      <c r="H110" s="7">
        <v>0.02</v>
      </c>
      <c r="I110" s="5" t="s">
        <v>14</v>
      </c>
      <c r="J110" s="5">
        <v>22</v>
      </c>
      <c r="K110" s="2"/>
      <c r="L110" s="2"/>
      <c r="M110" s="1"/>
    </row>
    <row r="111" spans="1:13" ht="14.4" x14ac:dyDescent="0.3">
      <c r="A111" s="14">
        <v>44845</v>
      </c>
      <c r="B111" s="5">
        <v>1</v>
      </c>
      <c r="C111" s="32">
        <f>VLOOKUP(B111,'area in m2'!B$2:C$10,2,FALSE)</f>
        <v>280</v>
      </c>
      <c r="D111" s="5" t="s">
        <v>11</v>
      </c>
      <c r="E111" s="6">
        <v>532.05523307095882</v>
      </c>
      <c r="F111" s="33" t="str">
        <f t="shared" si="2"/>
        <v>Over 530</v>
      </c>
      <c r="G111" s="33">
        <f t="shared" si="3"/>
        <v>558.65799472450681</v>
      </c>
      <c r="H111" s="7">
        <v>0</v>
      </c>
      <c r="I111" s="5" t="s">
        <v>14</v>
      </c>
      <c r="J111" s="5">
        <v>32</v>
      </c>
      <c r="K111" s="2"/>
      <c r="L111" s="2"/>
      <c r="M111" s="1"/>
    </row>
    <row r="112" spans="1:13" ht="14.4" x14ac:dyDescent="0.3">
      <c r="A112" s="14">
        <v>44815</v>
      </c>
      <c r="B112" s="5">
        <v>8</v>
      </c>
      <c r="C112" s="32">
        <f>VLOOKUP(B112,'area in m2'!B$2:C$10,2,FALSE)</f>
        <v>142</v>
      </c>
      <c r="D112" s="5" t="s">
        <v>12</v>
      </c>
      <c r="E112" s="6">
        <v>540.643555002016</v>
      </c>
      <c r="F112" s="33" t="str">
        <f t="shared" si="2"/>
        <v>Over 530</v>
      </c>
      <c r="G112" s="33">
        <f t="shared" si="3"/>
        <v>567.6757327521168</v>
      </c>
      <c r="H112" s="7">
        <v>0.01</v>
      </c>
      <c r="I112" s="5" t="s">
        <v>14</v>
      </c>
      <c r="J112" s="5">
        <v>41</v>
      </c>
      <c r="K112" s="2"/>
      <c r="L112" s="2"/>
      <c r="M112" s="1"/>
    </row>
    <row r="113" spans="1:13" ht="14.4" x14ac:dyDescent="0.3">
      <c r="A113" s="14">
        <v>44568</v>
      </c>
      <c r="B113" s="5">
        <v>7</v>
      </c>
      <c r="C113" s="32">
        <f>VLOOKUP(B113,'area in m2'!B$2:C$10,2,FALSE)</f>
        <v>166</v>
      </c>
      <c r="D113" s="5" t="s">
        <v>12</v>
      </c>
      <c r="E113" s="6">
        <v>547.83991069613148</v>
      </c>
      <c r="F113" s="33" t="str">
        <f t="shared" si="2"/>
        <v>Over 530</v>
      </c>
      <c r="G113" s="33">
        <f t="shared" si="3"/>
        <v>575.23190623093808</v>
      </c>
      <c r="H113" s="7">
        <v>0.01</v>
      </c>
      <c r="I113" s="5" t="s">
        <v>14</v>
      </c>
      <c r="J113" s="5">
        <v>38</v>
      </c>
      <c r="K113" s="2"/>
      <c r="L113" s="2"/>
      <c r="M113" s="1"/>
    </row>
    <row r="114" spans="1:13" ht="14.4" x14ac:dyDescent="0.3">
      <c r="A114" s="14">
        <v>44898</v>
      </c>
      <c r="B114" s="5">
        <v>5</v>
      </c>
      <c r="C114" s="32">
        <f>VLOOKUP(B114,'area in m2'!B$2:C$10,2,FALSE)</f>
        <v>200</v>
      </c>
      <c r="D114" s="5" t="s">
        <v>13</v>
      </c>
      <c r="E114" s="6">
        <v>541.07505266028238</v>
      </c>
      <c r="F114" s="33" t="str">
        <f t="shared" si="2"/>
        <v>Over 530</v>
      </c>
      <c r="G114" s="33">
        <f t="shared" si="3"/>
        <v>568.12880529329652</v>
      </c>
      <c r="H114" s="7">
        <v>0.02</v>
      </c>
      <c r="I114" s="5" t="s">
        <v>15</v>
      </c>
      <c r="J114" s="5">
        <v>35</v>
      </c>
      <c r="K114" s="2"/>
      <c r="L114" s="2"/>
      <c r="M114" s="1"/>
    </row>
    <row r="115" spans="1:13" ht="14.4" x14ac:dyDescent="0.3">
      <c r="A115" s="14">
        <v>44601</v>
      </c>
      <c r="B115" s="5">
        <v>9</v>
      </c>
      <c r="C115" s="32">
        <f>VLOOKUP(B115,'area in m2'!B$2:C$10,2,FALSE)</f>
        <v>140</v>
      </c>
      <c r="D115" s="5" t="s">
        <v>12</v>
      </c>
      <c r="E115" s="6">
        <v>538.02310801533349</v>
      </c>
      <c r="F115" s="33" t="str">
        <f t="shared" si="2"/>
        <v>Over 530</v>
      </c>
      <c r="G115" s="33">
        <f t="shared" si="3"/>
        <v>564.92426341610019</v>
      </c>
      <c r="H115" s="7">
        <v>0.01</v>
      </c>
      <c r="I115" s="5" t="s">
        <v>14</v>
      </c>
      <c r="J115" s="5">
        <v>48</v>
      </c>
      <c r="K115" s="2"/>
      <c r="L115" s="2"/>
      <c r="M115" s="1"/>
    </row>
    <row r="116" spans="1:13" ht="14.4" x14ac:dyDescent="0.3">
      <c r="A116" s="14">
        <v>44764</v>
      </c>
      <c r="B116" s="5">
        <v>3</v>
      </c>
      <c r="C116" s="32">
        <f>VLOOKUP(B116,'area in m2'!B$2:C$10,2,FALSE)</f>
        <v>195</v>
      </c>
      <c r="D116" s="5" t="s">
        <v>11</v>
      </c>
      <c r="E116" s="6">
        <v>539.67775304501902</v>
      </c>
      <c r="F116" s="33" t="str">
        <f t="shared" si="2"/>
        <v>Over 530</v>
      </c>
      <c r="G116" s="33">
        <f t="shared" si="3"/>
        <v>566.66164069726995</v>
      </c>
      <c r="H116" s="7">
        <v>0.01</v>
      </c>
      <c r="I116" s="5" t="s">
        <v>15</v>
      </c>
      <c r="J116" s="5">
        <v>21</v>
      </c>
      <c r="K116" s="2"/>
      <c r="L116" s="2"/>
      <c r="M116" s="1"/>
    </row>
    <row r="117" spans="1:13" ht="14.4" x14ac:dyDescent="0.3">
      <c r="A117" s="14">
        <v>44895</v>
      </c>
      <c r="B117" s="5">
        <v>3</v>
      </c>
      <c r="C117" s="32">
        <f>VLOOKUP(B117,'area in m2'!B$2:C$10,2,FALSE)</f>
        <v>195</v>
      </c>
      <c r="D117" s="5" t="s">
        <v>11</v>
      </c>
      <c r="E117" s="6">
        <v>535.6240077375287</v>
      </c>
      <c r="F117" s="33" t="str">
        <f t="shared" si="2"/>
        <v>Over 530</v>
      </c>
      <c r="G117" s="33">
        <f t="shared" si="3"/>
        <v>562.40520812440514</v>
      </c>
      <c r="H117" s="7">
        <v>0.01</v>
      </c>
      <c r="I117" s="5" t="s">
        <v>14</v>
      </c>
      <c r="J117" s="5">
        <v>39</v>
      </c>
      <c r="K117" s="2"/>
      <c r="L117" s="2"/>
      <c r="M117" s="1"/>
    </row>
    <row r="118" spans="1:13" ht="14.4" x14ac:dyDescent="0.3">
      <c r="A118" s="14">
        <v>44846</v>
      </c>
      <c r="B118" s="5">
        <v>7</v>
      </c>
      <c r="C118" s="32">
        <f>VLOOKUP(B118,'area in m2'!B$2:C$10,2,FALSE)</f>
        <v>166</v>
      </c>
      <c r="D118" s="5" t="s">
        <v>12</v>
      </c>
      <c r="E118" s="6">
        <v>524.57761551727617</v>
      </c>
      <c r="F118" s="33" t="str">
        <f t="shared" si="2"/>
        <v>Below 530</v>
      </c>
      <c r="G118" s="33">
        <f t="shared" si="3"/>
        <v>550.80649629313996</v>
      </c>
      <c r="H118" s="7">
        <v>0.01</v>
      </c>
      <c r="I118" s="5" t="s">
        <v>14</v>
      </c>
      <c r="J118" s="5">
        <v>39</v>
      </c>
      <c r="K118" s="2"/>
      <c r="L118" s="2"/>
      <c r="M118" s="1"/>
    </row>
    <row r="119" spans="1:13" ht="14.4" x14ac:dyDescent="0.3">
      <c r="A119" s="14">
        <v>44654</v>
      </c>
      <c r="B119" s="5">
        <v>9</v>
      </c>
      <c r="C119" s="32">
        <f>VLOOKUP(B119,'area in m2'!B$2:C$10,2,FALSE)</f>
        <v>140</v>
      </c>
      <c r="D119" s="5" t="s">
        <v>12</v>
      </c>
      <c r="E119" s="6">
        <v>545.64481748146682</v>
      </c>
      <c r="F119" s="33" t="str">
        <f t="shared" si="2"/>
        <v>Over 530</v>
      </c>
      <c r="G119" s="33">
        <f t="shared" si="3"/>
        <v>572.92705835554023</v>
      </c>
      <c r="H119" s="7">
        <v>0.02</v>
      </c>
      <c r="I119" s="5" t="s">
        <v>14</v>
      </c>
      <c r="J119" s="5">
        <v>41</v>
      </c>
      <c r="K119" s="2"/>
      <c r="L119" s="2"/>
      <c r="M119" s="1"/>
    </row>
    <row r="120" spans="1:13" ht="14.4" x14ac:dyDescent="0.3">
      <c r="A120" s="14">
        <v>44612</v>
      </c>
      <c r="B120" s="5">
        <v>7</v>
      </c>
      <c r="C120" s="32">
        <f>VLOOKUP(B120,'area in m2'!B$2:C$10,2,FALSE)</f>
        <v>166</v>
      </c>
      <c r="D120" s="5" t="s">
        <v>12</v>
      </c>
      <c r="E120" s="6">
        <v>537.16866672706692</v>
      </c>
      <c r="F120" s="33" t="str">
        <f t="shared" si="2"/>
        <v>Over 530</v>
      </c>
      <c r="G120" s="33">
        <f t="shared" si="3"/>
        <v>564.02710006342033</v>
      </c>
      <c r="H120" s="7">
        <v>0.02</v>
      </c>
      <c r="I120" s="5" t="s">
        <v>14</v>
      </c>
      <c r="J120" s="5">
        <v>31</v>
      </c>
      <c r="K120" s="2"/>
      <c r="L120" s="2"/>
      <c r="M120" s="1"/>
    </row>
    <row r="121" spans="1:13" ht="14.4" x14ac:dyDescent="0.3">
      <c r="A121" s="14">
        <v>44565</v>
      </c>
      <c r="B121" s="5">
        <v>8</v>
      </c>
      <c r="C121" s="32">
        <f>VLOOKUP(B121,'area in m2'!B$2:C$10,2,FALSE)</f>
        <v>142</v>
      </c>
      <c r="D121" s="5" t="s">
        <v>11</v>
      </c>
      <c r="E121" s="6">
        <v>511.8268275802875</v>
      </c>
      <c r="F121" s="33" t="str">
        <f t="shared" si="2"/>
        <v>Below 530</v>
      </c>
      <c r="G121" s="33">
        <f t="shared" si="3"/>
        <v>537.41816895930185</v>
      </c>
      <c r="H121" s="7">
        <v>0.01</v>
      </c>
      <c r="I121" s="5" t="s">
        <v>14</v>
      </c>
      <c r="J121" s="5">
        <v>32</v>
      </c>
      <c r="K121" s="2"/>
      <c r="L121" s="2"/>
      <c r="M121" s="1"/>
    </row>
    <row r="122" spans="1:13" ht="14.4" x14ac:dyDescent="0.3">
      <c r="A122" s="14">
        <v>44713</v>
      </c>
      <c r="B122" s="5">
        <v>4</v>
      </c>
      <c r="C122" s="32">
        <f>VLOOKUP(B122,'area in m2'!B$2:C$10,2,FALSE)</f>
        <v>188</v>
      </c>
      <c r="D122" s="5" t="s">
        <v>11</v>
      </c>
      <c r="E122" s="6">
        <v>530.07701639800598</v>
      </c>
      <c r="F122" s="33" t="str">
        <f t="shared" si="2"/>
        <v>Over 530</v>
      </c>
      <c r="G122" s="33">
        <f t="shared" si="3"/>
        <v>556.5808672179063</v>
      </c>
      <c r="H122" s="7">
        <v>0</v>
      </c>
      <c r="I122" s="5" t="s">
        <v>14</v>
      </c>
      <c r="J122" s="5">
        <v>26</v>
      </c>
      <c r="K122" s="2"/>
      <c r="L122" s="2"/>
      <c r="M122" s="1"/>
    </row>
    <row r="123" spans="1:13" ht="14.4" x14ac:dyDescent="0.3">
      <c r="A123" s="14">
        <v>44849</v>
      </c>
      <c r="B123" s="5">
        <v>9</v>
      </c>
      <c r="C123" s="32">
        <f>VLOOKUP(B123,'area in m2'!B$2:C$10,2,FALSE)</f>
        <v>140</v>
      </c>
      <c r="D123" s="5" t="s">
        <v>12</v>
      </c>
      <c r="E123" s="6">
        <v>521.00365504621186</v>
      </c>
      <c r="F123" s="33" t="str">
        <f t="shared" si="2"/>
        <v>Below 530</v>
      </c>
      <c r="G123" s="33">
        <f t="shared" si="3"/>
        <v>547.05383779852252</v>
      </c>
      <c r="H123" s="7">
        <v>0.03</v>
      </c>
      <c r="I123" s="5" t="s">
        <v>14</v>
      </c>
      <c r="J123" s="5">
        <v>45</v>
      </c>
      <c r="K123" s="2"/>
      <c r="L123" s="2"/>
      <c r="M123" s="1"/>
    </row>
    <row r="124" spans="1:13" ht="14.4" x14ac:dyDescent="0.3">
      <c r="A124" s="14">
        <v>44666</v>
      </c>
      <c r="B124" s="5">
        <v>5</v>
      </c>
      <c r="C124" s="32">
        <f>VLOOKUP(B124,'area in m2'!B$2:C$10,2,FALSE)</f>
        <v>200</v>
      </c>
      <c r="D124" s="5" t="s">
        <v>13</v>
      </c>
      <c r="E124" s="6">
        <v>545.77550990959571</v>
      </c>
      <c r="F124" s="33" t="str">
        <f t="shared" si="2"/>
        <v>Over 530</v>
      </c>
      <c r="G124" s="33">
        <f t="shared" si="3"/>
        <v>573.06428540507557</v>
      </c>
      <c r="H124" s="7">
        <v>0.01</v>
      </c>
      <c r="I124" s="5" t="s">
        <v>14</v>
      </c>
      <c r="J124" s="5">
        <v>21</v>
      </c>
      <c r="K124" s="2"/>
      <c r="L124" s="2"/>
      <c r="M124" s="1"/>
    </row>
    <row r="125" spans="1:13" ht="14.4" x14ac:dyDescent="0.3">
      <c r="A125" s="14">
        <v>44626</v>
      </c>
      <c r="B125" s="5">
        <v>1</v>
      </c>
      <c r="C125" s="32">
        <f>VLOOKUP(B125,'area in m2'!B$2:C$10,2,FALSE)</f>
        <v>280</v>
      </c>
      <c r="D125" s="5" t="s">
        <v>11</v>
      </c>
      <c r="E125" s="6">
        <v>505.54730198933794</v>
      </c>
      <c r="F125" s="33" t="str">
        <f t="shared" si="2"/>
        <v>Below 530</v>
      </c>
      <c r="G125" s="33">
        <f t="shared" si="3"/>
        <v>530.82466708880486</v>
      </c>
      <c r="H125" s="7">
        <v>0</v>
      </c>
      <c r="I125" s="5" t="s">
        <v>14</v>
      </c>
      <c r="J125" s="5">
        <v>21</v>
      </c>
      <c r="K125" s="2"/>
      <c r="L125" s="2"/>
      <c r="M125" s="1"/>
    </row>
    <row r="126" spans="1:13" ht="14.4" x14ac:dyDescent="0.3">
      <c r="A126" s="14">
        <v>44569</v>
      </c>
      <c r="B126" s="5">
        <v>3</v>
      </c>
      <c r="C126" s="32">
        <f>VLOOKUP(B126,'area in m2'!B$2:C$10,2,FALSE)</f>
        <v>195</v>
      </c>
      <c r="D126" s="5" t="s">
        <v>11</v>
      </c>
      <c r="E126" s="6">
        <v>522.72036782861869</v>
      </c>
      <c r="F126" s="33" t="str">
        <f t="shared" si="2"/>
        <v>Below 530</v>
      </c>
      <c r="G126" s="33">
        <f t="shared" si="3"/>
        <v>548.85638622004967</v>
      </c>
      <c r="H126" s="7">
        <v>0.02</v>
      </c>
      <c r="I126" s="5" t="s">
        <v>14</v>
      </c>
      <c r="J126" s="5">
        <v>34</v>
      </c>
      <c r="K126" s="2"/>
      <c r="L126" s="2"/>
      <c r="M126" s="1"/>
    </row>
    <row r="127" spans="1:13" ht="14.4" x14ac:dyDescent="0.3">
      <c r="A127" s="14">
        <v>44593</v>
      </c>
      <c r="B127" s="5">
        <v>6</v>
      </c>
      <c r="C127" s="32">
        <f>VLOOKUP(B127,'area in m2'!B$2:C$10,2,FALSE)</f>
        <v>175</v>
      </c>
      <c r="D127" s="5" t="s">
        <v>13</v>
      </c>
      <c r="E127" s="6">
        <v>501.65670037064137</v>
      </c>
      <c r="F127" s="33" t="str">
        <f t="shared" si="2"/>
        <v>Below 530</v>
      </c>
      <c r="G127" s="33">
        <f t="shared" si="3"/>
        <v>526.73953538917351</v>
      </c>
      <c r="H127" s="7">
        <v>0.01</v>
      </c>
      <c r="I127" s="5" t="s">
        <v>14</v>
      </c>
      <c r="J127" s="5">
        <v>47</v>
      </c>
      <c r="K127" s="2"/>
      <c r="L127" s="2"/>
      <c r="M127" s="1"/>
    </row>
    <row r="128" spans="1:13" ht="14.4" x14ac:dyDescent="0.3">
      <c r="A128" s="14">
        <v>44678</v>
      </c>
      <c r="B128" s="5">
        <v>3</v>
      </c>
      <c r="C128" s="32">
        <f>VLOOKUP(B128,'area in m2'!B$2:C$10,2,FALSE)</f>
        <v>195</v>
      </c>
      <c r="D128" s="5" t="s">
        <v>11</v>
      </c>
      <c r="E128" s="6">
        <v>508.25279979938387</v>
      </c>
      <c r="F128" s="33" t="str">
        <f t="shared" si="2"/>
        <v>Below 530</v>
      </c>
      <c r="G128" s="33">
        <f t="shared" si="3"/>
        <v>533.66543978935306</v>
      </c>
      <c r="H128" s="7">
        <v>0.03</v>
      </c>
      <c r="I128" s="5" t="s">
        <v>14</v>
      </c>
      <c r="J128" s="5">
        <v>37</v>
      </c>
      <c r="K128" s="2"/>
      <c r="L128" s="2"/>
      <c r="M128" s="1"/>
    </row>
    <row r="129" spans="1:13" ht="14.4" x14ac:dyDescent="0.3">
      <c r="A129" s="14">
        <v>44582</v>
      </c>
      <c r="B129" s="5">
        <v>7</v>
      </c>
      <c r="C129" s="32">
        <f>VLOOKUP(B129,'area in m2'!B$2:C$10,2,FALSE)</f>
        <v>166</v>
      </c>
      <c r="D129" s="5" t="s">
        <v>12</v>
      </c>
      <c r="E129" s="6">
        <v>526.41755870489214</v>
      </c>
      <c r="F129" s="33" t="str">
        <f t="shared" si="2"/>
        <v>Below 530</v>
      </c>
      <c r="G129" s="33">
        <f t="shared" si="3"/>
        <v>552.7384366401368</v>
      </c>
      <c r="H129" s="7">
        <v>0.02</v>
      </c>
      <c r="I129" s="5" t="s">
        <v>15</v>
      </c>
      <c r="J129" s="5">
        <v>46</v>
      </c>
      <c r="K129" s="2"/>
      <c r="L129" s="2"/>
      <c r="M129" s="1"/>
    </row>
    <row r="130" spans="1:13" ht="14.4" x14ac:dyDescent="0.3">
      <c r="A130" s="14">
        <v>44702</v>
      </c>
      <c r="B130" s="5">
        <v>2</v>
      </c>
      <c r="C130" s="32">
        <f>VLOOKUP(B130,'area in m2'!B$2:C$10,2,FALSE)</f>
        <v>250</v>
      </c>
      <c r="D130" s="5" t="s">
        <v>11</v>
      </c>
      <c r="E130" s="6">
        <v>528.67248024201672</v>
      </c>
      <c r="F130" s="33" t="str">
        <f t="shared" si="2"/>
        <v>Below 530</v>
      </c>
      <c r="G130" s="33">
        <f t="shared" si="3"/>
        <v>555.10610425411755</v>
      </c>
      <c r="H130" s="7">
        <v>0.03</v>
      </c>
      <c r="I130" s="5" t="s">
        <v>14</v>
      </c>
      <c r="J130" s="5">
        <v>40</v>
      </c>
      <c r="K130" s="2"/>
      <c r="L130" s="2"/>
      <c r="M130" s="1"/>
    </row>
    <row r="131" spans="1:13" ht="14.4" x14ac:dyDescent="0.3">
      <c r="A131" s="14">
        <v>44743</v>
      </c>
      <c r="B131" s="5">
        <v>2</v>
      </c>
      <c r="C131" s="32">
        <f>VLOOKUP(B131,'area in m2'!B$2:C$10,2,FALSE)</f>
        <v>250</v>
      </c>
      <c r="D131" s="5" t="s">
        <v>11</v>
      </c>
      <c r="E131" s="6">
        <v>501.12443445061217</v>
      </c>
      <c r="F131" s="33" t="str">
        <f t="shared" si="2"/>
        <v>Below 530</v>
      </c>
      <c r="G131" s="33">
        <f t="shared" si="3"/>
        <v>526.18065617314278</v>
      </c>
      <c r="H131" s="7">
        <v>0.02</v>
      </c>
      <c r="I131" s="5" t="s">
        <v>14</v>
      </c>
      <c r="J131" s="5">
        <v>28</v>
      </c>
      <c r="K131" s="2"/>
      <c r="L131" s="2"/>
      <c r="M131" s="1"/>
    </row>
    <row r="132" spans="1:13" ht="14.4" x14ac:dyDescent="0.3">
      <c r="A132" s="14">
        <v>44583</v>
      </c>
      <c r="B132" s="5">
        <v>5</v>
      </c>
      <c r="C132" s="32">
        <f>VLOOKUP(B132,'area in m2'!B$2:C$10,2,FALSE)</f>
        <v>200</v>
      </c>
      <c r="D132" s="5" t="s">
        <v>13</v>
      </c>
      <c r="E132" s="6">
        <v>526.16775822161708</v>
      </c>
      <c r="F132" s="33" t="str">
        <f t="shared" si="2"/>
        <v>Below 530</v>
      </c>
      <c r="G132" s="33">
        <f t="shared" si="3"/>
        <v>552.47614613269798</v>
      </c>
      <c r="H132" s="7">
        <v>0.03</v>
      </c>
      <c r="I132" s="5" t="s">
        <v>14</v>
      </c>
      <c r="J132" s="5">
        <v>43</v>
      </c>
      <c r="K132" s="2"/>
      <c r="L132" s="2"/>
      <c r="M132" s="1"/>
    </row>
    <row r="133" spans="1:13" ht="14.4" x14ac:dyDescent="0.3">
      <c r="A133" s="14">
        <v>44627</v>
      </c>
      <c r="B133" s="5">
        <v>2</v>
      </c>
      <c r="C133" s="32">
        <f>VLOOKUP(B133,'area in m2'!B$2:C$10,2,FALSE)</f>
        <v>250</v>
      </c>
      <c r="D133" s="5" t="s">
        <v>11</v>
      </c>
      <c r="E133" s="6">
        <v>519.53269863606965</v>
      </c>
      <c r="F133" s="33" t="str">
        <f t="shared" ref="F133:F196" si="4">IF(E133&gt;530,"Over 530","Below 530")</f>
        <v>Below 530</v>
      </c>
      <c r="G133" s="33">
        <f t="shared" ref="G133:G196" si="5">+E133*1.05</f>
        <v>545.50933356787311</v>
      </c>
      <c r="H133" s="7">
        <v>0.03</v>
      </c>
      <c r="I133" s="5" t="s">
        <v>15</v>
      </c>
      <c r="J133" s="5">
        <v>50</v>
      </c>
      <c r="K133" s="2"/>
      <c r="L133" s="2"/>
      <c r="M133" s="1"/>
    </row>
    <row r="134" spans="1:13" ht="14.4" x14ac:dyDescent="0.3">
      <c r="A134" s="14">
        <v>44902</v>
      </c>
      <c r="B134" s="5">
        <v>7</v>
      </c>
      <c r="C134" s="32">
        <f>VLOOKUP(B134,'area in m2'!B$2:C$10,2,FALSE)</f>
        <v>166</v>
      </c>
      <c r="D134" s="5" t="s">
        <v>12</v>
      </c>
      <c r="E134" s="6">
        <v>546.84081060341123</v>
      </c>
      <c r="F134" s="33" t="str">
        <f t="shared" si="4"/>
        <v>Over 530</v>
      </c>
      <c r="G134" s="33">
        <f t="shared" si="5"/>
        <v>574.18285113358183</v>
      </c>
      <c r="H134" s="7">
        <v>0.02</v>
      </c>
      <c r="I134" s="5" t="s">
        <v>14</v>
      </c>
      <c r="J134" s="5">
        <v>42</v>
      </c>
      <c r="K134" s="2"/>
      <c r="L134" s="2"/>
      <c r="M134" s="1"/>
    </row>
    <row r="135" spans="1:13" ht="14.4" x14ac:dyDescent="0.3">
      <c r="A135" s="14">
        <v>44607</v>
      </c>
      <c r="B135" s="5">
        <v>5</v>
      </c>
      <c r="C135" s="32">
        <f>VLOOKUP(B135,'area in m2'!B$2:C$10,2,FALSE)</f>
        <v>200</v>
      </c>
      <c r="D135" s="5" t="s">
        <v>13</v>
      </c>
      <c r="E135" s="6">
        <v>523.98654667071605</v>
      </c>
      <c r="F135" s="33" t="str">
        <f t="shared" si="4"/>
        <v>Below 530</v>
      </c>
      <c r="G135" s="33">
        <f t="shared" si="5"/>
        <v>550.1858740042519</v>
      </c>
      <c r="H135" s="7">
        <v>0.03</v>
      </c>
      <c r="I135" s="5" t="s">
        <v>14</v>
      </c>
      <c r="J135" s="5">
        <v>24</v>
      </c>
      <c r="K135" s="2"/>
      <c r="L135" s="2"/>
      <c r="M135" s="1"/>
    </row>
    <row r="136" spans="1:13" ht="14.4" x14ac:dyDescent="0.3">
      <c r="A136" s="14">
        <v>44655</v>
      </c>
      <c r="B136" s="5">
        <v>2</v>
      </c>
      <c r="C136" s="32">
        <f>VLOOKUP(B136,'area in m2'!B$2:C$10,2,FALSE)</f>
        <v>250</v>
      </c>
      <c r="D136" s="5" t="s">
        <v>11</v>
      </c>
      <c r="E136" s="6">
        <v>523.23912907362865</v>
      </c>
      <c r="F136" s="33" t="str">
        <f t="shared" si="4"/>
        <v>Below 530</v>
      </c>
      <c r="G136" s="33">
        <f t="shared" si="5"/>
        <v>549.4010855273101</v>
      </c>
      <c r="H136" s="7">
        <v>0.02</v>
      </c>
      <c r="I136" s="5" t="s">
        <v>15</v>
      </c>
      <c r="J136" s="5">
        <v>27</v>
      </c>
      <c r="K136" s="2"/>
      <c r="L136" s="2"/>
      <c r="M136" s="1"/>
    </row>
    <row r="137" spans="1:13" ht="14.4" x14ac:dyDescent="0.3">
      <c r="A137" s="14">
        <v>44822</v>
      </c>
      <c r="B137" s="5">
        <v>1</v>
      </c>
      <c r="C137" s="32">
        <f>VLOOKUP(B137,'area in m2'!B$2:C$10,2,FALSE)</f>
        <v>280</v>
      </c>
      <c r="D137" s="5" t="s">
        <v>11</v>
      </c>
      <c r="E137" s="6">
        <v>501.88863265274722</v>
      </c>
      <c r="F137" s="33" t="str">
        <f t="shared" si="4"/>
        <v>Below 530</v>
      </c>
      <c r="G137" s="33">
        <f t="shared" si="5"/>
        <v>526.98306428538456</v>
      </c>
      <c r="H137" s="7">
        <v>0.03</v>
      </c>
      <c r="I137" s="5" t="s">
        <v>15</v>
      </c>
      <c r="J137" s="5">
        <v>41</v>
      </c>
      <c r="K137" s="2"/>
      <c r="L137" s="2"/>
      <c r="M137" s="1"/>
    </row>
    <row r="138" spans="1:13" ht="14.4" x14ac:dyDescent="0.3">
      <c r="A138" s="14">
        <v>44844</v>
      </c>
      <c r="B138" s="5">
        <v>5</v>
      </c>
      <c r="C138" s="32">
        <f>VLOOKUP(B138,'area in m2'!B$2:C$10,2,FALSE)</f>
        <v>200</v>
      </c>
      <c r="D138" s="5" t="s">
        <v>13</v>
      </c>
      <c r="E138" s="6">
        <v>528.35993107700142</v>
      </c>
      <c r="F138" s="33" t="str">
        <f t="shared" si="4"/>
        <v>Below 530</v>
      </c>
      <c r="G138" s="33">
        <f t="shared" si="5"/>
        <v>554.77792763085154</v>
      </c>
      <c r="H138" s="7">
        <v>0.02</v>
      </c>
      <c r="I138" s="5" t="s">
        <v>15</v>
      </c>
      <c r="J138" s="5">
        <v>26</v>
      </c>
      <c r="K138" s="2"/>
      <c r="L138" s="2"/>
      <c r="M138" s="1"/>
    </row>
    <row r="139" spans="1:13" ht="14.4" x14ac:dyDescent="0.3">
      <c r="A139" s="14">
        <v>44852</v>
      </c>
      <c r="B139" s="5">
        <v>5</v>
      </c>
      <c r="C139" s="32">
        <f>VLOOKUP(B139,'area in m2'!B$2:C$10,2,FALSE)</f>
        <v>200</v>
      </c>
      <c r="D139" s="5" t="s">
        <v>13</v>
      </c>
      <c r="E139" s="6">
        <v>511.14024234712815</v>
      </c>
      <c r="F139" s="33" t="str">
        <f t="shared" si="4"/>
        <v>Below 530</v>
      </c>
      <c r="G139" s="33">
        <f t="shared" si="5"/>
        <v>536.69725446448456</v>
      </c>
      <c r="H139" s="7">
        <v>0</v>
      </c>
      <c r="I139" s="5" t="s">
        <v>14</v>
      </c>
      <c r="J139" s="5">
        <v>30</v>
      </c>
      <c r="K139" s="2"/>
      <c r="L139" s="2"/>
      <c r="M139" s="1"/>
    </row>
    <row r="140" spans="1:13" ht="14.4" x14ac:dyDescent="0.3">
      <c r="A140" s="14">
        <v>44683</v>
      </c>
      <c r="B140" s="5">
        <v>1</v>
      </c>
      <c r="C140" s="32">
        <f>VLOOKUP(B140,'area in m2'!B$2:C$10,2,FALSE)</f>
        <v>280</v>
      </c>
      <c r="D140" s="5" t="s">
        <v>11</v>
      </c>
      <c r="E140" s="6">
        <v>519.76007595520696</v>
      </c>
      <c r="F140" s="33" t="str">
        <f t="shared" si="4"/>
        <v>Below 530</v>
      </c>
      <c r="G140" s="33">
        <f t="shared" si="5"/>
        <v>545.74807975296733</v>
      </c>
      <c r="H140" s="7">
        <v>0.01</v>
      </c>
      <c r="I140" s="5" t="s">
        <v>14</v>
      </c>
      <c r="J140" s="5">
        <v>37</v>
      </c>
      <c r="K140" s="2"/>
      <c r="L140" s="2"/>
      <c r="M140" s="1"/>
    </row>
    <row r="141" spans="1:13" ht="14.4" x14ac:dyDescent="0.3">
      <c r="A141" s="14">
        <v>44923</v>
      </c>
      <c r="B141" s="5">
        <v>8</v>
      </c>
      <c r="C141" s="32">
        <f>VLOOKUP(B141,'area in m2'!B$2:C$10,2,FALSE)</f>
        <v>142</v>
      </c>
      <c r="D141" s="5" t="s">
        <v>12</v>
      </c>
      <c r="E141" s="6">
        <v>522.04481854313326</v>
      </c>
      <c r="F141" s="33" t="str">
        <f t="shared" si="4"/>
        <v>Below 530</v>
      </c>
      <c r="G141" s="33">
        <f t="shared" si="5"/>
        <v>548.14705947028995</v>
      </c>
      <c r="H141" s="7">
        <v>0.03</v>
      </c>
      <c r="I141" s="5" t="s">
        <v>14</v>
      </c>
      <c r="J141" s="5">
        <v>27</v>
      </c>
      <c r="K141" s="2"/>
      <c r="L141" s="2"/>
      <c r="M141" s="1"/>
    </row>
    <row r="142" spans="1:13" ht="14.4" x14ac:dyDescent="0.3">
      <c r="A142" s="14">
        <v>44759</v>
      </c>
      <c r="B142" s="5">
        <v>3</v>
      </c>
      <c r="C142" s="32">
        <f>VLOOKUP(B142,'area in m2'!B$2:C$10,2,FALSE)</f>
        <v>195</v>
      </c>
      <c r="D142" s="5" t="s">
        <v>11</v>
      </c>
      <c r="E142" s="6">
        <v>500.6840815576461</v>
      </c>
      <c r="F142" s="33" t="str">
        <f t="shared" si="4"/>
        <v>Below 530</v>
      </c>
      <c r="G142" s="33">
        <f t="shared" si="5"/>
        <v>525.71828563552845</v>
      </c>
      <c r="H142" s="7">
        <v>0.03</v>
      </c>
      <c r="I142" s="5" t="s">
        <v>14</v>
      </c>
      <c r="J142" s="5">
        <v>46</v>
      </c>
      <c r="K142" s="2"/>
      <c r="L142" s="2"/>
      <c r="M142" s="1"/>
    </row>
    <row r="143" spans="1:13" ht="14.4" x14ac:dyDescent="0.3">
      <c r="A143" s="14">
        <v>44641</v>
      </c>
      <c r="B143" s="5">
        <v>4</v>
      </c>
      <c r="C143" s="32">
        <f>VLOOKUP(B143,'area in m2'!B$2:C$10,2,FALSE)</f>
        <v>188</v>
      </c>
      <c r="D143" s="5" t="s">
        <v>11</v>
      </c>
      <c r="E143" s="6">
        <v>526.71165595193179</v>
      </c>
      <c r="F143" s="33" t="str">
        <f t="shared" si="4"/>
        <v>Below 530</v>
      </c>
      <c r="G143" s="33">
        <f t="shared" si="5"/>
        <v>553.04723874952845</v>
      </c>
      <c r="H143" s="7">
        <v>0.02</v>
      </c>
      <c r="I143" s="5" t="s">
        <v>15</v>
      </c>
      <c r="J143" s="5">
        <v>16</v>
      </c>
      <c r="K143" s="2"/>
      <c r="L143" s="2"/>
      <c r="M143" s="1"/>
    </row>
    <row r="144" spans="1:13" ht="14.4" x14ac:dyDescent="0.3">
      <c r="A144" s="14">
        <v>44660</v>
      </c>
      <c r="B144" s="5">
        <v>4</v>
      </c>
      <c r="C144" s="32">
        <f>VLOOKUP(B144,'area in m2'!B$2:C$10,2,FALSE)</f>
        <v>188</v>
      </c>
      <c r="D144" s="5" t="s">
        <v>11</v>
      </c>
      <c r="E144" s="6">
        <v>527.60450171818229</v>
      </c>
      <c r="F144" s="33" t="str">
        <f t="shared" si="4"/>
        <v>Below 530</v>
      </c>
      <c r="G144" s="33">
        <f t="shared" si="5"/>
        <v>553.98472680409145</v>
      </c>
      <c r="H144" s="7">
        <v>0.03</v>
      </c>
      <c r="I144" s="5" t="s">
        <v>15</v>
      </c>
      <c r="J144" s="5">
        <v>28</v>
      </c>
      <c r="K144" s="2"/>
      <c r="L144" s="2"/>
      <c r="M144" s="1"/>
    </row>
    <row r="145" spans="1:13" ht="14.4" x14ac:dyDescent="0.3">
      <c r="A145" s="14">
        <v>44873</v>
      </c>
      <c r="B145" s="5">
        <v>6</v>
      </c>
      <c r="C145" s="32">
        <f>VLOOKUP(B145,'area in m2'!B$2:C$10,2,FALSE)</f>
        <v>175</v>
      </c>
      <c r="D145" s="5" t="s">
        <v>13</v>
      </c>
      <c r="E145" s="6">
        <v>502.23626914019496</v>
      </c>
      <c r="F145" s="33" t="str">
        <f t="shared" si="4"/>
        <v>Below 530</v>
      </c>
      <c r="G145" s="33">
        <f t="shared" si="5"/>
        <v>527.34808259720478</v>
      </c>
      <c r="H145" s="7">
        <v>0.01</v>
      </c>
      <c r="I145" s="5" t="s">
        <v>14</v>
      </c>
      <c r="J145" s="5">
        <v>45</v>
      </c>
      <c r="K145" s="2"/>
      <c r="L145" s="2"/>
      <c r="M145" s="1"/>
    </row>
    <row r="146" spans="1:13" ht="14.4" x14ac:dyDescent="0.3">
      <c r="A146" s="14">
        <v>44586</v>
      </c>
      <c r="B146" s="5">
        <v>1</v>
      </c>
      <c r="C146" s="32">
        <f>VLOOKUP(B146,'area in m2'!B$2:C$10,2,FALSE)</f>
        <v>280</v>
      </c>
      <c r="D146" s="5" t="s">
        <v>11</v>
      </c>
      <c r="E146" s="6">
        <v>506.13314548027847</v>
      </c>
      <c r="F146" s="33" t="str">
        <f t="shared" si="4"/>
        <v>Below 530</v>
      </c>
      <c r="G146" s="33">
        <f t="shared" si="5"/>
        <v>531.43980275429237</v>
      </c>
      <c r="H146" s="7">
        <v>0.03</v>
      </c>
      <c r="I146" s="5" t="s">
        <v>14</v>
      </c>
      <c r="J146" s="5">
        <v>21</v>
      </c>
      <c r="K146" s="2"/>
      <c r="L146" s="2"/>
      <c r="M146" s="1"/>
    </row>
    <row r="147" spans="1:13" ht="14.4" x14ac:dyDescent="0.3">
      <c r="A147" s="14">
        <v>44919</v>
      </c>
      <c r="B147" s="5">
        <v>3</v>
      </c>
      <c r="C147" s="32">
        <f>VLOOKUP(B147,'area in m2'!B$2:C$10,2,FALSE)</f>
        <v>195</v>
      </c>
      <c r="D147" s="5" t="s">
        <v>11</v>
      </c>
      <c r="E147" s="6">
        <v>519.45106209048572</v>
      </c>
      <c r="F147" s="33" t="str">
        <f t="shared" si="4"/>
        <v>Below 530</v>
      </c>
      <c r="G147" s="33">
        <f t="shared" si="5"/>
        <v>545.42361519501003</v>
      </c>
      <c r="H147" s="7">
        <v>0.02</v>
      </c>
      <c r="I147" s="5" t="s">
        <v>15</v>
      </c>
      <c r="J147" s="5">
        <v>32</v>
      </c>
      <c r="K147" s="2"/>
      <c r="L147" s="2"/>
      <c r="M147" s="1"/>
    </row>
    <row r="148" spans="1:13" ht="14.4" x14ac:dyDescent="0.3">
      <c r="A148" s="14">
        <v>44905</v>
      </c>
      <c r="B148" s="5">
        <v>1</v>
      </c>
      <c r="C148" s="32">
        <f>VLOOKUP(B148,'area in m2'!B$2:C$10,2,FALSE)</f>
        <v>280</v>
      </c>
      <c r="D148" s="5" t="s">
        <v>11</v>
      </c>
      <c r="E148" s="6">
        <v>509.37310795999019</v>
      </c>
      <c r="F148" s="33" t="str">
        <f t="shared" si="4"/>
        <v>Below 530</v>
      </c>
      <c r="G148" s="33">
        <f t="shared" si="5"/>
        <v>534.84176335798975</v>
      </c>
      <c r="H148" s="7">
        <v>0</v>
      </c>
      <c r="I148" s="5" t="s">
        <v>14</v>
      </c>
      <c r="J148" s="5">
        <v>46</v>
      </c>
      <c r="K148" s="2"/>
      <c r="L148" s="2"/>
      <c r="M148" s="1"/>
    </row>
    <row r="149" spans="1:13" ht="14.4" x14ac:dyDescent="0.3">
      <c r="A149" s="14">
        <v>44860</v>
      </c>
      <c r="B149" s="5">
        <v>6</v>
      </c>
      <c r="C149" s="32">
        <f>VLOOKUP(B149,'area in m2'!B$2:C$10,2,FALSE)</f>
        <v>175</v>
      </c>
      <c r="D149" s="5" t="s">
        <v>13</v>
      </c>
      <c r="E149" s="6">
        <v>522.32550180535236</v>
      </c>
      <c r="F149" s="33" t="str">
        <f t="shared" si="4"/>
        <v>Below 530</v>
      </c>
      <c r="G149" s="33">
        <f t="shared" si="5"/>
        <v>548.44177689562002</v>
      </c>
      <c r="H149" s="7">
        <v>0.02</v>
      </c>
      <c r="I149" s="5" t="s">
        <v>14</v>
      </c>
      <c r="J149" s="5">
        <v>50</v>
      </c>
      <c r="K149" s="2"/>
      <c r="L149" s="2"/>
      <c r="M149" s="1"/>
    </row>
    <row r="150" spans="1:13" ht="14.4" x14ac:dyDescent="0.3">
      <c r="A150" s="14">
        <v>44586</v>
      </c>
      <c r="B150" s="5">
        <v>3</v>
      </c>
      <c r="C150" s="32">
        <f>VLOOKUP(B150,'area in m2'!B$2:C$10,2,FALSE)</f>
        <v>195</v>
      </c>
      <c r="D150" s="5" t="s">
        <v>11</v>
      </c>
      <c r="E150" s="6">
        <v>540.35681197818303</v>
      </c>
      <c r="F150" s="33" t="str">
        <f t="shared" si="4"/>
        <v>Over 530</v>
      </c>
      <c r="G150" s="33">
        <f t="shared" si="5"/>
        <v>567.37465257709221</v>
      </c>
      <c r="H150" s="7">
        <v>0.02</v>
      </c>
      <c r="I150" s="5" t="s">
        <v>15</v>
      </c>
      <c r="J150" s="5">
        <v>17</v>
      </c>
      <c r="K150" s="2"/>
      <c r="L150" s="2"/>
      <c r="M150" s="1"/>
    </row>
    <row r="151" spans="1:13" ht="14.4" x14ac:dyDescent="0.3">
      <c r="A151" s="14">
        <v>44686</v>
      </c>
      <c r="B151" s="5">
        <v>6</v>
      </c>
      <c r="C151" s="32">
        <f>VLOOKUP(B151,'area in m2'!B$2:C$10,2,FALSE)</f>
        <v>175</v>
      </c>
      <c r="D151" s="5" t="s">
        <v>13</v>
      </c>
      <c r="E151" s="6">
        <v>502.1</v>
      </c>
      <c r="F151" s="33" t="str">
        <f t="shared" si="4"/>
        <v>Below 530</v>
      </c>
      <c r="G151" s="33">
        <f t="shared" si="5"/>
        <v>527.20500000000004</v>
      </c>
      <c r="H151" s="7">
        <v>0.02</v>
      </c>
      <c r="I151" s="5" t="s">
        <v>15</v>
      </c>
      <c r="J151" s="5">
        <v>18</v>
      </c>
      <c r="K151" s="2"/>
      <c r="L151" s="2"/>
      <c r="M151" s="1"/>
    </row>
    <row r="152" spans="1:13" ht="14.4" x14ac:dyDescent="0.3">
      <c r="A152" s="14">
        <v>44647</v>
      </c>
      <c r="B152" s="5">
        <v>4</v>
      </c>
      <c r="C152" s="32">
        <f>VLOOKUP(B152,'area in m2'!B$2:C$10,2,FALSE)</f>
        <v>188</v>
      </c>
      <c r="D152" s="5" t="s">
        <v>11</v>
      </c>
      <c r="E152" s="6">
        <v>503.09445739361126</v>
      </c>
      <c r="F152" s="33" t="str">
        <f t="shared" si="4"/>
        <v>Below 530</v>
      </c>
      <c r="G152" s="33">
        <f t="shared" si="5"/>
        <v>528.24918026329181</v>
      </c>
      <c r="H152" s="7">
        <v>0</v>
      </c>
      <c r="I152" s="5" t="s">
        <v>14</v>
      </c>
      <c r="J152" s="5">
        <v>21</v>
      </c>
      <c r="K152" s="2"/>
      <c r="L152" s="2"/>
      <c r="M152" s="1"/>
    </row>
    <row r="153" spans="1:13" ht="14.4" x14ac:dyDescent="0.3">
      <c r="A153" s="14">
        <v>44820</v>
      </c>
      <c r="B153" s="5">
        <v>3</v>
      </c>
      <c r="C153" s="32">
        <f>VLOOKUP(B153,'area in m2'!B$2:C$10,2,FALSE)</f>
        <v>195</v>
      </c>
      <c r="D153" s="5" t="s">
        <v>11</v>
      </c>
      <c r="E153" s="6">
        <v>522.34099731247534</v>
      </c>
      <c r="F153" s="33" t="str">
        <f t="shared" si="4"/>
        <v>Below 530</v>
      </c>
      <c r="G153" s="33">
        <f t="shared" si="5"/>
        <v>548.45804717809915</v>
      </c>
      <c r="H153" s="7">
        <v>0</v>
      </c>
      <c r="I153" s="5" t="s">
        <v>14</v>
      </c>
      <c r="J153" s="5">
        <v>46</v>
      </c>
      <c r="K153" s="2"/>
      <c r="L153" s="2"/>
      <c r="M153" s="1"/>
    </row>
    <row r="154" spans="1:13" ht="14.4" x14ac:dyDescent="0.3">
      <c r="A154" s="14">
        <v>44778</v>
      </c>
      <c r="B154" s="5">
        <v>6</v>
      </c>
      <c r="C154" s="32">
        <f>VLOOKUP(B154,'area in m2'!B$2:C$10,2,FALSE)</f>
        <v>175</v>
      </c>
      <c r="D154" s="5" t="s">
        <v>13</v>
      </c>
      <c r="E154" s="6">
        <v>507.89616855035911</v>
      </c>
      <c r="F154" s="33" t="str">
        <f t="shared" si="4"/>
        <v>Below 530</v>
      </c>
      <c r="G154" s="33">
        <f t="shared" si="5"/>
        <v>533.29097697787711</v>
      </c>
      <c r="H154" s="7">
        <v>0.01</v>
      </c>
      <c r="I154" s="5" t="s">
        <v>14</v>
      </c>
      <c r="J154" s="5">
        <v>47</v>
      </c>
      <c r="K154" s="2"/>
      <c r="L154" s="2"/>
      <c r="M154" s="1"/>
    </row>
    <row r="155" spans="1:13" ht="14.4" x14ac:dyDescent="0.3">
      <c r="A155" s="14">
        <v>44670</v>
      </c>
      <c r="B155" s="5">
        <v>1</v>
      </c>
      <c r="C155" s="32">
        <f>VLOOKUP(B155,'area in m2'!B$2:C$10,2,FALSE)</f>
        <v>280</v>
      </c>
      <c r="D155" s="5" t="s">
        <v>11</v>
      </c>
      <c r="E155" s="6">
        <v>504.42086652326816</v>
      </c>
      <c r="F155" s="33" t="str">
        <f t="shared" si="4"/>
        <v>Below 530</v>
      </c>
      <c r="G155" s="33">
        <f t="shared" si="5"/>
        <v>529.64190984943161</v>
      </c>
      <c r="H155" s="7">
        <v>0.03</v>
      </c>
      <c r="I155" s="5" t="s">
        <v>15</v>
      </c>
      <c r="J155" s="5">
        <v>23</v>
      </c>
      <c r="K155" s="2"/>
      <c r="L155" s="2"/>
      <c r="M155" s="1"/>
    </row>
    <row r="156" spans="1:13" ht="14.4" x14ac:dyDescent="0.3">
      <c r="A156" s="14">
        <v>44739</v>
      </c>
      <c r="B156" s="5">
        <v>1</v>
      </c>
      <c r="C156" s="32">
        <f>VLOOKUP(B156,'area in m2'!B$2:C$10,2,FALSE)</f>
        <v>280</v>
      </c>
      <c r="D156" s="5" t="s">
        <v>11</v>
      </c>
      <c r="E156" s="6">
        <v>519.36892567205086</v>
      </c>
      <c r="F156" s="33" t="str">
        <f t="shared" si="4"/>
        <v>Below 530</v>
      </c>
      <c r="G156" s="33">
        <f t="shared" si="5"/>
        <v>545.33737195565345</v>
      </c>
      <c r="H156" s="7">
        <v>0.03</v>
      </c>
      <c r="I156" s="5" t="s">
        <v>14</v>
      </c>
      <c r="J156" s="5">
        <v>42</v>
      </c>
      <c r="K156" s="2"/>
      <c r="L156" s="2"/>
      <c r="M156" s="1"/>
    </row>
    <row r="157" spans="1:13" ht="14.4" x14ac:dyDescent="0.3">
      <c r="A157" s="14">
        <v>44618</v>
      </c>
      <c r="B157" s="5">
        <v>7</v>
      </c>
      <c r="C157" s="32">
        <f>VLOOKUP(B157,'area in m2'!B$2:C$10,2,FALSE)</f>
        <v>166</v>
      </c>
      <c r="D157" s="5" t="s">
        <v>12</v>
      </c>
      <c r="E157" s="6">
        <v>532.52848040379195</v>
      </c>
      <c r="F157" s="33" t="str">
        <f t="shared" si="4"/>
        <v>Over 530</v>
      </c>
      <c r="G157" s="33">
        <f t="shared" si="5"/>
        <v>559.15490442398152</v>
      </c>
      <c r="H157" s="7">
        <v>0.03</v>
      </c>
      <c r="I157" s="5" t="s">
        <v>14</v>
      </c>
      <c r="J157" s="5">
        <v>33</v>
      </c>
      <c r="K157" s="2"/>
      <c r="L157" s="2"/>
      <c r="M157" s="1"/>
    </row>
    <row r="158" spans="1:13" ht="14.4" x14ac:dyDescent="0.3">
      <c r="A158" s="14">
        <v>44687</v>
      </c>
      <c r="B158" s="5">
        <v>3</v>
      </c>
      <c r="C158" s="32">
        <f>VLOOKUP(B158,'area in m2'!B$2:C$10,2,FALSE)</f>
        <v>195</v>
      </c>
      <c r="D158" s="5" t="s">
        <v>11</v>
      </c>
      <c r="E158" s="6">
        <v>524.14828135574589</v>
      </c>
      <c r="F158" s="33" t="str">
        <f t="shared" si="4"/>
        <v>Below 530</v>
      </c>
      <c r="G158" s="33">
        <f t="shared" si="5"/>
        <v>550.35569542353323</v>
      </c>
      <c r="H158" s="7">
        <v>0.01</v>
      </c>
      <c r="I158" s="5" t="s">
        <v>14</v>
      </c>
      <c r="J158" s="5">
        <v>39</v>
      </c>
      <c r="K158" s="2"/>
      <c r="L158" s="2"/>
      <c r="M158" s="1"/>
    </row>
    <row r="159" spans="1:13" ht="14.4" x14ac:dyDescent="0.3">
      <c r="A159" s="14">
        <v>44642</v>
      </c>
      <c r="B159" s="5">
        <v>5</v>
      </c>
      <c r="C159" s="32">
        <f>VLOOKUP(B159,'area in m2'!B$2:C$10,2,FALSE)</f>
        <v>200</v>
      </c>
      <c r="D159" s="5" t="s">
        <v>13</v>
      </c>
      <c r="E159" s="6">
        <v>533.90910613189772</v>
      </c>
      <c r="F159" s="33" t="str">
        <f t="shared" si="4"/>
        <v>Over 530</v>
      </c>
      <c r="G159" s="33">
        <f t="shared" si="5"/>
        <v>560.60456143849262</v>
      </c>
      <c r="H159" s="7">
        <v>0.03</v>
      </c>
      <c r="I159" s="5" t="s">
        <v>14</v>
      </c>
      <c r="J159" s="5">
        <v>21</v>
      </c>
      <c r="K159" s="2"/>
      <c r="L159" s="2"/>
      <c r="M159" s="1"/>
    </row>
    <row r="160" spans="1:13" ht="14.4" x14ac:dyDescent="0.3">
      <c r="A160" s="14">
        <v>44577</v>
      </c>
      <c r="B160" s="5">
        <v>1</v>
      </c>
      <c r="C160" s="32">
        <f>VLOOKUP(B160,'area in m2'!B$2:C$10,2,FALSE)</f>
        <v>280</v>
      </c>
      <c r="D160" s="5" t="s">
        <v>11</v>
      </c>
      <c r="E160" s="6">
        <v>533.36779337573444</v>
      </c>
      <c r="F160" s="33" t="str">
        <f t="shared" si="4"/>
        <v>Over 530</v>
      </c>
      <c r="G160" s="33">
        <f t="shared" si="5"/>
        <v>560.03618304452118</v>
      </c>
      <c r="H160" s="7">
        <v>0</v>
      </c>
      <c r="I160" s="5" t="s">
        <v>15</v>
      </c>
      <c r="J160" s="5">
        <v>48</v>
      </c>
      <c r="K160" s="2"/>
      <c r="L160" s="2"/>
      <c r="M160" s="1"/>
    </row>
    <row r="161" spans="1:13" ht="14.4" x14ac:dyDescent="0.3">
      <c r="A161" s="14">
        <v>44719</v>
      </c>
      <c r="B161" s="5">
        <v>8</v>
      </c>
      <c r="C161" s="32">
        <f>VLOOKUP(B161,'area in m2'!B$2:C$10,2,FALSE)</f>
        <v>142</v>
      </c>
      <c r="D161" s="5" t="s">
        <v>12</v>
      </c>
      <c r="E161" s="6">
        <v>549.82852738665315</v>
      </c>
      <c r="F161" s="33" t="str">
        <f t="shared" si="4"/>
        <v>Over 530</v>
      </c>
      <c r="G161" s="33">
        <f t="shared" si="5"/>
        <v>577.31995375598581</v>
      </c>
      <c r="H161" s="7">
        <v>0.02</v>
      </c>
      <c r="I161" s="5" t="s">
        <v>15</v>
      </c>
      <c r="J161" s="5">
        <v>28</v>
      </c>
      <c r="K161" s="2"/>
      <c r="L161" s="2"/>
      <c r="M161" s="1"/>
    </row>
    <row r="162" spans="1:13" ht="14.4" x14ac:dyDescent="0.3">
      <c r="A162" s="14">
        <v>44820</v>
      </c>
      <c r="B162" s="5">
        <v>8</v>
      </c>
      <c r="C162" s="32">
        <f>VLOOKUP(B162,'area in m2'!B$2:C$10,2,FALSE)</f>
        <v>142</v>
      </c>
      <c r="D162" s="5" t="s">
        <v>12</v>
      </c>
      <c r="E162" s="6">
        <v>501.82473950447638</v>
      </c>
      <c r="F162" s="33" t="str">
        <f t="shared" si="4"/>
        <v>Below 530</v>
      </c>
      <c r="G162" s="33">
        <f t="shared" si="5"/>
        <v>526.91597647970025</v>
      </c>
      <c r="H162" s="7">
        <v>0.03</v>
      </c>
      <c r="I162" s="5" t="s">
        <v>15</v>
      </c>
      <c r="J162" s="5">
        <v>40</v>
      </c>
      <c r="K162" s="2"/>
      <c r="L162" s="2"/>
      <c r="M162" s="1"/>
    </row>
    <row r="163" spans="1:13" ht="14.4" x14ac:dyDescent="0.3">
      <c r="A163" s="14">
        <v>44869</v>
      </c>
      <c r="B163" s="5">
        <v>2</v>
      </c>
      <c r="C163" s="32">
        <f>VLOOKUP(B163,'area in m2'!B$2:C$10,2,FALSE)</f>
        <v>250</v>
      </c>
      <c r="D163" s="5" t="s">
        <v>11</v>
      </c>
      <c r="E163" s="6">
        <v>512.76035520671758</v>
      </c>
      <c r="F163" s="33" t="str">
        <f t="shared" si="4"/>
        <v>Below 530</v>
      </c>
      <c r="G163" s="33">
        <f t="shared" si="5"/>
        <v>538.39837296705343</v>
      </c>
      <c r="H163" s="7">
        <v>0.03</v>
      </c>
      <c r="I163" s="5" t="s">
        <v>14</v>
      </c>
      <c r="J163" s="5">
        <v>37</v>
      </c>
      <c r="K163" s="2"/>
      <c r="L163" s="2"/>
      <c r="M163" s="1"/>
    </row>
    <row r="164" spans="1:13" ht="14.4" x14ac:dyDescent="0.3">
      <c r="A164" s="14">
        <v>44730</v>
      </c>
      <c r="B164" s="5">
        <v>1</v>
      </c>
      <c r="C164" s="32">
        <f>VLOOKUP(B164,'area in m2'!B$2:C$10,2,FALSE)</f>
        <v>280</v>
      </c>
      <c r="D164" s="5" t="s">
        <v>11</v>
      </c>
      <c r="E164" s="6">
        <v>540.06486841007427</v>
      </c>
      <c r="F164" s="33" t="str">
        <f t="shared" si="4"/>
        <v>Over 530</v>
      </c>
      <c r="G164" s="33">
        <f t="shared" si="5"/>
        <v>567.068111830578</v>
      </c>
      <c r="H164" s="7">
        <v>0</v>
      </c>
      <c r="I164" s="5" t="s">
        <v>14</v>
      </c>
      <c r="J164" s="5">
        <v>42</v>
      </c>
      <c r="K164" s="2"/>
      <c r="L164" s="2"/>
      <c r="M164" s="1"/>
    </row>
    <row r="165" spans="1:13" ht="14.4" x14ac:dyDescent="0.3">
      <c r="A165" s="14">
        <v>44673</v>
      </c>
      <c r="B165" s="5">
        <v>2</v>
      </c>
      <c r="C165" s="32">
        <f>VLOOKUP(B165,'area in m2'!B$2:C$10,2,FALSE)</f>
        <v>250</v>
      </c>
      <c r="D165" s="5" t="s">
        <v>11</v>
      </c>
      <c r="E165" s="6">
        <v>500.64594612532619</v>
      </c>
      <c r="F165" s="33" t="str">
        <f t="shared" si="4"/>
        <v>Below 530</v>
      </c>
      <c r="G165" s="33">
        <f t="shared" si="5"/>
        <v>525.67824343159248</v>
      </c>
      <c r="H165" s="7">
        <v>0.01</v>
      </c>
      <c r="I165" s="5" t="s">
        <v>14</v>
      </c>
      <c r="J165" s="5">
        <v>45</v>
      </c>
      <c r="K165" s="2"/>
      <c r="L165" s="2"/>
      <c r="M165" s="1"/>
    </row>
    <row r="166" spans="1:13" ht="14.4" x14ac:dyDescent="0.3">
      <c r="A166" s="14">
        <v>44586</v>
      </c>
      <c r="B166" s="5">
        <v>6</v>
      </c>
      <c r="C166" s="32">
        <f>VLOOKUP(B166,'area in m2'!B$2:C$10,2,FALSE)</f>
        <v>175</v>
      </c>
      <c r="D166" s="5" t="s">
        <v>13</v>
      </c>
      <c r="E166" s="6">
        <v>511.29793421534123</v>
      </c>
      <c r="F166" s="33" t="str">
        <f t="shared" si="4"/>
        <v>Below 530</v>
      </c>
      <c r="G166" s="33">
        <f t="shared" si="5"/>
        <v>536.86283092610836</v>
      </c>
      <c r="H166" s="7">
        <v>0.01</v>
      </c>
      <c r="I166" s="5" t="s">
        <v>14</v>
      </c>
      <c r="J166" s="5">
        <v>41</v>
      </c>
      <c r="K166" s="2"/>
      <c r="L166" s="2"/>
      <c r="M166" s="1"/>
    </row>
    <row r="167" spans="1:13" ht="14.4" x14ac:dyDescent="0.3">
      <c r="A167" s="14">
        <v>44572</v>
      </c>
      <c r="B167" s="5">
        <v>3</v>
      </c>
      <c r="C167" s="32">
        <f>VLOOKUP(B167,'area in m2'!B$2:C$10,2,FALSE)</f>
        <v>195</v>
      </c>
      <c r="D167" s="5" t="s">
        <v>11</v>
      </c>
      <c r="E167" s="6">
        <v>542.59283259839322</v>
      </c>
      <c r="F167" s="33" t="str">
        <f t="shared" si="4"/>
        <v>Over 530</v>
      </c>
      <c r="G167" s="33">
        <f t="shared" si="5"/>
        <v>569.72247422831288</v>
      </c>
      <c r="H167" s="7">
        <v>0.01</v>
      </c>
      <c r="I167" s="5" t="s">
        <v>14</v>
      </c>
      <c r="J167" s="5">
        <v>37</v>
      </c>
      <c r="K167" s="2"/>
      <c r="L167" s="2"/>
      <c r="M167" s="1"/>
    </row>
    <row r="168" spans="1:13" ht="14.4" x14ac:dyDescent="0.3">
      <c r="A168" s="14">
        <v>44873</v>
      </c>
      <c r="B168" s="5">
        <v>5</v>
      </c>
      <c r="C168" s="32">
        <f>VLOOKUP(B168,'area in m2'!B$2:C$10,2,FALSE)</f>
        <v>200</v>
      </c>
      <c r="D168" s="5" t="s">
        <v>13</v>
      </c>
      <c r="E168" s="6">
        <v>539</v>
      </c>
      <c r="F168" s="33" t="str">
        <f t="shared" si="4"/>
        <v>Over 530</v>
      </c>
      <c r="G168" s="33">
        <f t="shared" si="5"/>
        <v>565.95000000000005</v>
      </c>
      <c r="H168" s="7">
        <v>0.02</v>
      </c>
      <c r="I168" s="5" t="s">
        <v>15</v>
      </c>
      <c r="J168" s="5">
        <v>43</v>
      </c>
      <c r="K168" s="2"/>
      <c r="L168" s="2"/>
      <c r="M168" s="1"/>
    </row>
    <row r="169" spans="1:13" ht="14.4" x14ac:dyDescent="0.3">
      <c r="A169" s="14">
        <v>44786</v>
      </c>
      <c r="B169" s="5">
        <v>3</v>
      </c>
      <c r="C169" s="32">
        <f>VLOOKUP(B169,'area in m2'!B$2:C$10,2,FALSE)</f>
        <v>195</v>
      </c>
      <c r="D169" s="5" t="s">
        <v>11</v>
      </c>
      <c r="E169" s="6">
        <v>536.28858697898613</v>
      </c>
      <c r="F169" s="33" t="str">
        <f t="shared" si="4"/>
        <v>Over 530</v>
      </c>
      <c r="G169" s="33">
        <f t="shared" si="5"/>
        <v>563.10301632793551</v>
      </c>
      <c r="H169" s="7">
        <v>0.02</v>
      </c>
      <c r="I169" s="5" t="s">
        <v>14</v>
      </c>
      <c r="J169" s="5">
        <v>29</v>
      </c>
      <c r="K169" s="2"/>
      <c r="L169" s="2"/>
      <c r="M169" s="1"/>
    </row>
    <row r="170" spans="1:13" ht="14.4" x14ac:dyDescent="0.3">
      <c r="A170" s="14">
        <v>44684</v>
      </c>
      <c r="B170" s="5">
        <v>6</v>
      </c>
      <c r="C170" s="32">
        <f>VLOOKUP(B170,'area in m2'!B$2:C$10,2,FALSE)</f>
        <v>175</v>
      </c>
      <c r="D170" s="5" t="s">
        <v>13</v>
      </c>
      <c r="E170" s="6">
        <v>507.89616855035911</v>
      </c>
      <c r="F170" s="33" t="str">
        <f t="shared" si="4"/>
        <v>Below 530</v>
      </c>
      <c r="G170" s="33">
        <f t="shared" si="5"/>
        <v>533.29097697787711</v>
      </c>
      <c r="H170" s="7">
        <v>0</v>
      </c>
      <c r="I170" s="5" t="s">
        <v>15</v>
      </c>
      <c r="J170" s="5">
        <v>23</v>
      </c>
      <c r="K170" s="2"/>
      <c r="L170" s="2"/>
      <c r="M170" s="1"/>
    </row>
    <row r="171" spans="1:13" ht="14.4" x14ac:dyDescent="0.3">
      <c r="A171" s="14">
        <v>44568</v>
      </c>
      <c r="B171" s="5">
        <v>5</v>
      </c>
      <c r="C171" s="32">
        <f>VLOOKUP(B171,'area in m2'!B$2:C$10,2,FALSE)</f>
        <v>200</v>
      </c>
      <c r="D171" s="5" t="s">
        <v>13</v>
      </c>
      <c r="E171" s="6">
        <v>531.48537799931</v>
      </c>
      <c r="F171" s="33" t="str">
        <f t="shared" si="4"/>
        <v>Over 530</v>
      </c>
      <c r="G171" s="33">
        <f t="shared" si="5"/>
        <v>558.05964689927555</v>
      </c>
      <c r="H171" s="7">
        <v>0</v>
      </c>
      <c r="I171" s="5" t="s">
        <v>14</v>
      </c>
      <c r="J171" s="5">
        <v>35</v>
      </c>
      <c r="K171" s="2"/>
      <c r="L171" s="2"/>
      <c r="M171" s="1"/>
    </row>
    <row r="172" spans="1:13" ht="14.4" x14ac:dyDescent="0.3">
      <c r="A172" s="14">
        <v>44699</v>
      </c>
      <c r="B172" s="5">
        <v>6</v>
      </c>
      <c r="C172" s="32">
        <f>VLOOKUP(B172,'area in m2'!B$2:C$10,2,FALSE)</f>
        <v>175</v>
      </c>
      <c r="D172" s="5" t="s">
        <v>13</v>
      </c>
      <c r="E172" s="6">
        <v>506.2776243945209</v>
      </c>
      <c r="F172" s="33" t="str">
        <f t="shared" si="4"/>
        <v>Below 530</v>
      </c>
      <c r="G172" s="33">
        <f t="shared" si="5"/>
        <v>531.59150561424701</v>
      </c>
      <c r="H172" s="7">
        <v>0.01</v>
      </c>
      <c r="I172" s="5" t="s">
        <v>14</v>
      </c>
      <c r="J172" s="5">
        <v>40</v>
      </c>
      <c r="K172" s="2"/>
      <c r="L172" s="2"/>
      <c r="M172" s="1"/>
    </row>
    <row r="173" spans="1:13" ht="14.4" x14ac:dyDescent="0.3">
      <c r="A173" s="14">
        <v>44564</v>
      </c>
      <c r="B173" s="5">
        <v>8</v>
      </c>
      <c r="C173" s="32">
        <f>VLOOKUP(B173,'area in m2'!B$2:C$10,2,FALSE)</f>
        <v>142</v>
      </c>
      <c r="D173" s="5" t="s">
        <v>12</v>
      </c>
      <c r="E173" s="6">
        <v>536.50838570173619</v>
      </c>
      <c r="F173" s="33" t="str">
        <f t="shared" si="4"/>
        <v>Over 530</v>
      </c>
      <c r="G173" s="33">
        <f t="shared" si="5"/>
        <v>563.333804986823</v>
      </c>
      <c r="H173" s="7">
        <v>0.01</v>
      </c>
      <c r="I173" s="5" t="s">
        <v>15</v>
      </c>
      <c r="J173" s="5">
        <v>27</v>
      </c>
      <c r="K173" s="2"/>
      <c r="L173" s="2"/>
      <c r="M173" s="1"/>
    </row>
    <row r="174" spans="1:13" ht="14.4" x14ac:dyDescent="0.3">
      <c r="A174" s="14">
        <v>44627</v>
      </c>
      <c r="B174" s="5">
        <v>9</v>
      </c>
      <c r="C174" s="32">
        <f>VLOOKUP(B174,'area in m2'!B$2:C$10,2,FALSE)</f>
        <v>140</v>
      </c>
      <c r="D174" s="5" t="s">
        <v>12</v>
      </c>
      <c r="E174" s="6">
        <v>524.43845871475696</v>
      </c>
      <c r="F174" s="33" t="str">
        <f t="shared" si="4"/>
        <v>Below 530</v>
      </c>
      <c r="G174" s="33">
        <f t="shared" si="5"/>
        <v>550.66038165049486</v>
      </c>
      <c r="H174" s="7">
        <v>0.01</v>
      </c>
      <c r="I174" s="5" t="s">
        <v>15</v>
      </c>
      <c r="J174" s="5">
        <v>27</v>
      </c>
      <c r="K174" s="2"/>
      <c r="L174" s="2"/>
      <c r="M174" s="1"/>
    </row>
    <row r="175" spans="1:13" ht="14.4" x14ac:dyDescent="0.3">
      <c r="A175" s="14">
        <v>44572</v>
      </c>
      <c r="B175" s="5">
        <v>5</v>
      </c>
      <c r="C175" s="32">
        <f>VLOOKUP(B175,'area in m2'!B$2:C$10,2,FALSE)</f>
        <v>200</v>
      </c>
      <c r="D175" s="5" t="s">
        <v>13</v>
      </c>
      <c r="E175" s="6">
        <v>536.98276275981334</v>
      </c>
      <c r="F175" s="33" t="str">
        <f t="shared" si="4"/>
        <v>Over 530</v>
      </c>
      <c r="G175" s="33">
        <f t="shared" si="5"/>
        <v>563.83190089780408</v>
      </c>
      <c r="H175" s="7">
        <v>0</v>
      </c>
      <c r="I175" s="5" t="s">
        <v>14</v>
      </c>
      <c r="J175" s="5">
        <v>39</v>
      </c>
      <c r="K175" s="2"/>
      <c r="L175" s="2"/>
      <c r="M175" s="1"/>
    </row>
    <row r="176" spans="1:13" ht="14.4" x14ac:dyDescent="0.3">
      <c r="A176" s="14">
        <v>44899</v>
      </c>
      <c r="B176" s="5">
        <v>8</v>
      </c>
      <c r="C176" s="32">
        <f>VLOOKUP(B176,'area in m2'!B$2:C$10,2,FALSE)</f>
        <v>142</v>
      </c>
      <c r="D176" s="5" t="s">
        <v>12</v>
      </c>
      <c r="E176" s="6">
        <v>531.45091334382869</v>
      </c>
      <c r="F176" s="33" t="str">
        <f t="shared" si="4"/>
        <v>Over 530</v>
      </c>
      <c r="G176" s="33">
        <f t="shared" si="5"/>
        <v>558.02345901102012</v>
      </c>
      <c r="H176" s="7">
        <v>0.03</v>
      </c>
      <c r="I176" s="5" t="s">
        <v>14</v>
      </c>
      <c r="J176" s="5">
        <v>25</v>
      </c>
      <c r="K176" s="2"/>
      <c r="L176" s="2"/>
      <c r="M176" s="1"/>
    </row>
    <row r="177" spans="1:13" ht="14.4" x14ac:dyDescent="0.3">
      <c r="A177" s="14">
        <v>44820</v>
      </c>
      <c r="B177" s="5">
        <v>9</v>
      </c>
      <c r="C177" s="32">
        <f>VLOOKUP(B177,'area in m2'!B$2:C$10,2,FALSE)</f>
        <v>140</v>
      </c>
      <c r="D177" s="5" t="s">
        <v>12</v>
      </c>
      <c r="E177" s="6">
        <v>515.72354154073673</v>
      </c>
      <c r="F177" s="33" t="str">
        <f t="shared" si="4"/>
        <v>Below 530</v>
      </c>
      <c r="G177" s="33">
        <f t="shared" si="5"/>
        <v>541.50971861777361</v>
      </c>
      <c r="H177" s="7">
        <v>0.01</v>
      </c>
      <c r="I177" s="5" t="s">
        <v>15</v>
      </c>
      <c r="J177" s="5">
        <v>32</v>
      </c>
      <c r="K177" s="2"/>
      <c r="L177" s="2"/>
      <c r="M177" s="1"/>
    </row>
    <row r="178" spans="1:13" ht="14.4" x14ac:dyDescent="0.3">
      <c r="A178" s="14">
        <v>44858</v>
      </c>
      <c r="B178" s="5">
        <v>7</v>
      </c>
      <c r="C178" s="32">
        <f>VLOOKUP(B178,'area in m2'!B$2:C$10,2,FALSE)</f>
        <v>166</v>
      </c>
      <c r="D178" s="5" t="s">
        <v>12</v>
      </c>
      <c r="E178" s="6">
        <v>524.38648271382681</v>
      </c>
      <c r="F178" s="33" t="str">
        <f t="shared" si="4"/>
        <v>Below 530</v>
      </c>
      <c r="G178" s="33">
        <f t="shared" si="5"/>
        <v>550.60580684951822</v>
      </c>
      <c r="H178" s="7">
        <v>0.01</v>
      </c>
      <c r="I178" s="5" t="s">
        <v>14</v>
      </c>
      <c r="J178" s="5">
        <v>46</v>
      </c>
      <c r="K178" s="2"/>
      <c r="L178" s="2"/>
      <c r="M178" s="1"/>
    </row>
    <row r="179" spans="1:13" ht="14.4" x14ac:dyDescent="0.3">
      <c r="A179" s="14">
        <v>44924</v>
      </c>
      <c r="B179" s="5">
        <v>5</v>
      </c>
      <c r="C179" s="32">
        <f>VLOOKUP(B179,'area in m2'!B$2:C$10,2,FALSE)</f>
        <v>200</v>
      </c>
      <c r="D179" s="5" t="s">
        <v>13</v>
      </c>
      <c r="E179" s="6">
        <v>545.87499447779373</v>
      </c>
      <c r="F179" s="33" t="str">
        <f t="shared" si="4"/>
        <v>Over 530</v>
      </c>
      <c r="G179" s="33">
        <f t="shared" si="5"/>
        <v>573.16874420168347</v>
      </c>
      <c r="H179" s="7">
        <v>0.03</v>
      </c>
      <c r="I179" s="5" t="s">
        <v>14</v>
      </c>
      <c r="J179" s="5">
        <v>38</v>
      </c>
      <c r="K179" s="2"/>
      <c r="L179" s="2"/>
      <c r="M179" s="1"/>
    </row>
    <row r="180" spans="1:13" ht="14.4" x14ac:dyDescent="0.3">
      <c r="A180" s="14">
        <v>44733</v>
      </c>
      <c r="B180" s="5">
        <v>9</v>
      </c>
      <c r="C180" s="32">
        <f>VLOOKUP(B180,'area in m2'!B$2:C$10,2,FALSE)</f>
        <v>140</v>
      </c>
      <c r="D180" s="5" t="s">
        <v>12</v>
      </c>
      <c r="E180" s="6">
        <v>550.88381207357088</v>
      </c>
      <c r="F180" s="33" t="str">
        <f t="shared" si="4"/>
        <v>Over 530</v>
      </c>
      <c r="G180" s="33">
        <f t="shared" si="5"/>
        <v>578.42800267724942</v>
      </c>
      <c r="H180" s="7">
        <v>0.01</v>
      </c>
      <c r="I180" s="5" t="s">
        <v>14</v>
      </c>
      <c r="J180" s="5">
        <v>29</v>
      </c>
      <c r="K180" s="2"/>
      <c r="L180" s="2"/>
      <c r="M180" s="1"/>
    </row>
    <row r="181" spans="1:13" ht="14.4" x14ac:dyDescent="0.3">
      <c r="A181" s="14">
        <v>44679</v>
      </c>
      <c r="B181" s="5">
        <v>4</v>
      </c>
      <c r="C181" s="32">
        <f>VLOOKUP(B181,'area in m2'!B$2:C$10,2,FALSE)</f>
        <v>188</v>
      </c>
      <c r="D181" s="5" t="s">
        <v>11</v>
      </c>
      <c r="E181" s="6">
        <v>501.32086136374073</v>
      </c>
      <c r="F181" s="33" t="str">
        <f t="shared" si="4"/>
        <v>Below 530</v>
      </c>
      <c r="G181" s="33">
        <f t="shared" si="5"/>
        <v>526.38690443192775</v>
      </c>
      <c r="H181" s="7">
        <v>0</v>
      </c>
      <c r="I181" s="5" t="s">
        <v>14</v>
      </c>
      <c r="J181" s="5">
        <v>46</v>
      </c>
      <c r="K181" s="2"/>
      <c r="L181" s="2"/>
      <c r="M181" s="1"/>
    </row>
    <row r="182" spans="1:13" ht="14.4" x14ac:dyDescent="0.3">
      <c r="A182" s="14">
        <v>44705</v>
      </c>
      <c r="B182" s="5">
        <v>5</v>
      </c>
      <c r="C182" s="32">
        <f>VLOOKUP(B182,'area in m2'!B$2:C$10,2,FALSE)</f>
        <v>200</v>
      </c>
      <c r="D182" s="5" t="s">
        <v>13</v>
      </c>
      <c r="E182" s="6">
        <v>530.317463445057</v>
      </c>
      <c r="F182" s="33" t="str">
        <f t="shared" si="4"/>
        <v>Over 530</v>
      </c>
      <c r="G182" s="33">
        <f t="shared" si="5"/>
        <v>556.8333366173099</v>
      </c>
      <c r="H182" s="7">
        <v>0.01</v>
      </c>
      <c r="I182" s="5" t="s">
        <v>14</v>
      </c>
      <c r="J182" s="5">
        <v>42</v>
      </c>
      <c r="K182" s="2"/>
      <c r="L182" s="2"/>
      <c r="M182" s="1"/>
    </row>
    <row r="183" spans="1:13" ht="14.4" x14ac:dyDescent="0.3">
      <c r="A183" s="14">
        <v>44722</v>
      </c>
      <c r="B183" s="5">
        <v>5</v>
      </c>
      <c r="C183" s="32">
        <f>VLOOKUP(B183,'area in m2'!B$2:C$10,2,FALSE)</f>
        <v>200</v>
      </c>
      <c r="D183" s="5" t="s">
        <v>13</v>
      </c>
      <c r="E183" s="6">
        <v>544.78172336499665</v>
      </c>
      <c r="F183" s="33" t="str">
        <f t="shared" si="4"/>
        <v>Over 530</v>
      </c>
      <c r="G183" s="33">
        <f t="shared" si="5"/>
        <v>572.02080953324651</v>
      </c>
      <c r="H183" s="7">
        <v>0.01</v>
      </c>
      <c r="I183" s="5" t="s">
        <v>15</v>
      </c>
      <c r="J183" s="5">
        <v>30</v>
      </c>
      <c r="K183" s="2"/>
      <c r="L183" s="2"/>
      <c r="M183" s="1"/>
    </row>
    <row r="184" spans="1:13" ht="14.4" x14ac:dyDescent="0.3">
      <c r="A184" s="14">
        <v>44800</v>
      </c>
      <c r="B184" s="5">
        <v>8</v>
      </c>
      <c r="C184" s="32">
        <f>VLOOKUP(B184,'area in m2'!B$2:C$10,2,FALSE)</f>
        <v>142</v>
      </c>
      <c r="D184" s="5" t="s">
        <v>12</v>
      </c>
      <c r="E184" s="6">
        <v>531.49179293164161</v>
      </c>
      <c r="F184" s="33" t="str">
        <f t="shared" si="4"/>
        <v>Over 530</v>
      </c>
      <c r="G184" s="33">
        <f t="shared" si="5"/>
        <v>558.06638257822374</v>
      </c>
      <c r="H184" s="7">
        <v>0.01</v>
      </c>
      <c r="I184" s="5" t="s">
        <v>14</v>
      </c>
      <c r="J184" s="5">
        <v>46</v>
      </c>
      <c r="K184" s="2"/>
      <c r="L184" s="2"/>
      <c r="M184" s="1"/>
    </row>
    <row r="185" spans="1:13" ht="14.4" x14ac:dyDescent="0.3">
      <c r="A185" s="14">
        <v>44586</v>
      </c>
      <c r="B185" s="5">
        <v>1</v>
      </c>
      <c r="C185" s="32">
        <f>VLOOKUP(B185,'area in m2'!B$2:C$10,2,FALSE)</f>
        <v>280</v>
      </c>
      <c r="D185" s="5" t="s">
        <v>11</v>
      </c>
      <c r="E185" s="6">
        <v>509.3850004930373</v>
      </c>
      <c r="F185" s="33" t="str">
        <f t="shared" si="4"/>
        <v>Below 530</v>
      </c>
      <c r="G185" s="33">
        <f t="shared" si="5"/>
        <v>534.85425051768914</v>
      </c>
      <c r="H185" s="7">
        <v>0</v>
      </c>
      <c r="I185" s="5" t="s">
        <v>14</v>
      </c>
      <c r="J185" s="5">
        <v>40</v>
      </c>
      <c r="K185" s="2"/>
      <c r="L185" s="2"/>
      <c r="M185" s="1"/>
    </row>
    <row r="186" spans="1:13" ht="14.4" x14ac:dyDescent="0.3">
      <c r="A186" s="14">
        <v>44617</v>
      </c>
      <c r="B186" s="5">
        <v>5</v>
      </c>
      <c r="C186" s="32">
        <f>VLOOKUP(B186,'area in m2'!B$2:C$10,2,FALSE)</f>
        <v>200</v>
      </c>
      <c r="D186" s="5" t="s">
        <v>13</v>
      </c>
      <c r="E186" s="6">
        <v>539.7935893441354</v>
      </c>
      <c r="F186" s="33" t="str">
        <f t="shared" si="4"/>
        <v>Over 530</v>
      </c>
      <c r="G186" s="33">
        <f t="shared" si="5"/>
        <v>566.78326881134217</v>
      </c>
      <c r="H186" s="7">
        <v>0.01</v>
      </c>
      <c r="I186" s="5" t="s">
        <v>15</v>
      </c>
      <c r="J186" s="5">
        <v>36</v>
      </c>
      <c r="K186" s="2"/>
      <c r="L186" s="2"/>
      <c r="M186" s="1"/>
    </row>
    <row r="187" spans="1:13" ht="14.4" x14ac:dyDescent="0.3">
      <c r="A187" s="14">
        <v>44689</v>
      </c>
      <c r="B187" s="5">
        <v>6</v>
      </c>
      <c r="C187" s="32">
        <f>VLOOKUP(B187,'area in m2'!B$2:C$10,2,FALSE)</f>
        <v>175</v>
      </c>
      <c r="D187" s="5" t="s">
        <v>13</v>
      </c>
      <c r="E187" s="6">
        <v>500.75066011242143</v>
      </c>
      <c r="F187" s="33" t="str">
        <f t="shared" si="4"/>
        <v>Below 530</v>
      </c>
      <c r="G187" s="33">
        <f t="shared" si="5"/>
        <v>525.7881931180425</v>
      </c>
      <c r="H187" s="7">
        <v>0.03</v>
      </c>
      <c r="I187" s="5" t="s">
        <v>14</v>
      </c>
      <c r="J187" s="5">
        <v>50</v>
      </c>
      <c r="K187" s="2"/>
      <c r="L187" s="2"/>
      <c r="M187" s="1"/>
    </row>
    <row r="188" spans="1:13" ht="14.4" x14ac:dyDescent="0.3">
      <c r="A188" s="14">
        <v>44723</v>
      </c>
      <c r="B188" s="5">
        <v>7</v>
      </c>
      <c r="C188" s="32">
        <f>VLOOKUP(B188,'area in m2'!B$2:C$10,2,FALSE)</f>
        <v>166</v>
      </c>
      <c r="D188" s="5" t="s">
        <v>12</v>
      </c>
      <c r="E188" s="6">
        <v>543.75251104532435</v>
      </c>
      <c r="F188" s="33" t="str">
        <f t="shared" si="4"/>
        <v>Over 530</v>
      </c>
      <c r="G188" s="33">
        <f t="shared" si="5"/>
        <v>570.94013659759059</v>
      </c>
      <c r="H188" s="7">
        <v>0</v>
      </c>
      <c r="I188" s="5" t="s">
        <v>14</v>
      </c>
      <c r="J188" s="5">
        <v>43</v>
      </c>
      <c r="K188" s="2"/>
      <c r="L188" s="2"/>
      <c r="M188" s="1"/>
    </row>
    <row r="189" spans="1:13" ht="14.4" x14ac:dyDescent="0.3">
      <c r="A189" s="14">
        <v>44680</v>
      </c>
      <c r="B189" s="5">
        <v>8</v>
      </c>
      <c r="C189" s="32">
        <f>VLOOKUP(B189,'area in m2'!B$2:C$10,2,FALSE)</f>
        <v>142</v>
      </c>
      <c r="D189" s="5" t="s">
        <v>11</v>
      </c>
      <c r="E189" s="6">
        <v>528.94215376827378</v>
      </c>
      <c r="F189" s="33" t="str">
        <f t="shared" si="4"/>
        <v>Below 530</v>
      </c>
      <c r="G189" s="33">
        <f t="shared" si="5"/>
        <v>555.38926145668745</v>
      </c>
      <c r="H189" s="7">
        <v>0.01</v>
      </c>
      <c r="I189" s="5" t="s">
        <v>14</v>
      </c>
      <c r="J189" s="5">
        <v>28</v>
      </c>
      <c r="K189" s="2"/>
      <c r="L189" s="2"/>
      <c r="M189" s="1"/>
    </row>
    <row r="190" spans="1:13" ht="14.4" x14ac:dyDescent="0.3">
      <c r="A190" s="14">
        <v>44746</v>
      </c>
      <c r="B190" s="5">
        <v>1</v>
      </c>
      <c r="C190" s="32">
        <f>VLOOKUP(B190,'area in m2'!B$2:C$10,2,FALSE)</f>
        <v>280</v>
      </c>
      <c r="D190" s="5" t="s">
        <v>11</v>
      </c>
      <c r="E190" s="6">
        <v>532.12026523520308</v>
      </c>
      <c r="F190" s="33" t="str">
        <f t="shared" si="4"/>
        <v>Over 530</v>
      </c>
      <c r="G190" s="33">
        <f t="shared" si="5"/>
        <v>558.72627849696323</v>
      </c>
      <c r="H190" s="7">
        <v>0.01</v>
      </c>
      <c r="I190" s="5" t="s">
        <v>15</v>
      </c>
      <c r="J190" s="5">
        <v>39</v>
      </c>
      <c r="K190" s="2"/>
      <c r="L190" s="2"/>
      <c r="M190" s="1"/>
    </row>
    <row r="191" spans="1:13" ht="14.4" x14ac:dyDescent="0.3">
      <c r="A191" s="14">
        <v>44628</v>
      </c>
      <c r="B191" s="5">
        <v>5</v>
      </c>
      <c r="C191" s="32">
        <f>VLOOKUP(B191,'area in m2'!B$2:C$10,2,FALSE)</f>
        <v>200</v>
      </c>
      <c r="D191" s="5" t="s">
        <v>13</v>
      </c>
      <c r="E191" s="6">
        <v>555.85075434342434</v>
      </c>
      <c r="F191" s="33" t="str">
        <f t="shared" si="4"/>
        <v>Over 530</v>
      </c>
      <c r="G191" s="33">
        <f t="shared" si="5"/>
        <v>583.64329206059563</v>
      </c>
      <c r="H191" s="7">
        <v>0.03</v>
      </c>
      <c r="I191" s="5" t="s">
        <v>14</v>
      </c>
      <c r="J191" s="5">
        <v>23</v>
      </c>
      <c r="K191" s="2"/>
      <c r="L191" s="2"/>
      <c r="M191" s="1"/>
    </row>
    <row r="192" spans="1:13" ht="14.4" x14ac:dyDescent="0.3">
      <c r="A192" s="14">
        <v>44755</v>
      </c>
      <c r="B192" s="5">
        <v>6</v>
      </c>
      <c r="C192" s="32">
        <f>VLOOKUP(B192,'area in m2'!B$2:C$10,2,FALSE)</f>
        <v>175</v>
      </c>
      <c r="D192" s="5" t="s">
        <v>13</v>
      </c>
      <c r="E192" s="6">
        <v>509.11784867864844</v>
      </c>
      <c r="F192" s="33" t="str">
        <f t="shared" si="4"/>
        <v>Below 530</v>
      </c>
      <c r="G192" s="33">
        <f t="shared" si="5"/>
        <v>534.57374111258093</v>
      </c>
      <c r="H192" s="7">
        <v>0.01</v>
      </c>
      <c r="I192" s="5" t="s">
        <v>15</v>
      </c>
      <c r="J192" s="5">
        <v>56</v>
      </c>
      <c r="K192" s="2"/>
      <c r="L192" s="2"/>
      <c r="M192" s="1"/>
    </row>
    <row r="193" spans="1:13" ht="14.4" x14ac:dyDescent="0.3">
      <c r="A193" s="14">
        <v>44590</v>
      </c>
      <c r="B193" s="5">
        <v>5</v>
      </c>
      <c r="C193" s="32">
        <f>VLOOKUP(B193,'area in m2'!B$2:C$10,2,FALSE)</f>
        <v>200</v>
      </c>
      <c r="D193" s="5" t="s">
        <v>13</v>
      </c>
      <c r="E193" s="6">
        <v>545.12987778621755</v>
      </c>
      <c r="F193" s="33" t="str">
        <f t="shared" si="4"/>
        <v>Over 530</v>
      </c>
      <c r="G193" s="33">
        <f t="shared" si="5"/>
        <v>572.38637167552849</v>
      </c>
      <c r="H193" s="7">
        <v>0.01</v>
      </c>
      <c r="I193" s="5" t="s">
        <v>14</v>
      </c>
      <c r="J193" s="5">
        <v>34</v>
      </c>
      <c r="K193" s="2"/>
      <c r="L193" s="2"/>
      <c r="M193" s="1"/>
    </row>
    <row r="194" spans="1:13" ht="14.4" x14ac:dyDescent="0.3">
      <c r="A194" s="14">
        <v>44601</v>
      </c>
      <c r="B194" s="5">
        <v>6</v>
      </c>
      <c r="C194" s="32">
        <f>VLOOKUP(B194,'area in m2'!B$2:C$10,2,FALSE)</f>
        <v>175</v>
      </c>
      <c r="D194" s="5" t="s">
        <v>13</v>
      </c>
      <c r="E194" s="6">
        <v>511.13727902466235</v>
      </c>
      <c r="F194" s="33" t="str">
        <f t="shared" si="4"/>
        <v>Below 530</v>
      </c>
      <c r="G194" s="33">
        <f t="shared" si="5"/>
        <v>536.69414297589549</v>
      </c>
      <c r="H194" s="7">
        <v>0</v>
      </c>
      <c r="I194" s="5" t="s">
        <v>14</v>
      </c>
      <c r="J194" s="5">
        <v>42</v>
      </c>
      <c r="K194" s="2"/>
      <c r="L194" s="2"/>
      <c r="M194" s="1"/>
    </row>
    <row r="195" spans="1:13" ht="14.4" x14ac:dyDescent="0.3">
      <c r="A195" s="14">
        <v>44599</v>
      </c>
      <c r="B195" s="5">
        <v>3</v>
      </c>
      <c r="C195" s="32">
        <f>VLOOKUP(B195,'area in m2'!B$2:C$10,2,FALSE)</f>
        <v>195</v>
      </c>
      <c r="D195" s="5" t="s">
        <v>11</v>
      </c>
      <c r="E195" s="6">
        <v>527.14215364084066</v>
      </c>
      <c r="F195" s="33" t="str">
        <f t="shared" si="4"/>
        <v>Below 530</v>
      </c>
      <c r="G195" s="33">
        <f t="shared" si="5"/>
        <v>553.49926132288272</v>
      </c>
      <c r="H195" s="7">
        <v>0</v>
      </c>
      <c r="I195" s="5" t="s">
        <v>14</v>
      </c>
      <c r="J195" s="5">
        <v>24</v>
      </c>
      <c r="K195" s="2"/>
      <c r="L195" s="2"/>
      <c r="M195" s="1"/>
    </row>
    <row r="196" spans="1:13" ht="14.4" x14ac:dyDescent="0.3">
      <c r="A196" s="14">
        <v>44634</v>
      </c>
      <c r="B196" s="5">
        <v>9</v>
      </c>
      <c r="C196" s="32">
        <f>VLOOKUP(B196,'area in m2'!B$2:C$10,2,FALSE)</f>
        <v>140</v>
      </c>
      <c r="D196" s="5" t="s">
        <v>12</v>
      </c>
      <c r="E196" s="6">
        <v>529.31077680020462</v>
      </c>
      <c r="F196" s="33" t="str">
        <f t="shared" si="4"/>
        <v>Below 530</v>
      </c>
      <c r="G196" s="33">
        <f t="shared" si="5"/>
        <v>555.77631564021488</v>
      </c>
      <c r="H196" s="7">
        <v>0.01</v>
      </c>
      <c r="I196" s="5" t="s">
        <v>14</v>
      </c>
      <c r="J196" s="5">
        <v>45</v>
      </c>
      <c r="K196" s="2"/>
      <c r="L196" s="2"/>
      <c r="M196" s="1"/>
    </row>
    <row r="197" spans="1:13" ht="14.4" x14ac:dyDescent="0.3">
      <c r="A197" s="14">
        <v>44578</v>
      </c>
      <c r="B197" s="5">
        <v>4</v>
      </c>
      <c r="C197" s="32">
        <f>VLOOKUP(B197,'area in m2'!B$2:C$10,2,FALSE)</f>
        <v>188</v>
      </c>
      <c r="D197" s="5" t="s">
        <v>11</v>
      </c>
      <c r="E197" s="6">
        <v>523.42669168027533</v>
      </c>
      <c r="F197" s="33" t="str">
        <f t="shared" ref="F197:F260" si="6">IF(E197&gt;530,"Over 530","Below 530")</f>
        <v>Below 530</v>
      </c>
      <c r="G197" s="33">
        <f t="shared" ref="G197:G260" si="7">+E197*1.05</f>
        <v>549.59802626428916</v>
      </c>
      <c r="H197" s="7">
        <v>0.02</v>
      </c>
      <c r="I197" s="5" t="s">
        <v>14</v>
      </c>
      <c r="J197" s="5">
        <v>42</v>
      </c>
      <c r="K197" s="2"/>
      <c r="L197" s="2"/>
      <c r="M197" s="1"/>
    </row>
    <row r="198" spans="1:13" ht="14.4" x14ac:dyDescent="0.3">
      <c r="A198" s="14">
        <v>44719</v>
      </c>
      <c r="B198" s="5">
        <v>4</v>
      </c>
      <c r="C198" s="32">
        <f>VLOOKUP(B198,'area in m2'!B$2:C$10,2,FALSE)</f>
        <v>188</v>
      </c>
      <c r="D198" s="5" t="s">
        <v>11</v>
      </c>
      <c r="E198" s="6">
        <v>508.46057797728372</v>
      </c>
      <c r="F198" s="33" t="str">
        <f t="shared" si="6"/>
        <v>Below 530</v>
      </c>
      <c r="G198" s="33">
        <f t="shared" si="7"/>
        <v>533.88360687614795</v>
      </c>
      <c r="H198" s="7">
        <v>0.03</v>
      </c>
      <c r="I198" s="5" t="s">
        <v>15</v>
      </c>
      <c r="J198" s="5">
        <v>54</v>
      </c>
      <c r="K198" s="2"/>
      <c r="L198" s="2"/>
      <c r="M198" s="1"/>
    </row>
    <row r="199" spans="1:13" ht="14.4" x14ac:dyDescent="0.3">
      <c r="A199" s="14">
        <v>44566</v>
      </c>
      <c r="B199" s="5">
        <v>5</v>
      </c>
      <c r="C199" s="32">
        <f>VLOOKUP(B199,'area in m2'!B$2:C$10,2,FALSE)</f>
        <v>200</v>
      </c>
      <c r="D199" s="5" t="s">
        <v>13</v>
      </c>
      <c r="E199" s="6">
        <v>536.87776601508358</v>
      </c>
      <c r="F199" s="33" t="str">
        <f t="shared" si="6"/>
        <v>Over 530</v>
      </c>
      <c r="G199" s="33">
        <f t="shared" si="7"/>
        <v>563.72165431583778</v>
      </c>
      <c r="H199" s="7">
        <v>0</v>
      </c>
      <c r="I199" s="5" t="s">
        <v>14</v>
      </c>
      <c r="J199" s="5">
        <v>22</v>
      </c>
      <c r="K199" s="2"/>
      <c r="L199" s="2"/>
      <c r="M199" s="1"/>
    </row>
    <row r="200" spans="1:13" ht="14.4" x14ac:dyDescent="0.3">
      <c r="A200" s="14">
        <v>44828</v>
      </c>
      <c r="B200" s="5">
        <v>6</v>
      </c>
      <c r="C200" s="32">
        <f>VLOOKUP(B200,'area in m2'!B$2:C$10,2,FALSE)</f>
        <v>175</v>
      </c>
      <c r="D200" s="5" t="s">
        <v>13</v>
      </c>
      <c r="E200" s="6">
        <v>511.13727902466235</v>
      </c>
      <c r="F200" s="33" t="str">
        <f t="shared" si="6"/>
        <v>Below 530</v>
      </c>
      <c r="G200" s="33">
        <f t="shared" si="7"/>
        <v>536.69414297589549</v>
      </c>
      <c r="H200" s="7">
        <v>0</v>
      </c>
      <c r="I200" s="5" t="s">
        <v>15</v>
      </c>
      <c r="J200" s="5">
        <v>28</v>
      </c>
      <c r="K200" s="2"/>
      <c r="L200" s="2"/>
      <c r="M200" s="1"/>
    </row>
    <row r="201" spans="1:13" ht="14.4" x14ac:dyDescent="0.3">
      <c r="A201" s="14">
        <v>44770</v>
      </c>
      <c r="B201" s="5">
        <v>3</v>
      </c>
      <c r="C201" s="32">
        <f>VLOOKUP(B201,'area in m2'!B$2:C$10,2,FALSE)</f>
        <v>195</v>
      </c>
      <c r="D201" s="5" t="s">
        <v>11</v>
      </c>
      <c r="E201" s="6">
        <v>522.88238627633655</v>
      </c>
      <c r="F201" s="33" t="str">
        <f t="shared" si="6"/>
        <v>Below 530</v>
      </c>
      <c r="G201" s="33">
        <f t="shared" si="7"/>
        <v>549.02650559015342</v>
      </c>
      <c r="H201" s="7">
        <v>0.03</v>
      </c>
      <c r="I201" s="5" t="s">
        <v>15</v>
      </c>
      <c r="J201" s="5">
        <v>56</v>
      </c>
      <c r="K201" s="2"/>
      <c r="L201" s="2"/>
      <c r="M201" s="1"/>
    </row>
    <row r="202" spans="1:13" ht="14.4" x14ac:dyDescent="0.3">
      <c r="A202" s="14">
        <v>44781</v>
      </c>
      <c r="B202" s="5">
        <v>9</v>
      </c>
      <c r="C202" s="32">
        <f>VLOOKUP(B202,'area in m2'!B$2:C$10,2,FALSE)</f>
        <v>140</v>
      </c>
      <c r="D202" s="5" t="s">
        <v>12</v>
      </c>
      <c r="E202" s="6">
        <v>513.75491446920205</v>
      </c>
      <c r="F202" s="33" t="str">
        <f t="shared" si="6"/>
        <v>Below 530</v>
      </c>
      <c r="G202" s="33">
        <f t="shared" si="7"/>
        <v>539.44266019266217</v>
      </c>
      <c r="H202" s="7">
        <v>0</v>
      </c>
      <c r="I202" s="5" t="s">
        <v>14</v>
      </c>
      <c r="J202" s="5">
        <v>50</v>
      </c>
      <c r="K202" s="2"/>
      <c r="L202" s="2"/>
      <c r="M202" s="1"/>
    </row>
    <row r="203" spans="1:13" ht="14.4" x14ac:dyDescent="0.3">
      <c r="A203" s="14">
        <v>44621</v>
      </c>
      <c r="B203" s="5">
        <v>5</v>
      </c>
      <c r="C203" s="32">
        <f>VLOOKUP(B203,'area in m2'!B$2:C$10,2,FALSE)</f>
        <v>200</v>
      </c>
      <c r="D203" s="5" t="s">
        <v>13</v>
      </c>
      <c r="E203" s="6">
        <v>533.22668120704111</v>
      </c>
      <c r="F203" s="33" t="str">
        <f t="shared" si="6"/>
        <v>Over 530</v>
      </c>
      <c r="G203" s="33">
        <f t="shared" si="7"/>
        <v>559.88801526739314</v>
      </c>
      <c r="H203" s="7">
        <v>0.02</v>
      </c>
      <c r="I203" s="5" t="s">
        <v>15</v>
      </c>
      <c r="J203" s="5">
        <v>20</v>
      </c>
      <c r="K203" s="2"/>
      <c r="L203" s="2"/>
      <c r="M203" s="1"/>
    </row>
    <row r="204" spans="1:13" ht="14.4" x14ac:dyDescent="0.3">
      <c r="A204" s="14">
        <v>44897</v>
      </c>
      <c r="B204" s="5">
        <v>8</v>
      </c>
      <c r="C204" s="32">
        <f>VLOOKUP(B204,'area in m2'!B$2:C$10,2,FALSE)</f>
        <v>142</v>
      </c>
      <c r="D204" s="5" t="s">
        <v>12</v>
      </c>
      <c r="E204" s="6">
        <v>506.05754242880266</v>
      </c>
      <c r="F204" s="33" t="str">
        <f t="shared" si="6"/>
        <v>Below 530</v>
      </c>
      <c r="G204" s="33">
        <f t="shared" si="7"/>
        <v>531.3604195502428</v>
      </c>
      <c r="H204" s="7">
        <v>0.03</v>
      </c>
      <c r="I204" s="5" t="s">
        <v>15</v>
      </c>
      <c r="J204" s="5">
        <v>37</v>
      </c>
      <c r="K204" s="2"/>
      <c r="L204" s="2"/>
      <c r="M204" s="1"/>
    </row>
    <row r="205" spans="1:13" ht="14.4" x14ac:dyDescent="0.3">
      <c r="A205" s="14">
        <v>44778</v>
      </c>
      <c r="B205" s="5">
        <v>7</v>
      </c>
      <c r="C205" s="32">
        <f>VLOOKUP(B205,'area in m2'!B$2:C$10,2,FALSE)</f>
        <v>166</v>
      </c>
      <c r="D205" s="5" t="s">
        <v>12</v>
      </c>
      <c r="E205" s="6">
        <v>518.52031451659241</v>
      </c>
      <c r="F205" s="33" t="str">
        <f t="shared" si="6"/>
        <v>Below 530</v>
      </c>
      <c r="G205" s="33">
        <f t="shared" si="7"/>
        <v>544.44633024242205</v>
      </c>
      <c r="H205" s="7">
        <v>0</v>
      </c>
      <c r="I205" s="5" t="s">
        <v>15</v>
      </c>
      <c r="J205" s="5">
        <v>59</v>
      </c>
      <c r="K205" s="2"/>
      <c r="L205" s="2"/>
      <c r="M205" s="1"/>
    </row>
    <row r="206" spans="1:13" ht="14.4" x14ac:dyDescent="0.3">
      <c r="A206" s="14">
        <v>44832</v>
      </c>
      <c r="B206" s="5">
        <v>6</v>
      </c>
      <c r="C206" s="32">
        <f>VLOOKUP(B206,'area in m2'!B$2:C$10,2,FALSE)</f>
        <v>175</v>
      </c>
      <c r="D206" s="5" t="s">
        <v>13</v>
      </c>
      <c r="E206" s="6">
        <v>546.83579638738229</v>
      </c>
      <c r="F206" s="33" t="str">
        <f t="shared" si="6"/>
        <v>Over 530</v>
      </c>
      <c r="G206" s="33">
        <f t="shared" si="7"/>
        <v>574.17758620675147</v>
      </c>
      <c r="H206" s="7">
        <v>0.01</v>
      </c>
      <c r="I206" s="5" t="s">
        <v>14</v>
      </c>
      <c r="J206" s="5">
        <v>34</v>
      </c>
      <c r="K206" s="2"/>
      <c r="L206" s="2"/>
      <c r="M206" s="1"/>
    </row>
    <row r="207" spans="1:13" ht="14.4" x14ac:dyDescent="0.3">
      <c r="A207" s="14">
        <v>44728</v>
      </c>
      <c r="B207" s="5">
        <v>6</v>
      </c>
      <c r="C207" s="32">
        <f>VLOOKUP(B207,'area in m2'!B$2:C$10,2,FALSE)</f>
        <v>175</v>
      </c>
      <c r="D207" s="5" t="s">
        <v>13</v>
      </c>
      <c r="E207" s="6">
        <v>515.03483368490288</v>
      </c>
      <c r="F207" s="33" t="str">
        <f t="shared" si="6"/>
        <v>Below 530</v>
      </c>
      <c r="G207" s="33">
        <f t="shared" si="7"/>
        <v>540.78657536914807</v>
      </c>
      <c r="H207" s="7">
        <v>0.02</v>
      </c>
      <c r="I207" s="5" t="s">
        <v>14</v>
      </c>
      <c r="J207" s="5">
        <v>40</v>
      </c>
      <c r="K207" s="2"/>
      <c r="L207" s="2"/>
      <c r="M207" s="1"/>
    </row>
    <row r="208" spans="1:13" ht="14.4" x14ac:dyDescent="0.3">
      <c r="A208" s="14">
        <v>44566</v>
      </c>
      <c r="B208" s="5">
        <v>6</v>
      </c>
      <c r="C208" s="32">
        <f>VLOOKUP(B208,'area in m2'!B$2:C$10,2,FALSE)</f>
        <v>175</v>
      </c>
      <c r="D208" s="5" t="s">
        <v>13</v>
      </c>
      <c r="E208" s="6">
        <v>511.13727902466235</v>
      </c>
      <c r="F208" s="33" t="str">
        <f t="shared" si="6"/>
        <v>Below 530</v>
      </c>
      <c r="G208" s="33">
        <f t="shared" si="7"/>
        <v>536.69414297589549</v>
      </c>
      <c r="H208" s="7">
        <v>0.03</v>
      </c>
      <c r="I208" s="5" t="s">
        <v>14</v>
      </c>
      <c r="J208" s="5">
        <v>44</v>
      </c>
      <c r="K208" s="2"/>
      <c r="L208" s="2"/>
      <c r="M208" s="1"/>
    </row>
    <row r="209" spans="1:13" ht="14.4" x14ac:dyDescent="0.3">
      <c r="A209" s="14">
        <v>44699</v>
      </c>
      <c r="B209" s="5">
        <v>3</v>
      </c>
      <c r="C209" s="32">
        <f>VLOOKUP(B209,'area in m2'!B$2:C$10,2,FALSE)</f>
        <v>195</v>
      </c>
      <c r="D209" s="5" t="s">
        <v>11</v>
      </c>
      <c r="E209" s="6">
        <v>509.54134618952503</v>
      </c>
      <c r="F209" s="33" t="str">
        <f t="shared" si="6"/>
        <v>Below 530</v>
      </c>
      <c r="G209" s="33">
        <f t="shared" si="7"/>
        <v>535.01841349900133</v>
      </c>
      <c r="H209" s="7">
        <v>0.02</v>
      </c>
      <c r="I209" s="5" t="s">
        <v>14</v>
      </c>
      <c r="J209" s="5">
        <v>38</v>
      </c>
      <c r="K209" s="2"/>
      <c r="L209" s="2"/>
      <c r="M209" s="1"/>
    </row>
    <row r="210" spans="1:13" ht="14.4" x14ac:dyDescent="0.3">
      <c r="A210" s="14">
        <v>44924</v>
      </c>
      <c r="B210" s="5">
        <v>5</v>
      </c>
      <c r="C210" s="32">
        <f>VLOOKUP(B210,'area in m2'!B$2:C$10,2,FALSE)</f>
        <v>200</v>
      </c>
      <c r="D210" s="5" t="s">
        <v>13</v>
      </c>
      <c r="E210" s="6">
        <v>536.45690730587285</v>
      </c>
      <c r="F210" s="33" t="str">
        <f t="shared" si="6"/>
        <v>Over 530</v>
      </c>
      <c r="G210" s="33">
        <f t="shared" si="7"/>
        <v>563.27975267116653</v>
      </c>
      <c r="H210" s="7">
        <v>0.03</v>
      </c>
      <c r="I210" s="5" t="s">
        <v>14</v>
      </c>
      <c r="J210" s="5">
        <v>45</v>
      </c>
      <c r="K210" s="2"/>
      <c r="L210" s="2"/>
      <c r="M210" s="1"/>
    </row>
    <row r="211" spans="1:13" ht="14.4" x14ac:dyDescent="0.3">
      <c r="A211" s="14">
        <v>44612</v>
      </c>
      <c r="B211" s="5">
        <v>4</v>
      </c>
      <c r="C211" s="32">
        <f>VLOOKUP(B211,'area in m2'!B$2:C$10,2,FALSE)</f>
        <v>188</v>
      </c>
      <c r="D211" s="5" t="s">
        <v>11</v>
      </c>
      <c r="E211" s="6">
        <v>506.61453446128598</v>
      </c>
      <c r="F211" s="33" t="str">
        <f t="shared" si="6"/>
        <v>Below 530</v>
      </c>
      <c r="G211" s="33">
        <f t="shared" si="7"/>
        <v>531.94526118435033</v>
      </c>
      <c r="H211" s="7">
        <v>0</v>
      </c>
      <c r="I211" s="5" t="s">
        <v>14</v>
      </c>
      <c r="J211" s="5">
        <v>42</v>
      </c>
      <c r="K211" s="2"/>
      <c r="L211" s="2"/>
      <c r="M211" s="1"/>
    </row>
    <row r="212" spans="1:13" ht="14.4" x14ac:dyDescent="0.3">
      <c r="A212" s="14">
        <v>44564</v>
      </c>
      <c r="B212" s="5">
        <v>2</v>
      </c>
      <c r="C212" s="32">
        <f>VLOOKUP(B212,'area in m2'!B$2:C$10,2,FALSE)</f>
        <v>250</v>
      </c>
      <c r="D212" s="5" t="s">
        <v>11</v>
      </c>
      <c r="E212" s="6">
        <v>510.44082789865206</v>
      </c>
      <c r="F212" s="33" t="str">
        <f t="shared" si="6"/>
        <v>Below 530</v>
      </c>
      <c r="G212" s="33">
        <f t="shared" si="7"/>
        <v>535.96286929358473</v>
      </c>
      <c r="H212" s="7">
        <v>0.03</v>
      </c>
      <c r="I212" s="5" t="s">
        <v>14</v>
      </c>
      <c r="J212" s="5">
        <v>45</v>
      </c>
      <c r="K212" s="2"/>
      <c r="L212" s="2"/>
      <c r="M212" s="1"/>
    </row>
    <row r="213" spans="1:13" ht="14.4" x14ac:dyDescent="0.3">
      <c r="A213" s="14">
        <v>44913</v>
      </c>
      <c r="B213" s="5">
        <v>5</v>
      </c>
      <c r="C213" s="32">
        <f>VLOOKUP(B213,'area in m2'!B$2:C$10,2,FALSE)</f>
        <v>200</v>
      </c>
      <c r="D213" s="5" t="s">
        <v>13</v>
      </c>
      <c r="E213" s="6">
        <v>547.52310484115424</v>
      </c>
      <c r="F213" s="33" t="str">
        <f t="shared" si="6"/>
        <v>Over 530</v>
      </c>
      <c r="G213" s="33">
        <f t="shared" si="7"/>
        <v>574.89926008321197</v>
      </c>
      <c r="H213" s="7">
        <v>0</v>
      </c>
      <c r="I213" s="5" t="s">
        <v>15</v>
      </c>
      <c r="J213" s="5">
        <v>43</v>
      </c>
      <c r="K213" s="2"/>
      <c r="L213" s="2"/>
      <c r="M213" s="1"/>
    </row>
    <row r="214" spans="1:13" ht="14.4" x14ac:dyDescent="0.3">
      <c r="A214" s="14">
        <v>44873</v>
      </c>
      <c r="B214" s="5">
        <v>6</v>
      </c>
      <c r="C214" s="32">
        <f>VLOOKUP(B214,'area in m2'!B$2:C$10,2,FALSE)</f>
        <v>175</v>
      </c>
      <c r="D214" s="5" t="s">
        <v>13</v>
      </c>
      <c r="E214" s="6">
        <v>509.94215573994643</v>
      </c>
      <c r="F214" s="33" t="str">
        <f t="shared" si="6"/>
        <v>Below 530</v>
      </c>
      <c r="G214" s="33">
        <f t="shared" si="7"/>
        <v>535.43926352694382</v>
      </c>
      <c r="H214" s="7">
        <v>0.01</v>
      </c>
      <c r="I214" s="5" t="s">
        <v>15</v>
      </c>
      <c r="J214" s="5">
        <v>20</v>
      </c>
      <c r="K214" s="2"/>
      <c r="L214" s="2"/>
      <c r="M214" s="1"/>
    </row>
    <row r="215" spans="1:13" ht="14.4" x14ac:dyDescent="0.3">
      <c r="A215" s="14">
        <v>44825</v>
      </c>
      <c r="B215" s="5">
        <v>8</v>
      </c>
      <c r="C215" s="32">
        <f>VLOOKUP(B215,'area in m2'!B$2:C$10,2,FALSE)</f>
        <v>142</v>
      </c>
      <c r="D215" s="5" t="s">
        <v>11</v>
      </c>
      <c r="E215" s="6">
        <v>522.34224653790261</v>
      </c>
      <c r="F215" s="33" t="str">
        <f t="shared" si="6"/>
        <v>Below 530</v>
      </c>
      <c r="G215" s="33">
        <f t="shared" si="7"/>
        <v>548.45935886479776</v>
      </c>
      <c r="H215" s="7">
        <v>0.02</v>
      </c>
      <c r="I215" s="5" t="s">
        <v>14</v>
      </c>
      <c r="J215" s="5">
        <v>23</v>
      </c>
      <c r="K215" s="2"/>
      <c r="L215" s="2"/>
      <c r="M215" s="1"/>
    </row>
    <row r="216" spans="1:13" ht="14.4" x14ac:dyDescent="0.3">
      <c r="A216" s="14">
        <v>44784</v>
      </c>
      <c r="B216" s="5">
        <v>7</v>
      </c>
      <c r="C216" s="32">
        <f>VLOOKUP(B216,'area in m2'!B$2:C$10,2,FALSE)</f>
        <v>166</v>
      </c>
      <c r="D216" s="5" t="s">
        <v>12</v>
      </c>
      <c r="E216" s="6">
        <v>548.16038752279928</v>
      </c>
      <c r="F216" s="33" t="str">
        <f t="shared" si="6"/>
        <v>Over 530</v>
      </c>
      <c r="G216" s="33">
        <f t="shared" si="7"/>
        <v>575.56840689893932</v>
      </c>
      <c r="H216" s="7">
        <v>0.02</v>
      </c>
      <c r="I216" s="5" t="s">
        <v>14</v>
      </c>
      <c r="J216" s="5">
        <v>19</v>
      </c>
      <c r="K216" s="2"/>
      <c r="L216" s="2"/>
      <c r="M216" s="1"/>
    </row>
    <row r="217" spans="1:13" ht="14.4" x14ac:dyDescent="0.3">
      <c r="A217" s="14">
        <v>44659</v>
      </c>
      <c r="B217" s="5">
        <v>4</v>
      </c>
      <c r="C217" s="32">
        <f>VLOOKUP(B217,'area in m2'!B$2:C$10,2,FALSE)</f>
        <v>188</v>
      </c>
      <c r="D217" s="5" t="s">
        <v>11</v>
      </c>
      <c r="E217" s="6">
        <v>516.80845429951933</v>
      </c>
      <c r="F217" s="33" t="str">
        <f t="shared" si="6"/>
        <v>Below 530</v>
      </c>
      <c r="G217" s="33">
        <f t="shared" si="7"/>
        <v>542.64887701449527</v>
      </c>
      <c r="H217" s="7">
        <v>0.02</v>
      </c>
      <c r="I217" s="5" t="s">
        <v>14</v>
      </c>
      <c r="J217" s="5">
        <v>37</v>
      </c>
      <c r="K217" s="2"/>
      <c r="L217" s="2"/>
      <c r="M217" s="1"/>
    </row>
    <row r="218" spans="1:13" ht="14.4" x14ac:dyDescent="0.3">
      <c r="A218" s="14">
        <v>44915</v>
      </c>
      <c r="B218" s="5">
        <v>3</v>
      </c>
      <c r="C218" s="32">
        <f>VLOOKUP(B218,'area in m2'!B$2:C$10,2,FALSE)</f>
        <v>195</v>
      </c>
      <c r="D218" s="5" t="s">
        <v>11</v>
      </c>
      <c r="E218" s="6">
        <v>509.73902228903171</v>
      </c>
      <c r="F218" s="33" t="str">
        <f t="shared" si="6"/>
        <v>Below 530</v>
      </c>
      <c r="G218" s="33">
        <f t="shared" si="7"/>
        <v>535.22597340348329</v>
      </c>
      <c r="H218" s="7">
        <v>0</v>
      </c>
      <c r="I218" s="5" t="s">
        <v>15</v>
      </c>
      <c r="J218" s="5">
        <v>29</v>
      </c>
      <c r="K218" s="2"/>
      <c r="L218" s="2"/>
      <c r="M218" s="1"/>
    </row>
    <row r="219" spans="1:13" ht="14.4" x14ac:dyDescent="0.3">
      <c r="A219" s="14">
        <v>44856</v>
      </c>
      <c r="B219" s="5">
        <v>2</v>
      </c>
      <c r="C219" s="32">
        <f>VLOOKUP(B219,'area in m2'!B$2:C$10,2,FALSE)</f>
        <v>250</v>
      </c>
      <c r="D219" s="5" t="s">
        <v>11</v>
      </c>
      <c r="E219" s="6">
        <v>542.63114612360278</v>
      </c>
      <c r="F219" s="33" t="str">
        <f t="shared" si="6"/>
        <v>Over 530</v>
      </c>
      <c r="G219" s="33">
        <f t="shared" si="7"/>
        <v>569.76270342978296</v>
      </c>
      <c r="H219" s="7">
        <v>0.03</v>
      </c>
      <c r="I219" s="5" t="s">
        <v>15</v>
      </c>
      <c r="J219" s="5">
        <v>37</v>
      </c>
      <c r="K219" s="2"/>
      <c r="L219" s="2"/>
      <c r="M219" s="1"/>
    </row>
    <row r="220" spans="1:13" ht="14.4" x14ac:dyDescent="0.3">
      <c r="A220" s="14">
        <v>44707</v>
      </c>
      <c r="B220" s="5">
        <v>3</v>
      </c>
      <c r="C220" s="32">
        <f>VLOOKUP(B220,'area in m2'!B$2:C$10,2,FALSE)</f>
        <v>195</v>
      </c>
      <c r="D220" s="5" t="s">
        <v>11</v>
      </c>
      <c r="E220" s="6">
        <v>534.99450609030373</v>
      </c>
      <c r="F220" s="33" t="str">
        <f t="shared" si="6"/>
        <v>Over 530</v>
      </c>
      <c r="G220" s="33">
        <f t="shared" si="7"/>
        <v>561.74423139481894</v>
      </c>
      <c r="H220" s="7">
        <v>0.03</v>
      </c>
      <c r="I220" s="5" t="s">
        <v>15</v>
      </c>
      <c r="J220" s="5">
        <v>28</v>
      </c>
      <c r="K220" s="2"/>
      <c r="L220" s="2"/>
      <c r="M220" s="1"/>
    </row>
    <row r="221" spans="1:13" ht="14.4" x14ac:dyDescent="0.3">
      <c r="A221" s="14">
        <v>44792</v>
      </c>
      <c r="B221" s="5">
        <v>6</v>
      </c>
      <c r="C221" s="32">
        <f>VLOOKUP(B221,'area in m2'!B$2:C$10,2,FALSE)</f>
        <v>175</v>
      </c>
      <c r="D221" s="5" t="s">
        <v>13</v>
      </c>
      <c r="E221" s="6">
        <v>507.89616855035911</v>
      </c>
      <c r="F221" s="33" t="str">
        <f t="shared" si="6"/>
        <v>Below 530</v>
      </c>
      <c r="G221" s="33">
        <f t="shared" si="7"/>
        <v>533.29097697787711</v>
      </c>
      <c r="H221" s="7">
        <v>0</v>
      </c>
      <c r="I221" s="5" t="s">
        <v>14</v>
      </c>
      <c r="J221" s="5">
        <v>29</v>
      </c>
      <c r="K221" s="2"/>
      <c r="L221" s="2"/>
      <c r="M221" s="1"/>
    </row>
    <row r="222" spans="1:13" ht="14.4" x14ac:dyDescent="0.3">
      <c r="A222" s="14">
        <v>44875</v>
      </c>
      <c r="B222" s="5">
        <v>2</v>
      </c>
      <c r="C222" s="32">
        <f>VLOOKUP(B222,'area in m2'!B$2:C$10,2,FALSE)</f>
        <v>250</v>
      </c>
      <c r="D222" s="5" t="s">
        <v>11</v>
      </c>
      <c r="E222" s="6">
        <v>526.39074747231098</v>
      </c>
      <c r="F222" s="33" t="str">
        <f t="shared" si="6"/>
        <v>Below 530</v>
      </c>
      <c r="G222" s="33">
        <f t="shared" si="7"/>
        <v>552.71028484592659</v>
      </c>
      <c r="H222" s="7">
        <v>0.03</v>
      </c>
      <c r="I222" s="5" t="s">
        <v>15</v>
      </c>
      <c r="J222" s="5">
        <v>21</v>
      </c>
      <c r="K222" s="2"/>
      <c r="L222" s="2"/>
      <c r="M222" s="1"/>
    </row>
    <row r="223" spans="1:13" ht="14.4" x14ac:dyDescent="0.3">
      <c r="A223" s="14">
        <v>44859</v>
      </c>
      <c r="B223" s="5">
        <v>4</v>
      </c>
      <c r="C223" s="32">
        <f>VLOOKUP(B223,'area in m2'!B$2:C$10,2,FALSE)</f>
        <v>188</v>
      </c>
      <c r="D223" s="5" t="s">
        <v>11</v>
      </c>
      <c r="E223" s="6">
        <v>509.97319703532958</v>
      </c>
      <c r="F223" s="33" t="str">
        <f t="shared" si="6"/>
        <v>Below 530</v>
      </c>
      <c r="G223" s="33">
        <f t="shared" si="7"/>
        <v>535.47185688709612</v>
      </c>
      <c r="H223" s="7">
        <v>0</v>
      </c>
      <c r="I223" s="5" t="s">
        <v>15</v>
      </c>
      <c r="J223" s="5">
        <v>32</v>
      </c>
      <c r="K223" s="2"/>
      <c r="L223" s="2"/>
      <c r="M223" s="1"/>
    </row>
    <row r="224" spans="1:13" ht="14.4" x14ac:dyDescent="0.3">
      <c r="A224" s="14">
        <v>44571</v>
      </c>
      <c r="B224" s="5">
        <v>6</v>
      </c>
      <c r="C224" s="32">
        <f>VLOOKUP(B224,'area in m2'!B$2:C$10,2,FALSE)</f>
        <v>175</v>
      </c>
      <c r="D224" s="5" t="s">
        <v>13</v>
      </c>
      <c r="E224" s="6">
        <v>523.15380105437089</v>
      </c>
      <c r="F224" s="33" t="str">
        <f t="shared" si="6"/>
        <v>Below 530</v>
      </c>
      <c r="G224" s="33">
        <f t="shared" si="7"/>
        <v>549.31149110708941</v>
      </c>
      <c r="H224" s="7">
        <v>0.02</v>
      </c>
      <c r="I224" s="5" t="s">
        <v>14</v>
      </c>
      <c r="J224" s="5">
        <v>44</v>
      </c>
      <c r="K224" s="2"/>
      <c r="L224" s="2"/>
      <c r="M224" s="1"/>
    </row>
    <row r="225" spans="1:13" ht="14.4" x14ac:dyDescent="0.3">
      <c r="A225" s="14">
        <v>44880</v>
      </c>
      <c r="B225" s="5">
        <v>4</v>
      </c>
      <c r="C225" s="32">
        <f>VLOOKUP(B225,'area in m2'!B$2:C$10,2,FALSE)</f>
        <v>188</v>
      </c>
      <c r="D225" s="5" t="s">
        <v>11</v>
      </c>
      <c r="E225" s="6">
        <v>535.23657663760059</v>
      </c>
      <c r="F225" s="33" t="str">
        <f t="shared" si="6"/>
        <v>Over 530</v>
      </c>
      <c r="G225" s="33">
        <f t="shared" si="7"/>
        <v>561.99840546948064</v>
      </c>
      <c r="H225" s="7">
        <v>0</v>
      </c>
      <c r="I225" s="5" t="s">
        <v>14</v>
      </c>
      <c r="J225" s="5">
        <v>45</v>
      </c>
      <c r="K225" s="2"/>
      <c r="L225" s="2"/>
      <c r="M225" s="1"/>
    </row>
    <row r="226" spans="1:13" ht="14.4" x14ac:dyDescent="0.3">
      <c r="A226" s="14">
        <v>44880</v>
      </c>
      <c r="B226" s="5">
        <v>3</v>
      </c>
      <c r="C226" s="32">
        <f>VLOOKUP(B226,'area in m2'!B$2:C$10,2,FALSE)</f>
        <v>195</v>
      </c>
      <c r="D226" s="5" t="s">
        <v>11</v>
      </c>
      <c r="E226" s="6">
        <v>509.34424078922348</v>
      </c>
      <c r="F226" s="33" t="str">
        <f t="shared" si="6"/>
        <v>Below 530</v>
      </c>
      <c r="G226" s="33">
        <f t="shared" si="7"/>
        <v>534.81145282868465</v>
      </c>
      <c r="H226" s="7">
        <v>0.01</v>
      </c>
      <c r="I226" s="5" t="s">
        <v>14</v>
      </c>
      <c r="J226" s="5">
        <v>23</v>
      </c>
      <c r="K226" s="2"/>
      <c r="L226" s="2"/>
      <c r="M226" s="1"/>
    </row>
    <row r="227" spans="1:13" ht="14.4" x14ac:dyDescent="0.3">
      <c r="A227" s="14">
        <v>44759</v>
      </c>
      <c r="B227" s="5">
        <v>3</v>
      </c>
      <c r="C227" s="32">
        <f>VLOOKUP(B227,'area in m2'!B$2:C$10,2,FALSE)</f>
        <v>195</v>
      </c>
      <c r="D227" s="5" t="s">
        <v>11</v>
      </c>
      <c r="E227" s="6">
        <v>513.05351123485161</v>
      </c>
      <c r="F227" s="33" t="str">
        <f t="shared" si="6"/>
        <v>Below 530</v>
      </c>
      <c r="G227" s="33">
        <f t="shared" si="7"/>
        <v>538.70618679659424</v>
      </c>
      <c r="H227" s="7">
        <v>0</v>
      </c>
      <c r="I227" s="5" t="s">
        <v>14</v>
      </c>
      <c r="J227" s="5">
        <v>45</v>
      </c>
      <c r="K227" s="2"/>
      <c r="L227" s="2"/>
      <c r="M227" s="1"/>
    </row>
    <row r="228" spans="1:13" ht="14.4" x14ac:dyDescent="0.3">
      <c r="A228" s="14">
        <v>44562</v>
      </c>
      <c r="B228" s="5">
        <v>6</v>
      </c>
      <c r="C228" s="32">
        <f>VLOOKUP(B228,'area in m2'!B$2:C$10,2,FALSE)</f>
        <v>175</v>
      </c>
      <c r="D228" s="5" t="s">
        <v>13</v>
      </c>
      <c r="E228" s="6">
        <v>515.46625038853654</v>
      </c>
      <c r="F228" s="33" t="str">
        <f t="shared" si="6"/>
        <v>Below 530</v>
      </c>
      <c r="G228" s="33">
        <f t="shared" si="7"/>
        <v>541.23956290796343</v>
      </c>
      <c r="H228" s="7">
        <v>0</v>
      </c>
      <c r="I228" s="5" t="s">
        <v>14</v>
      </c>
      <c r="J228" s="5">
        <v>41</v>
      </c>
      <c r="K228" s="2"/>
      <c r="L228" s="2"/>
      <c r="M228" s="1"/>
    </row>
    <row r="229" spans="1:13" ht="14.4" x14ac:dyDescent="0.3">
      <c r="A229" s="14">
        <v>44629</v>
      </c>
      <c r="B229" s="5">
        <v>8</v>
      </c>
      <c r="C229" s="32">
        <f>VLOOKUP(B229,'area in m2'!B$2:C$10,2,FALSE)</f>
        <v>142</v>
      </c>
      <c r="D229" s="5" t="s">
        <v>11</v>
      </c>
      <c r="E229" s="6">
        <v>517.11902813722099</v>
      </c>
      <c r="F229" s="33" t="str">
        <f t="shared" si="6"/>
        <v>Below 530</v>
      </c>
      <c r="G229" s="33">
        <f t="shared" si="7"/>
        <v>542.97497954408209</v>
      </c>
      <c r="H229" s="7">
        <v>0</v>
      </c>
      <c r="I229" s="5" t="s">
        <v>14</v>
      </c>
      <c r="J229" s="5">
        <v>31</v>
      </c>
      <c r="K229" s="2"/>
      <c r="L229" s="2"/>
      <c r="M229" s="1"/>
    </row>
    <row r="230" spans="1:13" ht="14.4" x14ac:dyDescent="0.3">
      <c r="A230" s="14">
        <v>44803</v>
      </c>
      <c r="B230" s="5">
        <v>4</v>
      </c>
      <c r="C230" s="32">
        <f>VLOOKUP(B230,'area in m2'!B$2:C$10,2,FALSE)</f>
        <v>188</v>
      </c>
      <c r="D230" s="5" t="s">
        <v>11</v>
      </c>
      <c r="E230" s="6">
        <v>508.15989414226624</v>
      </c>
      <c r="F230" s="33" t="str">
        <f t="shared" si="6"/>
        <v>Below 530</v>
      </c>
      <c r="G230" s="33">
        <f t="shared" si="7"/>
        <v>533.56788884937953</v>
      </c>
      <c r="H230" s="7">
        <v>0</v>
      </c>
      <c r="I230" s="5" t="s">
        <v>15</v>
      </c>
      <c r="J230" s="5">
        <v>44</v>
      </c>
      <c r="K230" s="2"/>
      <c r="L230" s="2"/>
      <c r="M230" s="1"/>
    </row>
    <row r="231" spans="1:13" ht="14.4" x14ac:dyDescent="0.3">
      <c r="A231" s="14">
        <v>44791</v>
      </c>
      <c r="B231" s="5">
        <v>4</v>
      </c>
      <c r="C231" s="32">
        <f>VLOOKUP(B231,'area in m2'!B$2:C$10,2,FALSE)</f>
        <v>188</v>
      </c>
      <c r="D231" s="5" t="s">
        <v>11</v>
      </c>
      <c r="E231" s="6">
        <v>505.44217183678666</v>
      </c>
      <c r="F231" s="33" t="str">
        <f t="shared" si="6"/>
        <v>Below 530</v>
      </c>
      <c r="G231" s="33">
        <f t="shared" si="7"/>
        <v>530.71428042862601</v>
      </c>
      <c r="H231" s="7">
        <v>0.02</v>
      </c>
      <c r="I231" s="5" t="s">
        <v>14</v>
      </c>
      <c r="J231" s="5">
        <v>42</v>
      </c>
      <c r="K231" s="2"/>
      <c r="L231" s="2"/>
      <c r="M231" s="1"/>
    </row>
    <row r="232" spans="1:13" ht="14.4" x14ac:dyDescent="0.3">
      <c r="A232" s="14">
        <v>44742</v>
      </c>
      <c r="B232" s="5">
        <v>6</v>
      </c>
      <c r="C232" s="32">
        <f>VLOOKUP(B232,'area in m2'!B$2:C$10,2,FALSE)</f>
        <v>175</v>
      </c>
      <c r="D232" s="5" t="s">
        <v>13</v>
      </c>
      <c r="E232" s="6">
        <v>542.49435609749435</v>
      </c>
      <c r="F232" s="33" t="str">
        <f t="shared" si="6"/>
        <v>Over 530</v>
      </c>
      <c r="G232" s="33">
        <f t="shared" si="7"/>
        <v>569.61907390236911</v>
      </c>
      <c r="H232" s="7">
        <v>0</v>
      </c>
      <c r="I232" s="5" t="s">
        <v>14</v>
      </c>
      <c r="J232" s="5">
        <v>23</v>
      </c>
      <c r="K232" s="2"/>
      <c r="L232" s="2"/>
      <c r="M232" s="1"/>
    </row>
    <row r="233" spans="1:13" ht="14.4" x14ac:dyDescent="0.3">
      <c r="A233" s="14">
        <v>44779</v>
      </c>
      <c r="B233" s="5">
        <v>5</v>
      </c>
      <c r="C233" s="32">
        <f>VLOOKUP(B233,'area in m2'!B$2:C$10,2,FALSE)</f>
        <v>200</v>
      </c>
      <c r="D233" s="5" t="s">
        <v>13</v>
      </c>
      <c r="E233" s="6">
        <v>550.23</v>
      </c>
      <c r="F233" s="33" t="str">
        <f t="shared" si="6"/>
        <v>Over 530</v>
      </c>
      <c r="G233" s="33">
        <f t="shared" si="7"/>
        <v>577.74150000000009</v>
      </c>
      <c r="H233" s="7">
        <v>0.01</v>
      </c>
      <c r="I233" s="5" t="s">
        <v>15</v>
      </c>
      <c r="J233" s="5">
        <v>64</v>
      </c>
      <c r="K233" s="2"/>
      <c r="L233" s="2"/>
      <c r="M233" s="1"/>
    </row>
    <row r="234" spans="1:13" ht="14.4" x14ac:dyDescent="0.3">
      <c r="A234" s="14">
        <v>44661</v>
      </c>
      <c r="B234" s="5">
        <v>5</v>
      </c>
      <c r="C234" s="32">
        <f>VLOOKUP(B234,'area in m2'!B$2:C$10,2,FALSE)</f>
        <v>200</v>
      </c>
      <c r="D234" s="5" t="s">
        <v>13</v>
      </c>
      <c r="E234" s="6">
        <v>532.76397884828566</v>
      </c>
      <c r="F234" s="33" t="str">
        <f t="shared" si="6"/>
        <v>Over 530</v>
      </c>
      <c r="G234" s="33">
        <f t="shared" si="7"/>
        <v>559.40217779069997</v>
      </c>
      <c r="H234" s="7">
        <v>0</v>
      </c>
      <c r="I234" s="5" t="s">
        <v>14</v>
      </c>
      <c r="J234" s="5">
        <v>28</v>
      </c>
      <c r="K234" s="2"/>
      <c r="L234" s="2"/>
      <c r="M234" s="1"/>
    </row>
    <row r="235" spans="1:13" ht="14.4" x14ac:dyDescent="0.3">
      <c r="A235" s="14">
        <v>44649</v>
      </c>
      <c r="B235" s="5">
        <v>5</v>
      </c>
      <c r="C235" s="32">
        <f>VLOOKUP(B235,'area in m2'!B$2:C$10,2,FALSE)</f>
        <v>200</v>
      </c>
      <c r="D235" s="5" t="s">
        <v>13</v>
      </c>
      <c r="E235" s="6">
        <v>532.43527330044981</v>
      </c>
      <c r="F235" s="33" t="str">
        <f t="shared" si="6"/>
        <v>Over 530</v>
      </c>
      <c r="G235" s="33">
        <f t="shared" si="7"/>
        <v>559.05703696547232</v>
      </c>
      <c r="H235" s="7">
        <v>0.01</v>
      </c>
      <c r="I235" s="5" t="s">
        <v>14</v>
      </c>
      <c r="J235" s="5">
        <v>48</v>
      </c>
      <c r="K235" s="2"/>
      <c r="L235" s="2"/>
      <c r="M235" s="1"/>
    </row>
    <row r="236" spans="1:13" ht="14.4" x14ac:dyDescent="0.3">
      <c r="A236" s="14">
        <v>44733</v>
      </c>
      <c r="B236" s="5">
        <v>5</v>
      </c>
      <c r="C236" s="32">
        <f>VLOOKUP(B236,'area in m2'!B$2:C$10,2,FALSE)</f>
        <v>200</v>
      </c>
      <c r="D236" s="5" t="s">
        <v>13</v>
      </c>
      <c r="E236" s="6">
        <v>542.26604769616461</v>
      </c>
      <c r="F236" s="33" t="str">
        <f t="shared" si="6"/>
        <v>Over 530</v>
      </c>
      <c r="G236" s="33">
        <f t="shared" si="7"/>
        <v>569.37935008097281</v>
      </c>
      <c r="H236" s="7">
        <v>0.02</v>
      </c>
      <c r="I236" s="5" t="s">
        <v>14</v>
      </c>
      <c r="J236" s="5">
        <v>30</v>
      </c>
      <c r="K236" s="2"/>
      <c r="L236" s="2"/>
      <c r="M236" s="1"/>
    </row>
    <row r="237" spans="1:13" ht="14.4" x14ac:dyDescent="0.3">
      <c r="A237" s="14">
        <v>44895</v>
      </c>
      <c r="B237" s="5">
        <v>5</v>
      </c>
      <c r="C237" s="32">
        <f>VLOOKUP(B237,'area in m2'!B$2:C$10,2,FALSE)</f>
        <v>200</v>
      </c>
      <c r="D237" s="5" t="s">
        <v>13</v>
      </c>
      <c r="E237" s="6">
        <v>541.52762335613534</v>
      </c>
      <c r="F237" s="33" t="str">
        <f t="shared" si="6"/>
        <v>Over 530</v>
      </c>
      <c r="G237" s="33">
        <f t="shared" si="7"/>
        <v>568.60400452394208</v>
      </c>
      <c r="H237" s="7">
        <v>0.01</v>
      </c>
      <c r="I237" s="5" t="s">
        <v>15</v>
      </c>
      <c r="J237" s="5">
        <v>30</v>
      </c>
      <c r="K237" s="2"/>
      <c r="L237" s="2"/>
      <c r="M237" s="1"/>
    </row>
    <row r="238" spans="1:13" ht="14.4" x14ac:dyDescent="0.3">
      <c r="A238" s="14">
        <v>44789</v>
      </c>
      <c r="B238" s="5">
        <v>3</v>
      </c>
      <c r="C238" s="32">
        <f>VLOOKUP(B238,'area in m2'!B$2:C$10,2,FALSE)</f>
        <v>195</v>
      </c>
      <c r="D238" s="5" t="s">
        <v>11</v>
      </c>
      <c r="E238" s="6">
        <v>540.49455792741446</v>
      </c>
      <c r="F238" s="33" t="str">
        <f t="shared" si="6"/>
        <v>Over 530</v>
      </c>
      <c r="G238" s="33">
        <f t="shared" si="7"/>
        <v>567.51928582378525</v>
      </c>
      <c r="H238" s="7">
        <v>0.02</v>
      </c>
      <c r="I238" s="5" t="s">
        <v>14</v>
      </c>
      <c r="J238" s="5">
        <v>44</v>
      </c>
      <c r="K238" s="2"/>
      <c r="L238" s="2"/>
      <c r="M238" s="1"/>
    </row>
    <row r="239" spans="1:13" ht="14.4" x14ac:dyDescent="0.3">
      <c r="A239" s="14">
        <v>44718</v>
      </c>
      <c r="B239" s="5">
        <v>7</v>
      </c>
      <c r="C239" s="32">
        <f>VLOOKUP(B239,'area in m2'!B$2:C$10,2,FALSE)</f>
        <v>166</v>
      </c>
      <c r="D239" s="5" t="s">
        <v>12</v>
      </c>
      <c r="E239" s="6">
        <v>541.5900391176574</v>
      </c>
      <c r="F239" s="33" t="str">
        <f t="shared" si="6"/>
        <v>Over 530</v>
      </c>
      <c r="G239" s="33">
        <f t="shared" si="7"/>
        <v>568.66954107354024</v>
      </c>
      <c r="H239" s="7">
        <v>0</v>
      </c>
      <c r="I239" s="5" t="s">
        <v>14</v>
      </c>
      <c r="J239" s="5">
        <v>25</v>
      </c>
      <c r="K239" s="2"/>
      <c r="L239" s="2"/>
      <c r="M239" s="1"/>
    </row>
    <row r="240" spans="1:13" ht="14.4" x14ac:dyDescent="0.3">
      <c r="A240" s="14">
        <v>44821</v>
      </c>
      <c r="B240" s="5">
        <v>6</v>
      </c>
      <c r="C240" s="32">
        <f>VLOOKUP(B240,'area in m2'!B$2:C$10,2,FALSE)</f>
        <v>175</v>
      </c>
      <c r="D240" s="5" t="s">
        <v>13</v>
      </c>
      <c r="E240" s="6">
        <v>517.46488182997018</v>
      </c>
      <c r="F240" s="33" t="str">
        <f t="shared" si="6"/>
        <v>Below 530</v>
      </c>
      <c r="G240" s="33">
        <f t="shared" si="7"/>
        <v>543.33812592146876</v>
      </c>
      <c r="H240" s="7">
        <v>0.01</v>
      </c>
      <c r="I240" s="5" t="s">
        <v>14</v>
      </c>
      <c r="J240" s="5">
        <v>43</v>
      </c>
      <c r="K240" s="2"/>
      <c r="L240" s="2"/>
      <c r="M240" s="1"/>
    </row>
    <row r="241" spans="1:13" ht="14.4" x14ac:dyDescent="0.3">
      <c r="A241" s="14">
        <v>44602</v>
      </c>
      <c r="B241" s="5">
        <v>7</v>
      </c>
      <c r="C241" s="32">
        <f>VLOOKUP(B241,'area in m2'!B$2:C$10,2,FALSE)</f>
        <v>166</v>
      </c>
      <c r="D241" s="5" t="s">
        <v>12</v>
      </c>
      <c r="E241" s="6">
        <v>511.98876327464859</v>
      </c>
      <c r="F241" s="33" t="str">
        <f t="shared" si="6"/>
        <v>Below 530</v>
      </c>
      <c r="G241" s="33">
        <f t="shared" si="7"/>
        <v>537.58820143838102</v>
      </c>
      <c r="H241" s="7">
        <v>0.02</v>
      </c>
      <c r="I241" s="5" t="s">
        <v>14</v>
      </c>
      <c r="J241" s="5">
        <v>49</v>
      </c>
      <c r="K241" s="2"/>
      <c r="L241" s="2"/>
      <c r="M241" s="1"/>
    </row>
    <row r="242" spans="1:13" ht="14.4" x14ac:dyDescent="0.3">
      <c r="A242" s="14">
        <v>44812</v>
      </c>
      <c r="B242" s="5">
        <v>2</v>
      </c>
      <c r="C242" s="32">
        <f>VLOOKUP(B242,'area in m2'!B$2:C$10,2,FALSE)</f>
        <v>250</v>
      </c>
      <c r="D242" s="5" t="s">
        <v>11</v>
      </c>
      <c r="E242" s="6">
        <v>520.96082265963742</v>
      </c>
      <c r="F242" s="33" t="str">
        <f t="shared" si="6"/>
        <v>Below 530</v>
      </c>
      <c r="G242" s="33">
        <f t="shared" si="7"/>
        <v>547.00886379261931</v>
      </c>
      <c r="H242" s="7">
        <v>0.01</v>
      </c>
      <c r="I242" s="5" t="s">
        <v>14</v>
      </c>
      <c r="J242" s="5">
        <v>48</v>
      </c>
      <c r="K242" s="2"/>
      <c r="L242" s="2"/>
      <c r="M242" s="1"/>
    </row>
    <row r="243" spans="1:13" ht="14.4" x14ac:dyDescent="0.3">
      <c r="A243" s="14">
        <v>44578</v>
      </c>
      <c r="B243" s="5">
        <v>2</v>
      </c>
      <c r="C243" s="32">
        <f>VLOOKUP(B243,'area in m2'!B$2:C$10,2,FALSE)</f>
        <v>250</v>
      </c>
      <c r="D243" s="5" t="s">
        <v>11</v>
      </c>
      <c r="E243" s="6">
        <v>510.83178607507671</v>
      </c>
      <c r="F243" s="33" t="str">
        <f t="shared" si="6"/>
        <v>Below 530</v>
      </c>
      <c r="G243" s="33">
        <f t="shared" si="7"/>
        <v>536.37337537883059</v>
      </c>
      <c r="H243" s="7">
        <v>0</v>
      </c>
      <c r="I243" s="5" t="s">
        <v>14</v>
      </c>
      <c r="J243" s="5">
        <v>47</v>
      </c>
      <c r="K243" s="2"/>
      <c r="L243" s="2"/>
      <c r="M243" s="1"/>
    </row>
    <row r="244" spans="1:13" ht="14.4" x14ac:dyDescent="0.3">
      <c r="A244" s="14">
        <v>44896</v>
      </c>
      <c r="B244" s="5">
        <v>6</v>
      </c>
      <c r="C244" s="32">
        <f>VLOOKUP(B244,'area in m2'!B$2:C$10,2,FALSE)</f>
        <v>175</v>
      </c>
      <c r="D244" s="5" t="s">
        <v>13</v>
      </c>
      <c r="E244" s="6">
        <v>537.98862327779898</v>
      </c>
      <c r="F244" s="33" t="str">
        <f t="shared" si="6"/>
        <v>Over 530</v>
      </c>
      <c r="G244" s="33">
        <f t="shared" si="7"/>
        <v>564.88805444168895</v>
      </c>
      <c r="H244" s="7">
        <v>0.01</v>
      </c>
      <c r="I244" s="5" t="s">
        <v>14</v>
      </c>
      <c r="J244" s="5">
        <v>29</v>
      </c>
      <c r="K244" s="2"/>
      <c r="L244" s="2"/>
      <c r="M244" s="1"/>
    </row>
    <row r="245" spans="1:13" ht="14.4" x14ac:dyDescent="0.3">
      <c r="A245" s="14">
        <v>44690</v>
      </c>
      <c r="B245" s="5">
        <v>9</v>
      </c>
      <c r="C245" s="32">
        <f>VLOOKUP(B245,'area in m2'!B$2:C$10,2,FALSE)</f>
        <v>140</v>
      </c>
      <c r="D245" s="5" t="s">
        <v>12</v>
      </c>
      <c r="E245" s="6">
        <v>524.38743760775651</v>
      </c>
      <c r="F245" s="33" t="str">
        <f t="shared" si="6"/>
        <v>Below 530</v>
      </c>
      <c r="G245" s="33">
        <f t="shared" si="7"/>
        <v>550.60680948814434</v>
      </c>
      <c r="H245" s="7">
        <v>0.01</v>
      </c>
      <c r="I245" s="5" t="s">
        <v>14</v>
      </c>
      <c r="J245" s="5">
        <v>25</v>
      </c>
      <c r="K245" s="2"/>
      <c r="L245" s="2"/>
      <c r="M245" s="1"/>
    </row>
    <row r="246" spans="1:13" ht="14.4" x14ac:dyDescent="0.3">
      <c r="A246" s="14">
        <v>44601</v>
      </c>
      <c r="B246" s="5">
        <v>6</v>
      </c>
      <c r="C246" s="32">
        <f>VLOOKUP(B246,'area in m2'!B$2:C$10,2,FALSE)</f>
        <v>175</v>
      </c>
      <c r="D246" s="5" t="s">
        <v>13</v>
      </c>
      <c r="E246" s="6">
        <v>531.47817870648214</v>
      </c>
      <c r="F246" s="33" t="str">
        <f t="shared" si="6"/>
        <v>Over 530</v>
      </c>
      <c r="G246" s="33">
        <f t="shared" si="7"/>
        <v>558.05208764180622</v>
      </c>
      <c r="H246" s="7">
        <v>0.03</v>
      </c>
      <c r="I246" s="5" t="s">
        <v>14</v>
      </c>
      <c r="J246" s="5">
        <v>28</v>
      </c>
      <c r="K246" s="2"/>
      <c r="L246" s="2"/>
      <c r="M246" s="1"/>
    </row>
    <row r="247" spans="1:13" ht="14.4" x14ac:dyDescent="0.3">
      <c r="A247" s="14">
        <v>44814</v>
      </c>
      <c r="B247" s="5">
        <v>4</v>
      </c>
      <c r="C247" s="32">
        <f>VLOOKUP(B247,'area in m2'!B$2:C$10,2,FALSE)</f>
        <v>188</v>
      </c>
      <c r="D247" s="5" t="s">
        <v>11</v>
      </c>
      <c r="E247" s="6">
        <v>536.48556998539152</v>
      </c>
      <c r="F247" s="33" t="str">
        <f t="shared" si="6"/>
        <v>Over 530</v>
      </c>
      <c r="G247" s="33">
        <f t="shared" si="7"/>
        <v>563.30984848466107</v>
      </c>
      <c r="H247" s="7">
        <v>0</v>
      </c>
      <c r="I247" s="5" t="s">
        <v>14</v>
      </c>
      <c r="J247" s="5">
        <v>29</v>
      </c>
      <c r="K247" s="2"/>
      <c r="L247" s="2"/>
      <c r="M247" s="1"/>
    </row>
    <row r="248" spans="1:13" ht="14.4" x14ac:dyDescent="0.3">
      <c r="A248" s="14">
        <v>44628</v>
      </c>
      <c r="B248" s="5">
        <v>6</v>
      </c>
      <c r="C248" s="32">
        <f>VLOOKUP(B248,'area in m2'!B$2:C$10,2,FALSE)</f>
        <v>175</v>
      </c>
      <c r="D248" s="5" t="s">
        <v>13</v>
      </c>
      <c r="E248" s="6">
        <v>508.09942084920567</v>
      </c>
      <c r="F248" s="33" t="str">
        <f t="shared" si="6"/>
        <v>Below 530</v>
      </c>
      <c r="G248" s="33">
        <f t="shared" si="7"/>
        <v>533.50439189166593</v>
      </c>
      <c r="H248" s="7">
        <v>0.01</v>
      </c>
      <c r="I248" s="5" t="s">
        <v>15</v>
      </c>
      <c r="J248" s="5">
        <v>42</v>
      </c>
      <c r="K248" s="2"/>
      <c r="L248" s="2"/>
      <c r="M248" s="1"/>
    </row>
    <row r="249" spans="1:13" ht="14.4" x14ac:dyDescent="0.3">
      <c r="A249" s="14">
        <v>44765</v>
      </c>
      <c r="B249" s="5">
        <v>5</v>
      </c>
      <c r="C249" s="32">
        <f>VLOOKUP(B249,'area in m2'!B$2:C$10,2,FALSE)</f>
        <v>200</v>
      </c>
      <c r="D249" s="5" t="s">
        <v>13</v>
      </c>
      <c r="E249" s="6">
        <v>546.81908470129565</v>
      </c>
      <c r="F249" s="33" t="str">
        <f t="shared" si="6"/>
        <v>Over 530</v>
      </c>
      <c r="G249" s="33">
        <f t="shared" si="7"/>
        <v>574.16003893636048</v>
      </c>
      <c r="H249" s="7">
        <v>0</v>
      </c>
      <c r="I249" s="5" t="s">
        <v>14</v>
      </c>
      <c r="J249" s="5">
        <v>34</v>
      </c>
      <c r="K249" s="2"/>
      <c r="L249" s="2"/>
      <c r="M249" s="1"/>
    </row>
    <row r="250" spans="1:13" ht="14.4" x14ac:dyDescent="0.3">
      <c r="A250" s="14">
        <v>44719</v>
      </c>
      <c r="B250" s="5">
        <v>1</v>
      </c>
      <c r="C250" s="32">
        <f>VLOOKUP(B250,'area in m2'!B$2:C$10,2,FALSE)</f>
        <v>280</v>
      </c>
      <c r="D250" s="5" t="s">
        <v>11</v>
      </c>
      <c r="E250" s="6">
        <v>541.50450686451677</v>
      </c>
      <c r="F250" s="33" t="str">
        <f t="shared" si="6"/>
        <v>Over 530</v>
      </c>
      <c r="G250" s="33">
        <f t="shared" si="7"/>
        <v>568.57973220774261</v>
      </c>
      <c r="H250" s="7">
        <v>0.03</v>
      </c>
      <c r="I250" s="5" t="s">
        <v>14</v>
      </c>
      <c r="J250" s="5">
        <v>22</v>
      </c>
      <c r="K250" s="2"/>
      <c r="L250" s="2"/>
      <c r="M250" s="1"/>
    </row>
    <row r="251" spans="1:13" ht="14.4" x14ac:dyDescent="0.3">
      <c r="A251" s="14">
        <v>44706</v>
      </c>
      <c r="B251" s="5">
        <v>7</v>
      </c>
      <c r="C251" s="32">
        <f>VLOOKUP(B251,'area in m2'!B$2:C$10,2,FALSE)</f>
        <v>166</v>
      </c>
      <c r="D251" s="5" t="s">
        <v>12</v>
      </c>
      <c r="E251" s="6">
        <v>527.01931713743852</v>
      </c>
      <c r="F251" s="33" t="str">
        <f t="shared" si="6"/>
        <v>Below 530</v>
      </c>
      <c r="G251" s="33">
        <f t="shared" si="7"/>
        <v>553.37028299431051</v>
      </c>
      <c r="H251" s="7">
        <v>0.03</v>
      </c>
      <c r="I251" s="5" t="s">
        <v>14</v>
      </c>
      <c r="J251" s="5">
        <v>29</v>
      </c>
      <c r="K251" s="2"/>
      <c r="L251" s="2"/>
      <c r="M251" s="1"/>
    </row>
    <row r="252" spans="1:13" ht="14.4" x14ac:dyDescent="0.3">
      <c r="A252" s="14">
        <v>44755</v>
      </c>
      <c r="B252" s="5">
        <v>8</v>
      </c>
      <c r="C252" s="32">
        <f>VLOOKUP(B252,'area in m2'!B$2:C$10,2,FALSE)</f>
        <v>142</v>
      </c>
      <c r="D252" s="5" t="s">
        <v>12</v>
      </c>
      <c r="E252" s="6">
        <v>501.23996354684095</v>
      </c>
      <c r="F252" s="33" t="str">
        <f t="shared" si="6"/>
        <v>Below 530</v>
      </c>
      <c r="G252" s="33">
        <f t="shared" si="7"/>
        <v>526.301961724183</v>
      </c>
      <c r="H252" s="7">
        <v>0.02</v>
      </c>
      <c r="I252" s="5" t="s">
        <v>15</v>
      </c>
      <c r="J252" s="5">
        <v>64</v>
      </c>
      <c r="K252" s="2"/>
      <c r="L252" s="2"/>
      <c r="M252" s="1"/>
    </row>
    <row r="253" spans="1:13" ht="14.4" x14ac:dyDescent="0.3">
      <c r="A253" s="14">
        <v>44847</v>
      </c>
      <c r="B253" s="5">
        <v>2</v>
      </c>
      <c r="C253" s="32">
        <f>VLOOKUP(B253,'area in m2'!B$2:C$10,2,FALSE)</f>
        <v>250</v>
      </c>
      <c r="D253" s="5" t="s">
        <v>11</v>
      </c>
      <c r="E253" s="6">
        <v>549.43682286516196</v>
      </c>
      <c r="F253" s="33" t="str">
        <f t="shared" si="6"/>
        <v>Over 530</v>
      </c>
      <c r="G253" s="33">
        <f t="shared" si="7"/>
        <v>576.90866400842003</v>
      </c>
      <c r="H253" s="7">
        <v>0.01</v>
      </c>
      <c r="I253" s="5" t="s">
        <v>14</v>
      </c>
      <c r="J253" s="5">
        <v>45</v>
      </c>
      <c r="K253" s="2"/>
      <c r="L253" s="2"/>
      <c r="M253" s="1"/>
    </row>
    <row r="254" spans="1:13" ht="14.4" x14ac:dyDescent="0.3">
      <c r="A254" s="14">
        <v>44728</v>
      </c>
      <c r="B254" s="5">
        <v>8</v>
      </c>
      <c r="C254" s="32">
        <f>VLOOKUP(B254,'area in m2'!B$2:C$10,2,FALSE)</f>
        <v>142</v>
      </c>
      <c r="D254" s="5" t="s">
        <v>12</v>
      </c>
      <c r="E254" s="6">
        <v>541.08979862472006</v>
      </c>
      <c r="F254" s="33" t="str">
        <f t="shared" si="6"/>
        <v>Over 530</v>
      </c>
      <c r="G254" s="33">
        <f t="shared" si="7"/>
        <v>568.14428855595611</v>
      </c>
      <c r="H254" s="7">
        <v>0.02</v>
      </c>
      <c r="I254" s="5" t="s">
        <v>14</v>
      </c>
      <c r="J254" s="5">
        <v>45</v>
      </c>
      <c r="K254" s="2"/>
      <c r="L254" s="2"/>
      <c r="M254" s="1"/>
    </row>
    <row r="255" spans="1:13" ht="14.4" x14ac:dyDescent="0.3">
      <c r="A255" s="14">
        <v>44917</v>
      </c>
      <c r="B255" s="5">
        <v>7</v>
      </c>
      <c r="C255" s="32">
        <f>VLOOKUP(B255,'area in m2'!B$2:C$10,2,FALSE)</f>
        <v>166</v>
      </c>
      <c r="D255" s="5" t="s">
        <v>12</v>
      </c>
      <c r="E255" s="6">
        <v>513.24097664399505</v>
      </c>
      <c r="F255" s="33" t="str">
        <f t="shared" si="6"/>
        <v>Below 530</v>
      </c>
      <c r="G255" s="33">
        <f t="shared" si="7"/>
        <v>538.90302547619478</v>
      </c>
      <c r="H255" s="7">
        <v>0.01</v>
      </c>
      <c r="I255" s="5" t="s">
        <v>15</v>
      </c>
      <c r="J255" s="5">
        <v>33</v>
      </c>
      <c r="K255" s="2"/>
      <c r="L255" s="2"/>
      <c r="M255" s="1"/>
    </row>
    <row r="256" spans="1:13" ht="14.4" x14ac:dyDescent="0.3">
      <c r="A256" s="14">
        <v>44838</v>
      </c>
      <c r="B256" s="5">
        <v>9</v>
      </c>
      <c r="C256" s="32">
        <f>VLOOKUP(B256,'area in m2'!B$2:C$10,2,FALSE)</f>
        <v>140</v>
      </c>
      <c r="D256" s="5" t="s">
        <v>12</v>
      </c>
      <c r="E256" s="6">
        <v>543.9221578360557</v>
      </c>
      <c r="F256" s="33" t="str">
        <f t="shared" si="6"/>
        <v>Over 530</v>
      </c>
      <c r="G256" s="33">
        <f t="shared" si="7"/>
        <v>571.11826572785856</v>
      </c>
      <c r="H256" s="7">
        <v>0</v>
      </c>
      <c r="I256" s="5" t="s">
        <v>14</v>
      </c>
      <c r="J256" s="5">
        <v>31</v>
      </c>
      <c r="K256" s="2"/>
      <c r="L256" s="2"/>
      <c r="M256" s="1"/>
    </row>
    <row r="257" spans="1:13" ht="14.4" x14ac:dyDescent="0.3">
      <c r="A257" s="14">
        <v>44883</v>
      </c>
      <c r="B257" s="5">
        <v>9</v>
      </c>
      <c r="C257" s="32">
        <f>VLOOKUP(B257,'area in m2'!B$2:C$10,2,FALSE)</f>
        <v>140</v>
      </c>
      <c r="D257" s="5" t="s">
        <v>12</v>
      </c>
      <c r="E257" s="6">
        <v>504.321483738604</v>
      </c>
      <c r="F257" s="33" t="str">
        <f t="shared" si="6"/>
        <v>Below 530</v>
      </c>
      <c r="G257" s="33">
        <f t="shared" si="7"/>
        <v>529.5375579255342</v>
      </c>
      <c r="H257" s="7">
        <v>0.03</v>
      </c>
      <c r="I257" s="5" t="s">
        <v>14</v>
      </c>
      <c r="J257" s="5">
        <v>23</v>
      </c>
      <c r="K257" s="2"/>
      <c r="L257" s="2"/>
      <c r="M257" s="1"/>
    </row>
    <row r="258" spans="1:13" ht="14.4" x14ac:dyDescent="0.3">
      <c r="A258" s="14">
        <v>44794</v>
      </c>
      <c r="B258" s="5">
        <v>7</v>
      </c>
      <c r="C258" s="32">
        <f>VLOOKUP(B258,'area in m2'!B$2:C$10,2,FALSE)</f>
        <v>166</v>
      </c>
      <c r="D258" s="5" t="s">
        <v>12</v>
      </c>
      <c r="E258" s="6">
        <v>508.43023272298797</v>
      </c>
      <c r="F258" s="33" t="str">
        <f t="shared" si="6"/>
        <v>Below 530</v>
      </c>
      <c r="G258" s="33">
        <f t="shared" si="7"/>
        <v>533.85174435913734</v>
      </c>
      <c r="H258" s="7">
        <v>0.03</v>
      </c>
      <c r="I258" s="5" t="s">
        <v>14</v>
      </c>
      <c r="J258" s="5">
        <v>33</v>
      </c>
      <c r="K258" s="2"/>
      <c r="L258" s="2"/>
      <c r="M258" s="1"/>
    </row>
    <row r="259" spans="1:13" ht="14.4" x14ac:dyDescent="0.3">
      <c r="A259" s="14">
        <v>44821</v>
      </c>
      <c r="B259" s="5">
        <v>2</v>
      </c>
      <c r="C259" s="32">
        <f>VLOOKUP(B259,'area in m2'!B$2:C$10,2,FALSE)</f>
        <v>250</v>
      </c>
      <c r="D259" s="5" t="s">
        <v>11</v>
      </c>
      <c r="E259" s="6">
        <v>501.8724358576319</v>
      </c>
      <c r="F259" s="33" t="str">
        <f t="shared" si="6"/>
        <v>Below 530</v>
      </c>
      <c r="G259" s="33">
        <f t="shared" si="7"/>
        <v>526.96605765051356</v>
      </c>
      <c r="H259" s="7">
        <v>0.03</v>
      </c>
      <c r="I259" s="5" t="s">
        <v>14</v>
      </c>
      <c r="J259" s="5">
        <v>49</v>
      </c>
      <c r="K259" s="2"/>
      <c r="L259" s="2"/>
      <c r="M259" s="1"/>
    </row>
    <row r="260" spans="1:13" ht="14.4" x14ac:dyDescent="0.3">
      <c r="A260" s="14">
        <v>44815</v>
      </c>
      <c r="B260" s="5">
        <v>6</v>
      </c>
      <c r="C260" s="32">
        <f>VLOOKUP(B260,'area in m2'!B$2:C$10,2,FALSE)</f>
        <v>175</v>
      </c>
      <c r="D260" s="5" t="s">
        <v>13</v>
      </c>
      <c r="E260" s="6">
        <v>539.52329145981366</v>
      </c>
      <c r="F260" s="33" t="str">
        <f t="shared" si="6"/>
        <v>Over 530</v>
      </c>
      <c r="G260" s="33">
        <f t="shared" si="7"/>
        <v>566.49945603280435</v>
      </c>
      <c r="H260" s="7">
        <v>0</v>
      </c>
      <c r="I260" s="5" t="s">
        <v>14</v>
      </c>
      <c r="J260" s="5">
        <v>42</v>
      </c>
      <c r="K260" s="2"/>
      <c r="L260" s="2"/>
      <c r="M260" s="1"/>
    </row>
    <row r="261" spans="1:13" ht="14.4" x14ac:dyDescent="0.3">
      <c r="A261" s="14">
        <v>44877</v>
      </c>
      <c r="B261" s="5">
        <v>6</v>
      </c>
      <c r="C261" s="32">
        <f>VLOOKUP(B261,'area in m2'!B$2:C$10,2,FALSE)</f>
        <v>175</v>
      </c>
      <c r="D261" s="5" t="s">
        <v>13</v>
      </c>
      <c r="E261" s="6">
        <v>521.74571116096104</v>
      </c>
      <c r="F261" s="33" t="str">
        <f t="shared" ref="F261:F324" si="8">IF(E261&gt;530,"Over 530","Below 530")</f>
        <v>Below 530</v>
      </c>
      <c r="G261" s="33">
        <f t="shared" ref="G261:G324" si="9">+E261*1.05</f>
        <v>547.83299671900909</v>
      </c>
      <c r="H261" s="7">
        <v>0.02</v>
      </c>
      <c r="I261" s="5" t="s">
        <v>14</v>
      </c>
      <c r="J261" s="5">
        <v>50</v>
      </c>
      <c r="K261" s="2"/>
      <c r="L261" s="2"/>
      <c r="M261" s="1"/>
    </row>
    <row r="262" spans="1:13" ht="14.4" x14ac:dyDescent="0.3">
      <c r="A262" s="14">
        <v>44709</v>
      </c>
      <c r="B262" s="5">
        <v>2</v>
      </c>
      <c r="C262" s="32">
        <f>VLOOKUP(B262,'area in m2'!B$2:C$10,2,FALSE)</f>
        <v>250</v>
      </c>
      <c r="D262" s="5" t="s">
        <v>11</v>
      </c>
      <c r="E262" s="6">
        <v>535.2876775418772</v>
      </c>
      <c r="F262" s="33" t="str">
        <f t="shared" si="8"/>
        <v>Over 530</v>
      </c>
      <c r="G262" s="33">
        <f t="shared" si="9"/>
        <v>562.05206141897111</v>
      </c>
      <c r="H262" s="7">
        <v>0.03</v>
      </c>
      <c r="I262" s="5" t="s">
        <v>14</v>
      </c>
      <c r="J262" s="5">
        <v>18</v>
      </c>
      <c r="K262" s="2"/>
      <c r="L262" s="2"/>
      <c r="M262" s="1"/>
    </row>
    <row r="263" spans="1:13" ht="14.4" x14ac:dyDescent="0.3">
      <c r="A263" s="14">
        <v>44850</v>
      </c>
      <c r="B263" s="5">
        <v>3</v>
      </c>
      <c r="C263" s="32">
        <f>VLOOKUP(B263,'area in m2'!B$2:C$10,2,FALSE)</f>
        <v>195</v>
      </c>
      <c r="D263" s="5" t="s">
        <v>11</v>
      </c>
      <c r="E263" s="6">
        <v>537.35157467136651</v>
      </c>
      <c r="F263" s="33" t="str">
        <f t="shared" si="8"/>
        <v>Over 530</v>
      </c>
      <c r="G263" s="33">
        <f t="shared" si="9"/>
        <v>564.2191534049349</v>
      </c>
      <c r="H263" s="7">
        <v>0.03</v>
      </c>
      <c r="I263" s="5" t="s">
        <v>14</v>
      </c>
      <c r="J263" s="5">
        <v>25</v>
      </c>
      <c r="K263" s="2"/>
      <c r="L263" s="2"/>
      <c r="M263" s="1"/>
    </row>
    <row r="264" spans="1:13" ht="14.4" x14ac:dyDescent="0.3">
      <c r="A264" s="14">
        <v>44858</v>
      </c>
      <c r="B264" s="5">
        <v>1</v>
      </c>
      <c r="C264" s="32">
        <f>VLOOKUP(B264,'area in m2'!B$2:C$10,2,FALSE)</f>
        <v>280</v>
      </c>
      <c r="D264" s="5" t="s">
        <v>11</v>
      </c>
      <c r="E264" s="6">
        <v>542.47877150205386</v>
      </c>
      <c r="F264" s="33" t="str">
        <f t="shared" si="8"/>
        <v>Over 530</v>
      </c>
      <c r="G264" s="33">
        <f t="shared" si="9"/>
        <v>569.60271007715653</v>
      </c>
      <c r="H264" s="7">
        <v>0</v>
      </c>
      <c r="I264" s="5" t="s">
        <v>14</v>
      </c>
      <c r="J264" s="5">
        <v>42</v>
      </c>
      <c r="K264" s="2"/>
      <c r="L264" s="2"/>
      <c r="M264" s="1"/>
    </row>
    <row r="265" spans="1:13" ht="14.4" x14ac:dyDescent="0.3">
      <c r="A265" s="14">
        <v>44571</v>
      </c>
      <c r="B265" s="5">
        <v>6</v>
      </c>
      <c r="C265" s="32">
        <f>VLOOKUP(B265,'area in m2'!B$2:C$10,2,FALSE)</f>
        <v>175</v>
      </c>
      <c r="D265" s="5" t="s">
        <v>13</v>
      </c>
      <c r="E265" s="6">
        <v>520.26989989154208</v>
      </c>
      <c r="F265" s="33" t="str">
        <f t="shared" si="8"/>
        <v>Below 530</v>
      </c>
      <c r="G265" s="33">
        <f t="shared" si="9"/>
        <v>546.28339488611925</v>
      </c>
      <c r="H265" s="7">
        <v>0.02</v>
      </c>
      <c r="I265" s="5" t="s">
        <v>14</v>
      </c>
      <c r="J265" s="5">
        <v>32</v>
      </c>
      <c r="K265" s="2"/>
      <c r="L265" s="2"/>
      <c r="M265" s="1"/>
    </row>
    <row r="266" spans="1:13" ht="14.4" x14ac:dyDescent="0.3">
      <c r="A266" s="14">
        <v>44815</v>
      </c>
      <c r="B266" s="5">
        <v>9</v>
      </c>
      <c r="C266" s="32">
        <f>VLOOKUP(B266,'area in m2'!B$2:C$10,2,FALSE)</f>
        <v>140</v>
      </c>
      <c r="D266" s="5" t="s">
        <v>12</v>
      </c>
      <c r="E266" s="6">
        <v>535.8131893091695</v>
      </c>
      <c r="F266" s="33" t="str">
        <f t="shared" si="8"/>
        <v>Over 530</v>
      </c>
      <c r="G266" s="33">
        <f t="shared" si="9"/>
        <v>562.60384877462798</v>
      </c>
      <c r="H266" s="7">
        <v>0.02</v>
      </c>
      <c r="I266" s="5" t="s">
        <v>14</v>
      </c>
      <c r="J266" s="5">
        <v>36</v>
      </c>
      <c r="K266" s="2"/>
      <c r="L266" s="2"/>
      <c r="M266" s="1"/>
    </row>
    <row r="267" spans="1:13" ht="14.4" x14ac:dyDescent="0.3">
      <c r="A267" s="14">
        <v>44881</v>
      </c>
      <c r="B267" s="5">
        <v>3</v>
      </c>
      <c r="C267" s="32">
        <f>VLOOKUP(B267,'area in m2'!B$2:C$10,2,FALSE)</f>
        <v>195</v>
      </c>
      <c r="D267" s="5" t="s">
        <v>11</v>
      </c>
      <c r="E267" s="6">
        <v>503.4575728212003</v>
      </c>
      <c r="F267" s="33" t="str">
        <f t="shared" si="8"/>
        <v>Below 530</v>
      </c>
      <c r="G267" s="33">
        <f t="shared" si="9"/>
        <v>528.63045146226034</v>
      </c>
      <c r="H267" s="7">
        <v>0.01</v>
      </c>
      <c r="I267" s="5" t="s">
        <v>14</v>
      </c>
      <c r="J267" s="5">
        <v>41</v>
      </c>
      <c r="K267" s="2"/>
      <c r="L267" s="2"/>
      <c r="M267" s="1"/>
    </row>
    <row r="268" spans="1:13" ht="14.4" x14ac:dyDescent="0.3">
      <c r="A268" s="14">
        <v>44721</v>
      </c>
      <c r="B268" s="5">
        <v>8</v>
      </c>
      <c r="C268" s="32">
        <f>VLOOKUP(B268,'area in m2'!B$2:C$10,2,FALSE)</f>
        <v>142</v>
      </c>
      <c r="D268" s="5" t="s">
        <v>12</v>
      </c>
      <c r="E268" s="6">
        <v>536.18995849357998</v>
      </c>
      <c r="F268" s="33" t="str">
        <f t="shared" si="8"/>
        <v>Over 530</v>
      </c>
      <c r="G268" s="33">
        <f t="shared" si="9"/>
        <v>562.999456418259</v>
      </c>
      <c r="H268" s="7">
        <v>0.01</v>
      </c>
      <c r="I268" s="5" t="s">
        <v>14</v>
      </c>
      <c r="J268" s="5">
        <v>46</v>
      </c>
      <c r="K268" s="2"/>
      <c r="L268" s="2"/>
      <c r="M268" s="1"/>
    </row>
    <row r="269" spans="1:13" ht="14.4" x14ac:dyDescent="0.3">
      <c r="A269" s="14">
        <v>44716</v>
      </c>
      <c r="B269" s="5">
        <v>6</v>
      </c>
      <c r="C269" s="32">
        <f>VLOOKUP(B269,'area in m2'!B$2:C$10,2,FALSE)</f>
        <v>175</v>
      </c>
      <c r="D269" s="5" t="s">
        <v>13</v>
      </c>
      <c r="E269" s="6">
        <v>507.89616855035911</v>
      </c>
      <c r="F269" s="33" t="str">
        <f t="shared" si="8"/>
        <v>Below 530</v>
      </c>
      <c r="G269" s="33">
        <f t="shared" si="9"/>
        <v>533.29097697787711</v>
      </c>
      <c r="H269" s="7">
        <v>0.02</v>
      </c>
      <c r="I269" s="5" t="s">
        <v>14</v>
      </c>
      <c r="J269" s="5">
        <v>44</v>
      </c>
      <c r="K269" s="2"/>
      <c r="L269" s="2"/>
      <c r="M269" s="1"/>
    </row>
    <row r="270" spans="1:13" ht="14.4" x14ac:dyDescent="0.3">
      <c r="A270" s="14">
        <v>44797</v>
      </c>
      <c r="B270" s="5">
        <v>3</v>
      </c>
      <c r="C270" s="32">
        <f>VLOOKUP(B270,'area in m2'!B$2:C$10,2,FALSE)</f>
        <v>195</v>
      </c>
      <c r="D270" s="5" t="s">
        <v>11</v>
      </c>
      <c r="E270" s="6">
        <v>519.39591260276029</v>
      </c>
      <c r="F270" s="33" t="str">
        <f t="shared" si="8"/>
        <v>Below 530</v>
      </c>
      <c r="G270" s="33">
        <f t="shared" si="9"/>
        <v>545.36570823289833</v>
      </c>
      <c r="H270" s="7">
        <v>0.03</v>
      </c>
      <c r="I270" s="5" t="s">
        <v>14</v>
      </c>
      <c r="J270" s="5">
        <v>29</v>
      </c>
      <c r="K270" s="2"/>
      <c r="L270" s="2"/>
      <c r="M270" s="1"/>
    </row>
    <row r="271" spans="1:13" ht="14.4" x14ac:dyDescent="0.3">
      <c r="A271" s="14">
        <v>44593</v>
      </c>
      <c r="B271" s="5">
        <v>2</v>
      </c>
      <c r="C271" s="32">
        <f>VLOOKUP(B271,'area in m2'!B$2:C$10,2,FALSE)</f>
        <v>250</v>
      </c>
      <c r="D271" s="5" t="s">
        <v>11</v>
      </c>
      <c r="E271" s="6">
        <v>521.13984307412557</v>
      </c>
      <c r="F271" s="33" t="str">
        <f t="shared" si="8"/>
        <v>Below 530</v>
      </c>
      <c r="G271" s="33">
        <f t="shared" si="9"/>
        <v>547.19683522783191</v>
      </c>
      <c r="H271" s="7">
        <v>0.01</v>
      </c>
      <c r="I271" s="5" t="s">
        <v>14</v>
      </c>
      <c r="J271" s="5">
        <v>50</v>
      </c>
      <c r="K271" s="2"/>
      <c r="L271" s="2"/>
      <c r="M271" s="1"/>
    </row>
    <row r="272" spans="1:13" ht="14.4" x14ac:dyDescent="0.3">
      <c r="A272" s="14">
        <v>44732</v>
      </c>
      <c r="B272" s="5">
        <v>5</v>
      </c>
      <c r="C272" s="32">
        <f>VLOOKUP(B272,'area in m2'!B$2:C$10,2,FALSE)</f>
        <v>200</v>
      </c>
      <c r="D272" s="5" t="s">
        <v>13</v>
      </c>
      <c r="E272" s="6">
        <v>556.90072886906728</v>
      </c>
      <c r="F272" s="33" t="str">
        <f t="shared" si="8"/>
        <v>Over 530</v>
      </c>
      <c r="G272" s="33">
        <f t="shared" si="9"/>
        <v>584.74576531252069</v>
      </c>
      <c r="H272" s="7">
        <v>0.02</v>
      </c>
      <c r="I272" s="5" t="s">
        <v>14</v>
      </c>
      <c r="J272" s="5">
        <v>33</v>
      </c>
      <c r="K272" s="2"/>
      <c r="L272" s="2"/>
      <c r="M272" s="1"/>
    </row>
    <row r="273" spans="1:13" ht="14.4" x14ac:dyDescent="0.3">
      <c r="A273" s="14">
        <v>44902</v>
      </c>
      <c r="B273" s="5">
        <v>2</v>
      </c>
      <c r="C273" s="32">
        <f>VLOOKUP(B273,'area in m2'!B$2:C$10,2,FALSE)</f>
        <v>250</v>
      </c>
      <c r="D273" s="5" t="s">
        <v>11</v>
      </c>
      <c r="E273" s="6">
        <v>508.01238302323964</v>
      </c>
      <c r="F273" s="33" t="str">
        <f t="shared" si="8"/>
        <v>Below 530</v>
      </c>
      <c r="G273" s="33">
        <f t="shared" si="9"/>
        <v>533.41300217440164</v>
      </c>
      <c r="H273" s="7">
        <v>0.02</v>
      </c>
      <c r="I273" s="5" t="s">
        <v>14</v>
      </c>
      <c r="J273" s="5">
        <v>26</v>
      </c>
      <c r="K273" s="2"/>
      <c r="L273" s="2"/>
      <c r="M273" s="1"/>
    </row>
    <row r="274" spans="1:13" ht="14.4" x14ac:dyDescent="0.3">
      <c r="A274" s="14">
        <v>44792</v>
      </c>
      <c r="B274" s="5">
        <v>2</v>
      </c>
      <c r="C274" s="32">
        <f>VLOOKUP(B274,'area in m2'!B$2:C$10,2,FALSE)</f>
        <v>250</v>
      </c>
      <c r="D274" s="5" t="s">
        <v>11</v>
      </c>
      <c r="E274" s="6">
        <v>543.42778515860482</v>
      </c>
      <c r="F274" s="33" t="str">
        <f t="shared" si="8"/>
        <v>Over 530</v>
      </c>
      <c r="G274" s="33">
        <f t="shared" si="9"/>
        <v>570.59917441653511</v>
      </c>
      <c r="H274" s="7">
        <v>0.02</v>
      </c>
      <c r="I274" s="5" t="s">
        <v>15</v>
      </c>
      <c r="J274" s="5">
        <v>54</v>
      </c>
      <c r="K274" s="2"/>
      <c r="L274" s="2"/>
      <c r="M274" s="1"/>
    </row>
    <row r="275" spans="1:13" ht="14.4" x14ac:dyDescent="0.3">
      <c r="A275" s="14">
        <v>44823</v>
      </c>
      <c r="B275" s="5">
        <v>8</v>
      </c>
      <c r="C275" s="32">
        <f>VLOOKUP(B275,'area in m2'!B$2:C$10,2,FALSE)</f>
        <v>142</v>
      </c>
      <c r="D275" s="5" t="s">
        <v>12</v>
      </c>
      <c r="E275" s="6">
        <v>519.03434086122161</v>
      </c>
      <c r="F275" s="33" t="str">
        <f t="shared" si="8"/>
        <v>Below 530</v>
      </c>
      <c r="G275" s="33">
        <f t="shared" si="9"/>
        <v>544.98605790428269</v>
      </c>
      <c r="H275" s="7">
        <v>0</v>
      </c>
      <c r="I275" s="5" t="s">
        <v>14</v>
      </c>
      <c r="J275" s="5">
        <v>47</v>
      </c>
      <c r="K275" s="2"/>
      <c r="L275" s="2"/>
      <c r="M275" s="1"/>
    </row>
    <row r="276" spans="1:13" ht="14.4" x14ac:dyDescent="0.3">
      <c r="A276" s="14">
        <v>44726</v>
      </c>
      <c r="B276" s="5">
        <v>2</v>
      </c>
      <c r="C276" s="32">
        <f>VLOOKUP(B276,'area in m2'!B$2:C$10,2,FALSE)</f>
        <v>250</v>
      </c>
      <c r="D276" s="5" t="s">
        <v>11</v>
      </c>
      <c r="E276" s="6">
        <v>525.73768685651703</v>
      </c>
      <c r="F276" s="33" t="str">
        <f t="shared" si="8"/>
        <v>Below 530</v>
      </c>
      <c r="G276" s="33">
        <f t="shared" si="9"/>
        <v>552.02457119934286</v>
      </c>
      <c r="H276" s="7">
        <v>0</v>
      </c>
      <c r="I276" s="5" t="s">
        <v>14</v>
      </c>
      <c r="J276" s="5">
        <v>26</v>
      </c>
      <c r="K276" s="2"/>
      <c r="L276" s="2"/>
      <c r="M276" s="1"/>
    </row>
    <row r="277" spans="1:13" ht="14.4" x14ac:dyDescent="0.3">
      <c r="A277" s="14">
        <v>44750</v>
      </c>
      <c r="B277" s="5">
        <v>1</v>
      </c>
      <c r="C277" s="32">
        <f>VLOOKUP(B277,'area in m2'!B$2:C$10,2,FALSE)</f>
        <v>280</v>
      </c>
      <c r="D277" s="5" t="s">
        <v>11</v>
      </c>
      <c r="E277" s="6">
        <v>507.34385406000365</v>
      </c>
      <c r="F277" s="33" t="str">
        <f t="shared" si="8"/>
        <v>Below 530</v>
      </c>
      <c r="G277" s="33">
        <f t="shared" si="9"/>
        <v>532.71104676300388</v>
      </c>
      <c r="H277" s="7">
        <v>0.02</v>
      </c>
      <c r="I277" s="5" t="s">
        <v>14</v>
      </c>
      <c r="J277" s="5">
        <v>48</v>
      </c>
      <c r="K277" s="2"/>
      <c r="L277" s="2"/>
      <c r="M277" s="1"/>
    </row>
    <row r="278" spans="1:13" ht="14.4" x14ac:dyDescent="0.3">
      <c r="A278" s="14">
        <v>44690</v>
      </c>
      <c r="B278" s="5">
        <v>8</v>
      </c>
      <c r="C278" s="32">
        <f>VLOOKUP(B278,'area in m2'!B$2:C$10,2,FALSE)</f>
        <v>142</v>
      </c>
      <c r="D278" s="5" t="s">
        <v>11</v>
      </c>
      <c r="E278" s="6">
        <v>544.13790021056957</v>
      </c>
      <c r="F278" s="33" t="str">
        <f t="shared" si="8"/>
        <v>Over 530</v>
      </c>
      <c r="G278" s="33">
        <f t="shared" si="9"/>
        <v>571.34479522109802</v>
      </c>
      <c r="H278" s="7">
        <v>0.02</v>
      </c>
      <c r="I278" s="5" t="s">
        <v>15</v>
      </c>
      <c r="J278" s="5">
        <v>27</v>
      </c>
      <c r="K278" s="2"/>
      <c r="L278" s="2"/>
      <c r="M278" s="1"/>
    </row>
    <row r="279" spans="1:13" ht="14.4" x14ac:dyDescent="0.3">
      <c r="A279" s="14">
        <v>44786</v>
      </c>
      <c r="B279" s="5">
        <v>2</v>
      </c>
      <c r="C279" s="32">
        <f>VLOOKUP(B279,'area in m2'!B$2:C$10,2,FALSE)</f>
        <v>250</v>
      </c>
      <c r="D279" s="5" t="s">
        <v>11</v>
      </c>
      <c r="E279" s="6">
        <v>511.80718904753485</v>
      </c>
      <c r="F279" s="33" t="str">
        <f t="shared" si="8"/>
        <v>Below 530</v>
      </c>
      <c r="G279" s="33">
        <f t="shared" si="9"/>
        <v>537.39754849991164</v>
      </c>
      <c r="H279" s="7">
        <v>0.01</v>
      </c>
      <c r="I279" s="5" t="s">
        <v>14</v>
      </c>
      <c r="J279" s="5">
        <v>35</v>
      </c>
      <c r="K279" s="2"/>
      <c r="L279" s="2"/>
      <c r="M279" s="1"/>
    </row>
    <row r="280" spans="1:13" ht="14.4" x14ac:dyDescent="0.3">
      <c r="A280" s="14">
        <v>44675</v>
      </c>
      <c r="B280" s="5">
        <v>5</v>
      </c>
      <c r="C280" s="32">
        <f>VLOOKUP(B280,'area in m2'!B$2:C$10,2,FALSE)</f>
        <v>200</v>
      </c>
      <c r="D280" s="5" t="s">
        <v>13</v>
      </c>
      <c r="E280" s="6">
        <v>545.12</v>
      </c>
      <c r="F280" s="33" t="str">
        <f t="shared" si="8"/>
        <v>Over 530</v>
      </c>
      <c r="G280" s="33">
        <f t="shared" si="9"/>
        <v>572.37599999999998</v>
      </c>
      <c r="H280" s="7">
        <v>0.01</v>
      </c>
      <c r="I280" s="5" t="s">
        <v>15</v>
      </c>
      <c r="J280" s="5">
        <v>38</v>
      </c>
      <c r="K280" s="2"/>
      <c r="L280" s="2"/>
      <c r="M280" s="1"/>
    </row>
    <row r="281" spans="1:13" ht="14.4" x14ac:dyDescent="0.3">
      <c r="A281" s="14">
        <v>44755</v>
      </c>
      <c r="B281" s="5">
        <v>5</v>
      </c>
      <c r="C281" s="32">
        <f>VLOOKUP(B281,'area in m2'!B$2:C$10,2,FALSE)</f>
        <v>200</v>
      </c>
      <c r="D281" s="5" t="s">
        <v>13</v>
      </c>
      <c r="E281" s="6">
        <v>549.67674858212195</v>
      </c>
      <c r="F281" s="33" t="str">
        <f t="shared" si="8"/>
        <v>Over 530</v>
      </c>
      <c r="G281" s="33">
        <f t="shared" si="9"/>
        <v>577.16058601122802</v>
      </c>
      <c r="H281" s="7">
        <v>0.02</v>
      </c>
      <c r="I281" s="5" t="s">
        <v>14</v>
      </c>
      <c r="J281" s="5">
        <v>49</v>
      </c>
      <c r="K281" s="2"/>
      <c r="L281" s="2"/>
      <c r="M281" s="1"/>
    </row>
    <row r="282" spans="1:13" ht="14.4" x14ac:dyDescent="0.3">
      <c r="A282" s="14">
        <v>44854</v>
      </c>
      <c r="B282" s="5">
        <v>3</v>
      </c>
      <c r="C282" s="32">
        <f>VLOOKUP(B282,'area in m2'!B$2:C$10,2,FALSE)</f>
        <v>195</v>
      </c>
      <c r="D282" s="5" t="s">
        <v>11</v>
      </c>
      <c r="E282" s="6">
        <v>509.22353710695643</v>
      </c>
      <c r="F282" s="33" t="str">
        <f t="shared" si="8"/>
        <v>Below 530</v>
      </c>
      <c r="G282" s="33">
        <f t="shared" si="9"/>
        <v>534.68471396230427</v>
      </c>
      <c r="H282" s="7">
        <v>0</v>
      </c>
      <c r="I282" s="5" t="s">
        <v>14</v>
      </c>
      <c r="J282" s="5">
        <v>27</v>
      </c>
      <c r="K282" s="2"/>
      <c r="L282" s="2"/>
      <c r="M282" s="1"/>
    </row>
    <row r="283" spans="1:13" ht="14.4" x14ac:dyDescent="0.3">
      <c r="A283" s="14">
        <v>44829</v>
      </c>
      <c r="B283" s="5">
        <v>2</v>
      </c>
      <c r="C283" s="32">
        <f>VLOOKUP(B283,'area in m2'!B$2:C$10,2,FALSE)</f>
        <v>250</v>
      </c>
      <c r="D283" s="5" t="s">
        <v>11</v>
      </c>
      <c r="E283" s="6">
        <v>526.62539156456114</v>
      </c>
      <c r="F283" s="33" t="str">
        <f t="shared" si="8"/>
        <v>Below 530</v>
      </c>
      <c r="G283" s="33">
        <f t="shared" si="9"/>
        <v>552.95666114278924</v>
      </c>
      <c r="H283" s="7">
        <v>0.03</v>
      </c>
      <c r="I283" s="5" t="s">
        <v>14</v>
      </c>
      <c r="J283" s="5">
        <v>36</v>
      </c>
      <c r="K283" s="2"/>
      <c r="L283" s="2"/>
      <c r="M283" s="1"/>
    </row>
    <row r="284" spans="1:13" ht="14.4" x14ac:dyDescent="0.3">
      <c r="A284" s="14">
        <v>44861</v>
      </c>
      <c r="B284" s="5">
        <v>7</v>
      </c>
      <c r="C284" s="32">
        <f>VLOOKUP(B284,'area in m2'!B$2:C$10,2,FALSE)</f>
        <v>166</v>
      </c>
      <c r="D284" s="5" t="s">
        <v>12</v>
      </c>
      <c r="E284" s="6">
        <v>512.8251096426302</v>
      </c>
      <c r="F284" s="33" t="str">
        <f t="shared" si="8"/>
        <v>Below 530</v>
      </c>
      <c r="G284" s="33">
        <f t="shared" si="9"/>
        <v>538.46636512476175</v>
      </c>
      <c r="H284" s="7">
        <v>0.01</v>
      </c>
      <c r="I284" s="5" t="s">
        <v>14</v>
      </c>
      <c r="J284" s="5">
        <v>31</v>
      </c>
      <c r="K284" s="2"/>
      <c r="L284" s="2"/>
      <c r="M284" s="1"/>
    </row>
    <row r="285" spans="1:13" ht="14.4" x14ac:dyDescent="0.3">
      <c r="A285" s="14">
        <v>44691</v>
      </c>
      <c r="B285" s="5">
        <v>5</v>
      </c>
      <c r="C285" s="32">
        <f>VLOOKUP(B285,'area in m2'!B$2:C$10,2,FALSE)</f>
        <v>200</v>
      </c>
      <c r="D285" s="5" t="s">
        <v>13</v>
      </c>
      <c r="E285" s="6">
        <v>532.98020571994584</v>
      </c>
      <c r="F285" s="33" t="str">
        <f t="shared" si="8"/>
        <v>Over 530</v>
      </c>
      <c r="G285" s="33">
        <f t="shared" si="9"/>
        <v>559.62921600594314</v>
      </c>
      <c r="H285" s="7">
        <v>0.03</v>
      </c>
      <c r="I285" s="5" t="s">
        <v>14</v>
      </c>
      <c r="J285" s="5">
        <v>36</v>
      </c>
      <c r="K285" s="2"/>
      <c r="L285" s="2"/>
      <c r="M285" s="1"/>
    </row>
    <row r="286" spans="1:13" ht="14.4" x14ac:dyDescent="0.3">
      <c r="A286" s="14">
        <v>44697</v>
      </c>
      <c r="B286" s="5">
        <v>8</v>
      </c>
      <c r="C286" s="32">
        <f>VLOOKUP(B286,'area in m2'!B$2:C$10,2,FALSE)</f>
        <v>142</v>
      </c>
      <c r="D286" s="5" t="s">
        <v>12</v>
      </c>
      <c r="E286" s="6">
        <v>502.44725141657455</v>
      </c>
      <c r="F286" s="33" t="str">
        <f t="shared" si="8"/>
        <v>Below 530</v>
      </c>
      <c r="G286" s="33">
        <f t="shared" si="9"/>
        <v>527.56961398740327</v>
      </c>
      <c r="H286" s="7">
        <v>0.01</v>
      </c>
      <c r="I286" s="5" t="s">
        <v>15</v>
      </c>
      <c r="J286" s="5">
        <v>18</v>
      </c>
      <c r="K286" s="2"/>
      <c r="L286" s="2"/>
      <c r="M286" s="1"/>
    </row>
    <row r="287" spans="1:13" ht="14.4" x14ac:dyDescent="0.3">
      <c r="A287" s="14">
        <v>44666</v>
      </c>
      <c r="B287" s="5">
        <v>1</v>
      </c>
      <c r="C287" s="32">
        <f>VLOOKUP(B287,'area in m2'!B$2:C$10,2,FALSE)</f>
        <v>280</v>
      </c>
      <c r="D287" s="5" t="s">
        <v>11</v>
      </c>
      <c r="E287" s="6">
        <v>521.62222633945566</v>
      </c>
      <c r="F287" s="33" t="str">
        <f t="shared" si="8"/>
        <v>Below 530</v>
      </c>
      <c r="G287" s="33">
        <f t="shared" si="9"/>
        <v>547.70333765642852</v>
      </c>
      <c r="H287" s="7">
        <v>0</v>
      </c>
      <c r="I287" s="5" t="s">
        <v>14</v>
      </c>
      <c r="J287" s="5">
        <v>34</v>
      </c>
      <c r="K287" s="2"/>
      <c r="L287" s="2"/>
      <c r="M287" s="1"/>
    </row>
    <row r="288" spans="1:13" ht="14.4" x14ac:dyDescent="0.3">
      <c r="A288" s="14">
        <v>44767</v>
      </c>
      <c r="B288" s="5">
        <v>6</v>
      </c>
      <c r="C288" s="32">
        <f>VLOOKUP(B288,'area in m2'!B$2:C$10,2,FALSE)</f>
        <v>175</v>
      </c>
      <c r="D288" s="5" t="s">
        <v>13</v>
      </c>
      <c r="E288" s="6">
        <v>536.44953472533052</v>
      </c>
      <c r="F288" s="33" t="str">
        <f t="shared" si="8"/>
        <v>Over 530</v>
      </c>
      <c r="G288" s="33">
        <f t="shared" si="9"/>
        <v>563.27201146159712</v>
      </c>
      <c r="H288" s="7">
        <v>0</v>
      </c>
      <c r="I288" s="5" t="s">
        <v>14</v>
      </c>
      <c r="J288" s="5">
        <v>28</v>
      </c>
      <c r="K288" s="2"/>
      <c r="L288" s="2"/>
      <c r="M288" s="1"/>
    </row>
    <row r="289" spans="1:13" ht="14.4" x14ac:dyDescent="0.3">
      <c r="A289" s="14">
        <v>44800</v>
      </c>
      <c r="B289" s="5">
        <v>7</v>
      </c>
      <c r="C289" s="32">
        <f>VLOOKUP(B289,'area in m2'!B$2:C$10,2,FALSE)</f>
        <v>166</v>
      </c>
      <c r="D289" s="5" t="s">
        <v>12</v>
      </c>
      <c r="E289" s="6">
        <v>530.94361659485094</v>
      </c>
      <c r="F289" s="33" t="str">
        <f t="shared" si="8"/>
        <v>Over 530</v>
      </c>
      <c r="G289" s="33">
        <f t="shared" si="9"/>
        <v>557.49079742459355</v>
      </c>
      <c r="H289" s="7">
        <v>0.03</v>
      </c>
      <c r="I289" s="5" t="s">
        <v>15</v>
      </c>
      <c r="J289" s="5">
        <v>60</v>
      </c>
      <c r="K289" s="2"/>
      <c r="L289" s="2"/>
      <c r="M289" s="1"/>
    </row>
    <row r="290" spans="1:13" ht="14.4" x14ac:dyDescent="0.3">
      <c r="A290" s="14">
        <v>44614</v>
      </c>
      <c r="B290" s="5">
        <v>6</v>
      </c>
      <c r="C290" s="32">
        <f>VLOOKUP(B290,'area in m2'!B$2:C$10,2,FALSE)</f>
        <v>175</v>
      </c>
      <c r="D290" s="5" t="s">
        <v>13</v>
      </c>
      <c r="E290" s="6">
        <v>519.61364349954692</v>
      </c>
      <c r="F290" s="33" t="str">
        <f t="shared" si="8"/>
        <v>Below 530</v>
      </c>
      <c r="G290" s="33">
        <f t="shared" si="9"/>
        <v>545.59432567452427</v>
      </c>
      <c r="H290" s="7">
        <v>0.02</v>
      </c>
      <c r="I290" s="5" t="s">
        <v>14</v>
      </c>
      <c r="J290" s="5">
        <v>42</v>
      </c>
      <c r="K290" s="2"/>
      <c r="L290" s="2"/>
      <c r="M290" s="1"/>
    </row>
    <row r="291" spans="1:13" ht="14.4" x14ac:dyDescent="0.3">
      <c r="A291" s="14">
        <v>44695</v>
      </c>
      <c r="B291" s="5">
        <v>7</v>
      </c>
      <c r="C291" s="32">
        <f>VLOOKUP(B291,'area in m2'!B$2:C$10,2,FALSE)</f>
        <v>166</v>
      </c>
      <c r="D291" s="5" t="s">
        <v>11</v>
      </c>
      <c r="E291" s="6">
        <v>505.58230471936895</v>
      </c>
      <c r="F291" s="33" t="str">
        <f t="shared" si="8"/>
        <v>Below 530</v>
      </c>
      <c r="G291" s="33">
        <f t="shared" si="9"/>
        <v>530.8614199553374</v>
      </c>
      <c r="H291" s="7">
        <v>0.01</v>
      </c>
      <c r="I291" s="5" t="s">
        <v>15</v>
      </c>
      <c r="J291" s="5">
        <v>58</v>
      </c>
      <c r="K291" s="2"/>
      <c r="L291" s="2"/>
      <c r="M291" s="1"/>
    </row>
    <row r="292" spans="1:13" ht="14.4" x14ac:dyDescent="0.3">
      <c r="A292" s="14">
        <v>44638</v>
      </c>
      <c r="B292" s="5">
        <v>3</v>
      </c>
      <c r="C292" s="32">
        <f>VLOOKUP(B292,'area in m2'!B$2:C$10,2,FALSE)</f>
        <v>195</v>
      </c>
      <c r="D292" s="5" t="s">
        <v>11</v>
      </c>
      <c r="E292" s="6">
        <v>511.21761286149376</v>
      </c>
      <c r="F292" s="33" t="str">
        <f t="shared" si="8"/>
        <v>Below 530</v>
      </c>
      <c r="G292" s="33">
        <f t="shared" si="9"/>
        <v>536.77849350456847</v>
      </c>
      <c r="H292" s="7">
        <v>0.02</v>
      </c>
      <c r="I292" s="5" t="s">
        <v>15</v>
      </c>
      <c r="J292" s="5">
        <v>17</v>
      </c>
      <c r="K292" s="2"/>
      <c r="L292" s="2"/>
      <c r="M292" s="1"/>
    </row>
    <row r="293" spans="1:13" ht="14.4" x14ac:dyDescent="0.3">
      <c r="A293" s="14">
        <v>44778</v>
      </c>
      <c r="B293" s="5">
        <v>9</v>
      </c>
      <c r="C293" s="32">
        <f>VLOOKUP(B293,'area in m2'!B$2:C$10,2,FALSE)</f>
        <v>140</v>
      </c>
      <c r="D293" s="5" t="s">
        <v>12</v>
      </c>
      <c r="E293" s="6">
        <v>547.01736815534241</v>
      </c>
      <c r="F293" s="33" t="str">
        <f t="shared" si="8"/>
        <v>Over 530</v>
      </c>
      <c r="G293" s="33">
        <f t="shared" si="9"/>
        <v>574.36823656310958</v>
      </c>
      <c r="H293" s="7">
        <v>0.02</v>
      </c>
      <c r="I293" s="5" t="s">
        <v>15</v>
      </c>
      <c r="J293" s="5">
        <v>46</v>
      </c>
      <c r="K293" s="2"/>
      <c r="L293" s="2"/>
      <c r="M293" s="1"/>
    </row>
    <row r="294" spans="1:13" ht="14.4" x14ac:dyDescent="0.3">
      <c r="A294" s="14">
        <v>44639</v>
      </c>
      <c r="B294" s="5">
        <v>1</v>
      </c>
      <c r="C294" s="32">
        <f>VLOOKUP(B294,'area in m2'!B$2:C$10,2,FALSE)</f>
        <v>280</v>
      </c>
      <c r="D294" s="5" t="s">
        <v>11</v>
      </c>
      <c r="E294" s="6">
        <v>522.55207061541296</v>
      </c>
      <c r="F294" s="33" t="str">
        <f t="shared" si="8"/>
        <v>Below 530</v>
      </c>
      <c r="G294" s="33">
        <f t="shared" si="9"/>
        <v>548.67967414618363</v>
      </c>
      <c r="H294" s="7">
        <v>0.03</v>
      </c>
      <c r="I294" s="5" t="s">
        <v>14</v>
      </c>
      <c r="J294" s="5">
        <v>42</v>
      </c>
      <c r="K294" s="2"/>
      <c r="L294" s="2"/>
      <c r="M294" s="1"/>
    </row>
    <row r="295" spans="1:13" ht="14.4" x14ac:dyDescent="0.3">
      <c r="A295" s="14">
        <v>44896</v>
      </c>
      <c r="B295" s="5">
        <v>3</v>
      </c>
      <c r="C295" s="32">
        <f>VLOOKUP(B295,'area in m2'!B$2:C$10,2,FALSE)</f>
        <v>195</v>
      </c>
      <c r="D295" s="5" t="s">
        <v>11</v>
      </c>
      <c r="E295" s="6">
        <v>505.5808460367125</v>
      </c>
      <c r="F295" s="33" t="str">
        <f t="shared" si="8"/>
        <v>Below 530</v>
      </c>
      <c r="G295" s="33">
        <f t="shared" si="9"/>
        <v>530.8598883385481</v>
      </c>
      <c r="H295" s="7">
        <v>0.01</v>
      </c>
      <c r="I295" s="5" t="s">
        <v>14</v>
      </c>
      <c r="J295" s="5">
        <v>46</v>
      </c>
      <c r="K295" s="2"/>
      <c r="L295" s="2"/>
      <c r="M295" s="1"/>
    </row>
    <row r="296" spans="1:13" ht="14.4" x14ac:dyDescent="0.3">
      <c r="A296" s="14">
        <v>44758</v>
      </c>
      <c r="B296" s="5">
        <v>3</v>
      </c>
      <c r="C296" s="32">
        <f>VLOOKUP(B296,'area in m2'!B$2:C$10,2,FALSE)</f>
        <v>195</v>
      </c>
      <c r="D296" s="5" t="s">
        <v>11</v>
      </c>
      <c r="E296" s="6">
        <v>511.34778882828505</v>
      </c>
      <c r="F296" s="33" t="str">
        <f t="shared" si="8"/>
        <v>Below 530</v>
      </c>
      <c r="G296" s="33">
        <f t="shared" si="9"/>
        <v>536.91517826969937</v>
      </c>
      <c r="H296" s="7">
        <v>0.02</v>
      </c>
      <c r="I296" s="5" t="s">
        <v>15</v>
      </c>
      <c r="J296" s="5">
        <v>61</v>
      </c>
      <c r="K296" s="2"/>
      <c r="L296" s="2"/>
      <c r="M296" s="1"/>
    </row>
    <row r="297" spans="1:13" ht="14.4" x14ac:dyDescent="0.3">
      <c r="A297" s="14">
        <v>44867</v>
      </c>
      <c r="B297" s="5">
        <v>2</v>
      </c>
      <c r="C297" s="32">
        <f>VLOOKUP(B297,'area in m2'!B$2:C$10,2,FALSE)</f>
        <v>250</v>
      </c>
      <c r="D297" s="5" t="s">
        <v>11</v>
      </c>
      <c r="E297" s="6">
        <v>512.42040808747424</v>
      </c>
      <c r="F297" s="33" t="str">
        <f t="shared" si="8"/>
        <v>Below 530</v>
      </c>
      <c r="G297" s="33">
        <f t="shared" si="9"/>
        <v>538.04142849184802</v>
      </c>
      <c r="H297" s="7">
        <v>0.01</v>
      </c>
      <c r="I297" s="5" t="s">
        <v>15</v>
      </c>
      <c r="J297" s="5">
        <v>24</v>
      </c>
      <c r="K297" s="2"/>
      <c r="L297" s="2"/>
      <c r="M297" s="1"/>
    </row>
    <row r="298" spans="1:13" ht="14.4" x14ac:dyDescent="0.3">
      <c r="A298" s="14">
        <v>44834</v>
      </c>
      <c r="B298" s="5">
        <v>3</v>
      </c>
      <c r="C298" s="32">
        <f>VLOOKUP(B298,'area in m2'!B$2:C$10,2,FALSE)</f>
        <v>195</v>
      </c>
      <c r="D298" s="5" t="s">
        <v>11</v>
      </c>
      <c r="E298" s="6">
        <v>511.19952447684591</v>
      </c>
      <c r="F298" s="33" t="str">
        <f t="shared" si="8"/>
        <v>Below 530</v>
      </c>
      <c r="G298" s="33">
        <f t="shared" si="9"/>
        <v>536.75950070068825</v>
      </c>
      <c r="H298" s="7">
        <v>0.03</v>
      </c>
      <c r="I298" s="5" t="s">
        <v>14</v>
      </c>
      <c r="J298" s="5">
        <v>40</v>
      </c>
      <c r="K298" s="2"/>
      <c r="L298" s="2"/>
      <c r="M298" s="1"/>
    </row>
    <row r="299" spans="1:13" ht="14.4" x14ac:dyDescent="0.3">
      <c r="A299" s="14">
        <v>44647</v>
      </c>
      <c r="B299" s="5">
        <v>6</v>
      </c>
      <c r="C299" s="32">
        <f>VLOOKUP(B299,'area in m2'!B$2:C$10,2,FALSE)</f>
        <v>175</v>
      </c>
      <c r="D299" s="5" t="s">
        <v>13</v>
      </c>
      <c r="E299" s="6">
        <v>513.05361597711271</v>
      </c>
      <c r="F299" s="33" t="str">
        <f t="shared" si="8"/>
        <v>Below 530</v>
      </c>
      <c r="G299" s="33">
        <f t="shared" si="9"/>
        <v>538.70629677596833</v>
      </c>
      <c r="H299" s="7">
        <v>0.03</v>
      </c>
      <c r="I299" s="5" t="s">
        <v>14</v>
      </c>
      <c r="J299" s="5">
        <v>27</v>
      </c>
      <c r="K299" s="2"/>
      <c r="L299" s="2"/>
      <c r="M299" s="1"/>
    </row>
    <row r="300" spans="1:13" ht="14.4" x14ac:dyDescent="0.3">
      <c r="A300" s="14">
        <v>44646</v>
      </c>
      <c r="B300" s="5">
        <v>3</v>
      </c>
      <c r="C300" s="32">
        <f>VLOOKUP(B300,'area in m2'!B$2:C$10,2,FALSE)</f>
        <v>195</v>
      </c>
      <c r="D300" s="5" t="s">
        <v>11</v>
      </c>
      <c r="E300" s="6">
        <v>507.80849897837197</v>
      </c>
      <c r="F300" s="33" t="str">
        <f t="shared" si="8"/>
        <v>Below 530</v>
      </c>
      <c r="G300" s="33">
        <f t="shared" si="9"/>
        <v>533.19892392729059</v>
      </c>
      <c r="H300" s="7">
        <v>0.03</v>
      </c>
      <c r="I300" s="5" t="s">
        <v>14</v>
      </c>
      <c r="J300" s="5">
        <v>26</v>
      </c>
      <c r="K300" s="2"/>
      <c r="L300" s="2"/>
      <c r="M300" s="1"/>
    </row>
    <row r="301" spans="1:13" ht="14.4" x14ac:dyDescent="0.3">
      <c r="A301" s="14">
        <v>44779</v>
      </c>
      <c r="B301" s="5">
        <v>1</v>
      </c>
      <c r="C301" s="32">
        <f>VLOOKUP(B301,'area in m2'!B$2:C$10,2,FALSE)</f>
        <v>280</v>
      </c>
      <c r="D301" s="5" t="s">
        <v>11</v>
      </c>
      <c r="E301" s="6">
        <v>529.92651479845426</v>
      </c>
      <c r="F301" s="33" t="str">
        <f t="shared" si="8"/>
        <v>Below 530</v>
      </c>
      <c r="G301" s="33">
        <f t="shared" si="9"/>
        <v>556.42284053837705</v>
      </c>
      <c r="H301" s="7">
        <v>0.01</v>
      </c>
      <c r="I301" s="5" t="s">
        <v>15</v>
      </c>
      <c r="J301" s="5">
        <v>31</v>
      </c>
      <c r="K301" s="2"/>
      <c r="L301" s="2"/>
      <c r="M301" s="1"/>
    </row>
    <row r="302" spans="1:13" ht="14.4" x14ac:dyDescent="0.3">
      <c r="A302" s="14">
        <v>44710</v>
      </c>
      <c r="B302" s="5">
        <v>6</v>
      </c>
      <c r="C302" s="32">
        <f>VLOOKUP(B302,'area in m2'!B$2:C$10,2,FALSE)</f>
        <v>175</v>
      </c>
      <c r="D302" s="5" t="s">
        <v>13</v>
      </c>
      <c r="E302" s="6">
        <v>511.13727902466235</v>
      </c>
      <c r="F302" s="33" t="str">
        <f t="shared" si="8"/>
        <v>Below 530</v>
      </c>
      <c r="G302" s="33">
        <f t="shared" si="9"/>
        <v>536.69414297589549</v>
      </c>
      <c r="H302" s="7">
        <v>0.03</v>
      </c>
      <c r="I302" s="5" t="s">
        <v>14</v>
      </c>
      <c r="J302" s="5">
        <v>25</v>
      </c>
      <c r="K302" s="2"/>
      <c r="L302" s="2"/>
      <c r="M302" s="1"/>
    </row>
    <row r="303" spans="1:13" ht="14.4" x14ac:dyDescent="0.3">
      <c r="A303" s="14">
        <v>44781</v>
      </c>
      <c r="B303" s="5">
        <v>5</v>
      </c>
      <c r="C303" s="32">
        <f>VLOOKUP(B303,'area in m2'!B$2:C$10,2,FALSE)</f>
        <v>200</v>
      </c>
      <c r="D303" s="5" t="s">
        <v>13</v>
      </c>
      <c r="E303" s="6">
        <v>538.7723001784052</v>
      </c>
      <c r="F303" s="33" t="str">
        <f t="shared" si="8"/>
        <v>Over 530</v>
      </c>
      <c r="G303" s="33">
        <f t="shared" si="9"/>
        <v>565.71091518732544</v>
      </c>
      <c r="H303" s="7">
        <v>0.02</v>
      </c>
      <c r="I303" s="5" t="s">
        <v>14</v>
      </c>
      <c r="J303" s="5">
        <v>36</v>
      </c>
      <c r="K303" s="2"/>
      <c r="L303" s="2"/>
      <c r="M303" s="1"/>
    </row>
    <row r="304" spans="1:13" ht="14.4" x14ac:dyDescent="0.3">
      <c r="A304" s="14">
        <v>44726</v>
      </c>
      <c r="B304" s="5">
        <v>9</v>
      </c>
      <c r="C304" s="32">
        <f>VLOOKUP(B304,'area in m2'!B$2:C$10,2,FALSE)</f>
        <v>140</v>
      </c>
      <c r="D304" s="5" t="s">
        <v>12</v>
      </c>
      <c r="E304" s="6">
        <v>515.99324749874722</v>
      </c>
      <c r="F304" s="33" t="str">
        <f t="shared" si="8"/>
        <v>Below 530</v>
      </c>
      <c r="G304" s="33">
        <f t="shared" si="9"/>
        <v>541.79290987368461</v>
      </c>
      <c r="H304" s="7">
        <v>0</v>
      </c>
      <c r="I304" s="5" t="s">
        <v>14</v>
      </c>
      <c r="J304" s="5">
        <v>28</v>
      </c>
      <c r="K304" s="2"/>
      <c r="L304" s="2"/>
      <c r="M304" s="1"/>
    </row>
    <row r="305" spans="1:13" ht="14.4" x14ac:dyDescent="0.3">
      <c r="A305" s="14">
        <v>44674</v>
      </c>
      <c r="B305" s="5">
        <v>4</v>
      </c>
      <c r="C305" s="32">
        <f>VLOOKUP(B305,'area in m2'!B$2:C$10,2,FALSE)</f>
        <v>188</v>
      </c>
      <c r="D305" s="5" t="s">
        <v>11</v>
      </c>
      <c r="E305" s="6">
        <v>516.8165395283504</v>
      </c>
      <c r="F305" s="33" t="str">
        <f t="shared" si="8"/>
        <v>Below 530</v>
      </c>
      <c r="G305" s="33">
        <f t="shared" si="9"/>
        <v>542.65736650476799</v>
      </c>
      <c r="H305" s="7">
        <v>0.01</v>
      </c>
      <c r="I305" s="5" t="s">
        <v>15</v>
      </c>
      <c r="J305" s="5">
        <v>45</v>
      </c>
      <c r="K305" s="2"/>
      <c r="L305" s="2"/>
      <c r="M305" s="1"/>
    </row>
    <row r="306" spans="1:13" ht="14.4" x14ac:dyDescent="0.3">
      <c r="A306" s="14">
        <v>44848</v>
      </c>
      <c r="B306" s="5">
        <v>9</v>
      </c>
      <c r="C306" s="32">
        <f>VLOOKUP(B306,'area in m2'!B$2:C$10,2,FALSE)</f>
        <v>140</v>
      </c>
      <c r="D306" s="5" t="s">
        <v>12</v>
      </c>
      <c r="E306" s="6">
        <v>550.10703101712352</v>
      </c>
      <c r="F306" s="33" t="str">
        <f t="shared" si="8"/>
        <v>Over 530</v>
      </c>
      <c r="G306" s="33">
        <f t="shared" si="9"/>
        <v>577.61238256797969</v>
      </c>
      <c r="H306" s="7">
        <v>0.02</v>
      </c>
      <c r="I306" s="5" t="s">
        <v>15</v>
      </c>
      <c r="J306" s="5">
        <v>65</v>
      </c>
      <c r="K306" s="2"/>
      <c r="L306" s="2"/>
      <c r="M306" s="1"/>
    </row>
    <row r="307" spans="1:13" ht="14.4" x14ac:dyDescent="0.3">
      <c r="A307" s="14">
        <v>44606</v>
      </c>
      <c r="B307" s="5">
        <v>7</v>
      </c>
      <c r="C307" s="32">
        <f>VLOOKUP(B307,'area in m2'!B$2:C$10,2,FALSE)</f>
        <v>166</v>
      </c>
      <c r="D307" s="5" t="s">
        <v>12</v>
      </c>
      <c r="E307" s="6">
        <v>516.14923267100585</v>
      </c>
      <c r="F307" s="33" t="str">
        <f t="shared" si="8"/>
        <v>Below 530</v>
      </c>
      <c r="G307" s="33">
        <f t="shared" si="9"/>
        <v>541.95669430455621</v>
      </c>
      <c r="H307" s="7">
        <v>0.01</v>
      </c>
      <c r="I307" s="5" t="s">
        <v>14</v>
      </c>
      <c r="J307" s="5">
        <v>65</v>
      </c>
      <c r="K307" s="2"/>
      <c r="L307" s="2"/>
      <c r="M307" s="1"/>
    </row>
    <row r="308" spans="1:13" ht="14.4" x14ac:dyDescent="0.3">
      <c r="A308" s="14">
        <v>44562</v>
      </c>
      <c r="B308" s="5">
        <v>3</v>
      </c>
      <c r="C308" s="32">
        <f>VLOOKUP(B308,'area in m2'!B$2:C$10,2,FALSE)</f>
        <v>195</v>
      </c>
      <c r="D308" s="5" t="s">
        <v>11</v>
      </c>
      <c r="E308" s="6">
        <v>550.85484698159416</v>
      </c>
      <c r="F308" s="33" t="str">
        <f t="shared" si="8"/>
        <v>Over 530</v>
      </c>
      <c r="G308" s="33">
        <f t="shared" si="9"/>
        <v>578.3975893306739</v>
      </c>
      <c r="H308" s="7">
        <v>0.03</v>
      </c>
      <c r="I308" s="5" t="s">
        <v>14</v>
      </c>
      <c r="J308" s="5">
        <v>21</v>
      </c>
      <c r="K308" s="2"/>
      <c r="L308" s="2"/>
      <c r="M308" s="1"/>
    </row>
    <row r="309" spans="1:13" ht="14.4" x14ac:dyDescent="0.3">
      <c r="A309" s="14">
        <v>44715</v>
      </c>
      <c r="B309" s="5">
        <v>3</v>
      </c>
      <c r="C309" s="32">
        <f>VLOOKUP(B309,'area in m2'!B$2:C$10,2,FALSE)</f>
        <v>195</v>
      </c>
      <c r="D309" s="5" t="s">
        <v>11</v>
      </c>
      <c r="E309" s="6">
        <v>541.55232248677021</v>
      </c>
      <c r="F309" s="33" t="str">
        <f t="shared" si="8"/>
        <v>Over 530</v>
      </c>
      <c r="G309" s="33">
        <f t="shared" si="9"/>
        <v>568.62993861110874</v>
      </c>
      <c r="H309" s="7">
        <v>0.01</v>
      </c>
      <c r="I309" s="5" t="s">
        <v>15</v>
      </c>
      <c r="J309" s="5">
        <v>44</v>
      </c>
      <c r="K309" s="2"/>
      <c r="L309" s="2"/>
      <c r="M309" s="1"/>
    </row>
    <row r="310" spans="1:13" ht="14.4" x14ac:dyDescent="0.3">
      <c r="A310" s="14">
        <v>44885</v>
      </c>
      <c r="B310" s="5">
        <v>3</v>
      </c>
      <c r="C310" s="32">
        <f>VLOOKUP(B310,'area in m2'!B$2:C$10,2,FALSE)</f>
        <v>195</v>
      </c>
      <c r="D310" s="5" t="s">
        <v>11</v>
      </c>
      <c r="E310" s="6">
        <v>511.7410600217263</v>
      </c>
      <c r="F310" s="33" t="str">
        <f t="shared" si="8"/>
        <v>Below 530</v>
      </c>
      <c r="G310" s="33">
        <f t="shared" si="9"/>
        <v>537.32811302281266</v>
      </c>
      <c r="H310" s="7">
        <v>0.01</v>
      </c>
      <c r="I310" s="5" t="s">
        <v>14</v>
      </c>
      <c r="J310" s="5">
        <v>49</v>
      </c>
      <c r="K310" s="2"/>
      <c r="L310" s="2"/>
      <c r="M310" s="1"/>
    </row>
    <row r="311" spans="1:13" ht="14.4" x14ac:dyDescent="0.3">
      <c r="A311" s="14">
        <v>44725</v>
      </c>
      <c r="B311" s="5">
        <v>8</v>
      </c>
      <c r="C311" s="32">
        <f>VLOOKUP(B311,'area in m2'!B$2:C$10,2,FALSE)</f>
        <v>142</v>
      </c>
      <c r="D311" s="5" t="s">
        <v>12</v>
      </c>
      <c r="E311" s="6">
        <v>536.06550997482827</v>
      </c>
      <c r="F311" s="33" t="str">
        <f t="shared" si="8"/>
        <v>Over 530</v>
      </c>
      <c r="G311" s="33">
        <f t="shared" si="9"/>
        <v>562.86878547356969</v>
      </c>
      <c r="H311" s="7">
        <v>0.01</v>
      </c>
      <c r="I311" s="5" t="s">
        <v>14</v>
      </c>
      <c r="J311" s="5">
        <v>31</v>
      </c>
      <c r="K311" s="2"/>
      <c r="L311" s="2"/>
      <c r="M311" s="1"/>
    </row>
    <row r="312" spans="1:13" ht="14.4" x14ac:dyDescent="0.3">
      <c r="A312" s="14">
        <v>44583</v>
      </c>
      <c r="B312" s="5">
        <v>4</v>
      </c>
      <c r="C312" s="32">
        <f>VLOOKUP(B312,'area in m2'!B$2:C$10,2,FALSE)</f>
        <v>188</v>
      </c>
      <c r="D312" s="5" t="s">
        <v>11</v>
      </c>
      <c r="E312" s="6">
        <v>546.25410158568775</v>
      </c>
      <c r="F312" s="33" t="str">
        <f t="shared" si="8"/>
        <v>Over 530</v>
      </c>
      <c r="G312" s="33">
        <f t="shared" si="9"/>
        <v>573.5668066649722</v>
      </c>
      <c r="H312" s="7">
        <v>0.02</v>
      </c>
      <c r="I312" s="5" t="s">
        <v>14</v>
      </c>
      <c r="J312" s="5">
        <v>27</v>
      </c>
      <c r="K312" s="2"/>
      <c r="L312" s="2"/>
      <c r="M312" s="1"/>
    </row>
    <row r="313" spans="1:13" ht="14.4" x14ac:dyDescent="0.3">
      <c r="A313" s="14">
        <v>44914</v>
      </c>
      <c r="B313" s="5">
        <v>8</v>
      </c>
      <c r="C313" s="32">
        <f>VLOOKUP(B313,'area in m2'!B$2:C$10,2,FALSE)</f>
        <v>142</v>
      </c>
      <c r="D313" s="5" t="s">
        <v>12</v>
      </c>
      <c r="E313" s="6">
        <v>526.24277278625595</v>
      </c>
      <c r="F313" s="33" t="str">
        <f t="shared" si="8"/>
        <v>Below 530</v>
      </c>
      <c r="G313" s="33">
        <f t="shared" si="9"/>
        <v>552.55491142556878</v>
      </c>
      <c r="H313" s="7">
        <v>0.01</v>
      </c>
      <c r="I313" s="5" t="s">
        <v>14</v>
      </c>
      <c r="J313" s="5">
        <v>62</v>
      </c>
      <c r="K313" s="2"/>
      <c r="L313" s="2"/>
      <c r="M313" s="1"/>
    </row>
    <row r="314" spans="1:13" ht="14.4" x14ac:dyDescent="0.3">
      <c r="A314" s="14">
        <v>44740</v>
      </c>
      <c r="B314" s="5">
        <v>2</v>
      </c>
      <c r="C314" s="32">
        <f>VLOOKUP(B314,'area in m2'!B$2:C$10,2,FALSE)</f>
        <v>250</v>
      </c>
      <c r="D314" s="5" t="s">
        <v>11</v>
      </c>
      <c r="E314" s="6">
        <v>537.49717696533844</v>
      </c>
      <c r="F314" s="33" t="str">
        <f t="shared" si="8"/>
        <v>Over 530</v>
      </c>
      <c r="G314" s="33">
        <f t="shared" si="9"/>
        <v>564.37203581360541</v>
      </c>
      <c r="H314" s="7">
        <v>0</v>
      </c>
      <c r="I314" s="5" t="s">
        <v>15</v>
      </c>
      <c r="J314" s="5">
        <v>46</v>
      </c>
      <c r="K314" s="2"/>
      <c r="L314" s="2"/>
      <c r="M314" s="1"/>
    </row>
    <row r="315" spans="1:13" ht="14.4" x14ac:dyDescent="0.3">
      <c r="A315" s="14">
        <v>44637</v>
      </c>
      <c r="B315" s="5">
        <v>8</v>
      </c>
      <c r="C315" s="32">
        <f>VLOOKUP(B315,'area in m2'!B$2:C$10,2,FALSE)</f>
        <v>142</v>
      </c>
      <c r="D315" s="5" t="s">
        <v>12</v>
      </c>
      <c r="E315" s="6">
        <v>550.00072480597919</v>
      </c>
      <c r="F315" s="33" t="str">
        <f t="shared" si="8"/>
        <v>Over 530</v>
      </c>
      <c r="G315" s="33">
        <f t="shared" si="9"/>
        <v>577.50076104627817</v>
      </c>
      <c r="H315" s="7">
        <v>0.01</v>
      </c>
      <c r="I315" s="5" t="s">
        <v>15</v>
      </c>
      <c r="J315" s="5">
        <v>52</v>
      </c>
      <c r="K315" s="2"/>
      <c r="L315" s="2"/>
      <c r="M315" s="1"/>
    </row>
    <row r="316" spans="1:13" ht="14.4" x14ac:dyDescent="0.3">
      <c r="A316" s="14">
        <v>44835</v>
      </c>
      <c r="B316" s="5">
        <v>7</v>
      </c>
      <c r="C316" s="32">
        <f>VLOOKUP(B316,'area in m2'!B$2:C$10,2,FALSE)</f>
        <v>166</v>
      </c>
      <c r="D316" s="5" t="s">
        <v>12</v>
      </c>
      <c r="E316" s="6">
        <v>550.89864605201728</v>
      </c>
      <c r="F316" s="33" t="str">
        <f t="shared" si="8"/>
        <v>Over 530</v>
      </c>
      <c r="G316" s="33">
        <f t="shared" si="9"/>
        <v>578.44357835461813</v>
      </c>
      <c r="H316" s="7">
        <v>0.01</v>
      </c>
      <c r="I316" s="5" t="s">
        <v>14</v>
      </c>
      <c r="J316" s="5">
        <v>45</v>
      </c>
      <c r="K316" s="2"/>
      <c r="L316" s="2"/>
      <c r="M316" s="1"/>
    </row>
    <row r="317" spans="1:13" ht="14.4" x14ac:dyDescent="0.3">
      <c r="A317" s="14">
        <v>44617</v>
      </c>
      <c r="B317" s="5">
        <v>5</v>
      </c>
      <c r="C317" s="32">
        <f>VLOOKUP(B317,'area in m2'!B$2:C$10,2,FALSE)</f>
        <v>200</v>
      </c>
      <c r="D317" s="5" t="s">
        <v>13</v>
      </c>
      <c r="E317" s="6">
        <v>536.56391769243146</v>
      </c>
      <c r="F317" s="33" t="str">
        <f t="shared" si="8"/>
        <v>Over 530</v>
      </c>
      <c r="G317" s="33">
        <f t="shared" si="9"/>
        <v>563.39211357705301</v>
      </c>
      <c r="H317" s="7">
        <v>0</v>
      </c>
      <c r="I317" s="5" t="s">
        <v>14</v>
      </c>
      <c r="J317" s="5">
        <v>25</v>
      </c>
      <c r="K317" s="2"/>
      <c r="L317" s="2"/>
      <c r="M317" s="1"/>
    </row>
    <row r="318" spans="1:13" ht="14.4" x14ac:dyDescent="0.3">
      <c r="A318" s="14">
        <v>44667</v>
      </c>
      <c r="B318" s="5">
        <v>7</v>
      </c>
      <c r="C318" s="32">
        <f>VLOOKUP(B318,'area in m2'!B$2:C$10,2,FALSE)</f>
        <v>166</v>
      </c>
      <c r="D318" s="5" t="s">
        <v>12</v>
      </c>
      <c r="E318" s="6">
        <v>528.42147025397662</v>
      </c>
      <c r="F318" s="33" t="str">
        <f t="shared" si="8"/>
        <v>Below 530</v>
      </c>
      <c r="G318" s="33">
        <f t="shared" si="9"/>
        <v>554.84254376667548</v>
      </c>
      <c r="H318" s="7">
        <v>0</v>
      </c>
      <c r="I318" s="5" t="s">
        <v>14</v>
      </c>
      <c r="J318" s="5">
        <v>50</v>
      </c>
      <c r="K318" s="2"/>
      <c r="L318" s="2"/>
      <c r="M318" s="1"/>
    </row>
    <row r="319" spans="1:13" ht="14.4" x14ac:dyDescent="0.3">
      <c r="A319" s="14">
        <v>44751</v>
      </c>
      <c r="B319" s="5">
        <v>9</v>
      </c>
      <c r="C319" s="32">
        <f>VLOOKUP(B319,'area in m2'!B$2:C$10,2,FALSE)</f>
        <v>140</v>
      </c>
      <c r="D319" s="5" t="s">
        <v>12</v>
      </c>
      <c r="E319" s="6">
        <v>524.91698067679863</v>
      </c>
      <c r="F319" s="33" t="str">
        <f t="shared" si="8"/>
        <v>Below 530</v>
      </c>
      <c r="G319" s="33">
        <f t="shared" si="9"/>
        <v>551.16282971063856</v>
      </c>
      <c r="H319" s="7">
        <v>0.02</v>
      </c>
      <c r="I319" s="5" t="s">
        <v>14</v>
      </c>
      <c r="J319" s="5">
        <v>48</v>
      </c>
      <c r="K319" s="2"/>
      <c r="L319" s="2"/>
      <c r="M319" s="1"/>
    </row>
    <row r="320" spans="1:13" ht="14.4" x14ac:dyDescent="0.3">
      <c r="A320" s="14">
        <v>44920</v>
      </c>
      <c r="B320" s="5">
        <v>8</v>
      </c>
      <c r="C320" s="32">
        <f>VLOOKUP(B320,'area in m2'!B$2:C$10,2,FALSE)</f>
        <v>142</v>
      </c>
      <c r="D320" s="5" t="s">
        <v>11</v>
      </c>
      <c r="E320" s="6">
        <v>547.58404414342658</v>
      </c>
      <c r="F320" s="33" t="str">
        <f t="shared" si="8"/>
        <v>Over 530</v>
      </c>
      <c r="G320" s="33">
        <f t="shared" si="9"/>
        <v>574.96324635059796</v>
      </c>
      <c r="H320" s="7">
        <v>0</v>
      </c>
      <c r="I320" s="5" t="s">
        <v>14</v>
      </c>
      <c r="J320" s="5">
        <v>32</v>
      </c>
      <c r="K320" s="2"/>
      <c r="L320" s="2"/>
      <c r="M320" s="1"/>
    </row>
    <row r="321" spans="1:13" ht="14.4" x14ac:dyDescent="0.3">
      <c r="A321" s="14">
        <v>44707</v>
      </c>
      <c r="B321" s="5">
        <v>3</v>
      </c>
      <c r="C321" s="32">
        <f>VLOOKUP(B321,'area in m2'!B$2:C$10,2,FALSE)</f>
        <v>195</v>
      </c>
      <c r="D321" s="5" t="s">
        <v>11</v>
      </c>
      <c r="E321" s="6">
        <v>539.37997715240544</v>
      </c>
      <c r="F321" s="33" t="str">
        <f t="shared" si="8"/>
        <v>Over 530</v>
      </c>
      <c r="G321" s="33">
        <f t="shared" si="9"/>
        <v>566.34897601002569</v>
      </c>
      <c r="H321" s="7">
        <v>0.03</v>
      </c>
      <c r="I321" s="5" t="s">
        <v>15</v>
      </c>
      <c r="J321" s="5">
        <v>51</v>
      </c>
      <c r="K321" s="2"/>
      <c r="L321" s="2"/>
      <c r="M321" s="1"/>
    </row>
    <row r="322" spans="1:13" ht="14.4" x14ac:dyDescent="0.3">
      <c r="A322" s="14">
        <v>44734</v>
      </c>
      <c r="B322" s="5">
        <v>5</v>
      </c>
      <c r="C322" s="32">
        <f>VLOOKUP(B322,'area in m2'!B$2:C$10,2,FALSE)</f>
        <v>200</v>
      </c>
      <c r="D322" s="5" t="s">
        <v>13</v>
      </c>
      <c r="E322" s="6">
        <v>519.91429201309165</v>
      </c>
      <c r="F322" s="33" t="str">
        <f t="shared" si="8"/>
        <v>Below 530</v>
      </c>
      <c r="G322" s="33">
        <f t="shared" si="9"/>
        <v>545.9100066137463</v>
      </c>
      <c r="H322" s="7">
        <v>0</v>
      </c>
      <c r="I322" s="5" t="s">
        <v>15</v>
      </c>
      <c r="J322" s="5">
        <v>54</v>
      </c>
      <c r="K322" s="2"/>
      <c r="L322" s="2"/>
      <c r="M322" s="1"/>
    </row>
    <row r="323" spans="1:13" ht="14.4" x14ac:dyDescent="0.3">
      <c r="A323" s="14">
        <v>44907</v>
      </c>
      <c r="B323" s="5">
        <v>6</v>
      </c>
      <c r="C323" s="32">
        <f>VLOOKUP(B323,'area in m2'!B$2:C$10,2,FALSE)</f>
        <v>175</v>
      </c>
      <c r="D323" s="5" t="s">
        <v>13</v>
      </c>
      <c r="E323" s="6">
        <v>522.4517978016238</v>
      </c>
      <c r="F323" s="33" t="str">
        <f t="shared" si="8"/>
        <v>Below 530</v>
      </c>
      <c r="G323" s="33">
        <f t="shared" si="9"/>
        <v>548.57438769170506</v>
      </c>
      <c r="H323" s="7">
        <v>0</v>
      </c>
      <c r="I323" s="5" t="s">
        <v>14</v>
      </c>
      <c r="J323" s="5">
        <v>40</v>
      </c>
      <c r="K323" s="2"/>
      <c r="L323" s="2"/>
      <c r="M323" s="1"/>
    </row>
    <row r="324" spans="1:13" ht="14.4" x14ac:dyDescent="0.3">
      <c r="A324" s="14">
        <v>44608</v>
      </c>
      <c r="B324" s="5">
        <v>5</v>
      </c>
      <c r="C324" s="32">
        <f>VLOOKUP(B324,'area in m2'!B$2:C$10,2,FALSE)</f>
        <v>200</v>
      </c>
      <c r="D324" s="5" t="s">
        <v>13</v>
      </c>
      <c r="E324" s="6">
        <v>540.21105970088593</v>
      </c>
      <c r="F324" s="33" t="str">
        <f t="shared" si="8"/>
        <v>Over 530</v>
      </c>
      <c r="G324" s="33">
        <f t="shared" si="9"/>
        <v>567.22161268593027</v>
      </c>
      <c r="H324" s="7">
        <v>0.03</v>
      </c>
      <c r="I324" s="5" t="s">
        <v>14</v>
      </c>
      <c r="J324" s="5">
        <v>30</v>
      </c>
      <c r="K324" s="2"/>
      <c r="L324" s="2"/>
      <c r="M324" s="1"/>
    </row>
    <row r="325" spans="1:13" ht="14.4" x14ac:dyDescent="0.3">
      <c r="A325" s="14">
        <v>44806</v>
      </c>
      <c r="B325" s="5">
        <v>4</v>
      </c>
      <c r="C325" s="32">
        <f>VLOOKUP(B325,'area in m2'!B$2:C$10,2,FALSE)</f>
        <v>188</v>
      </c>
      <c r="D325" s="5" t="s">
        <v>11</v>
      </c>
      <c r="E325" s="6">
        <v>543.09090183460648</v>
      </c>
      <c r="F325" s="33" t="str">
        <f t="shared" ref="F325:F388" si="10">IF(E325&gt;530,"Over 530","Below 530")</f>
        <v>Over 530</v>
      </c>
      <c r="G325" s="33">
        <f t="shared" ref="G325:G388" si="11">+E325*1.05</f>
        <v>570.24544692633685</v>
      </c>
      <c r="H325" s="7">
        <v>0.01</v>
      </c>
      <c r="I325" s="5" t="s">
        <v>14</v>
      </c>
      <c r="J325" s="5">
        <v>35</v>
      </c>
      <c r="K325" s="2"/>
      <c r="L325" s="2"/>
      <c r="M325" s="1"/>
    </row>
    <row r="326" spans="1:13" ht="14.4" x14ac:dyDescent="0.3">
      <c r="A326" s="14">
        <v>44772</v>
      </c>
      <c r="B326" s="5">
        <v>2</v>
      </c>
      <c r="C326" s="32">
        <f>VLOOKUP(B326,'area in m2'!B$2:C$10,2,FALSE)</f>
        <v>250</v>
      </c>
      <c r="D326" s="5" t="s">
        <v>11</v>
      </c>
      <c r="E326" s="6">
        <v>526.66478387583447</v>
      </c>
      <c r="F326" s="33" t="str">
        <f t="shared" si="10"/>
        <v>Below 530</v>
      </c>
      <c r="G326" s="33">
        <f t="shared" si="11"/>
        <v>552.99802306962624</v>
      </c>
      <c r="H326" s="7">
        <v>0.02</v>
      </c>
      <c r="I326" s="5" t="s">
        <v>14</v>
      </c>
      <c r="J326" s="5">
        <v>44</v>
      </c>
      <c r="K326" s="2"/>
      <c r="L326" s="2"/>
      <c r="M326" s="1"/>
    </row>
    <row r="327" spans="1:13" ht="14.4" x14ac:dyDescent="0.3">
      <c r="A327" s="14">
        <v>44565</v>
      </c>
      <c r="B327" s="5">
        <v>9</v>
      </c>
      <c r="C327" s="32">
        <f>VLOOKUP(B327,'area in m2'!B$2:C$10,2,FALSE)</f>
        <v>140</v>
      </c>
      <c r="D327" s="5" t="s">
        <v>12</v>
      </c>
      <c r="E327" s="6">
        <v>547.80352643998594</v>
      </c>
      <c r="F327" s="33" t="str">
        <f t="shared" si="10"/>
        <v>Over 530</v>
      </c>
      <c r="G327" s="33">
        <f t="shared" si="11"/>
        <v>575.19370276198526</v>
      </c>
      <c r="H327" s="7">
        <v>0.02</v>
      </c>
      <c r="I327" s="5" t="s">
        <v>14</v>
      </c>
      <c r="J327" s="5">
        <v>18</v>
      </c>
      <c r="K327" s="2"/>
      <c r="L327" s="2"/>
      <c r="M327" s="1"/>
    </row>
    <row r="328" spans="1:13" ht="14.4" x14ac:dyDescent="0.3">
      <c r="A328" s="14">
        <v>44616</v>
      </c>
      <c r="B328" s="5">
        <v>6</v>
      </c>
      <c r="C328" s="32">
        <f>VLOOKUP(B328,'area in m2'!B$2:C$10,2,FALSE)</f>
        <v>175</v>
      </c>
      <c r="D328" s="5" t="s">
        <v>13</v>
      </c>
      <c r="E328" s="6">
        <v>514.47597559456972</v>
      </c>
      <c r="F328" s="33" t="str">
        <f t="shared" si="10"/>
        <v>Below 530</v>
      </c>
      <c r="G328" s="33">
        <f t="shared" si="11"/>
        <v>540.19977437429827</v>
      </c>
      <c r="H328" s="7">
        <v>0.01</v>
      </c>
      <c r="I328" s="5" t="s">
        <v>14</v>
      </c>
      <c r="J328" s="5">
        <v>43</v>
      </c>
      <c r="K328" s="2"/>
      <c r="L328" s="2"/>
      <c r="M328" s="1"/>
    </row>
    <row r="329" spans="1:13" ht="14.4" x14ac:dyDescent="0.3">
      <c r="A329" s="14">
        <v>44816</v>
      </c>
      <c r="B329" s="5">
        <v>4</v>
      </c>
      <c r="C329" s="32">
        <f>VLOOKUP(B329,'area in m2'!B$2:C$10,2,FALSE)</f>
        <v>188</v>
      </c>
      <c r="D329" s="5" t="s">
        <v>11</v>
      </c>
      <c r="E329" s="6">
        <v>524.15958993361892</v>
      </c>
      <c r="F329" s="33" t="str">
        <f t="shared" si="10"/>
        <v>Below 530</v>
      </c>
      <c r="G329" s="33">
        <f t="shared" si="11"/>
        <v>550.36756943029991</v>
      </c>
      <c r="H329" s="7">
        <v>0.01</v>
      </c>
      <c r="I329" s="5" t="s">
        <v>14</v>
      </c>
      <c r="J329" s="5">
        <v>37</v>
      </c>
      <c r="K329" s="2"/>
      <c r="L329" s="2"/>
      <c r="M329" s="1"/>
    </row>
    <row r="330" spans="1:13" ht="14.4" x14ac:dyDescent="0.3">
      <c r="A330" s="14">
        <v>44606</v>
      </c>
      <c r="B330" s="5">
        <v>8</v>
      </c>
      <c r="C330" s="32">
        <f>VLOOKUP(B330,'area in m2'!B$2:C$10,2,FALSE)</f>
        <v>142</v>
      </c>
      <c r="D330" s="5" t="s">
        <v>12</v>
      </c>
      <c r="E330" s="6">
        <v>526.99792362320477</v>
      </c>
      <c r="F330" s="33" t="str">
        <f t="shared" si="10"/>
        <v>Below 530</v>
      </c>
      <c r="G330" s="33">
        <f t="shared" si="11"/>
        <v>553.34781980436503</v>
      </c>
      <c r="H330" s="7">
        <v>0.03</v>
      </c>
      <c r="I330" s="5" t="s">
        <v>14</v>
      </c>
      <c r="J330" s="5">
        <v>31</v>
      </c>
      <c r="K330" s="2"/>
      <c r="L330" s="2"/>
      <c r="M330" s="1"/>
    </row>
    <row r="331" spans="1:13" ht="14.4" x14ac:dyDescent="0.3">
      <c r="A331" s="14">
        <v>44771</v>
      </c>
      <c r="B331" s="5">
        <v>8</v>
      </c>
      <c r="C331" s="32">
        <f>VLOOKUP(B331,'area in m2'!B$2:C$10,2,FALSE)</f>
        <v>142</v>
      </c>
      <c r="D331" s="5" t="s">
        <v>12</v>
      </c>
      <c r="E331" s="6">
        <v>522.6260450386917</v>
      </c>
      <c r="F331" s="33" t="str">
        <f t="shared" si="10"/>
        <v>Below 530</v>
      </c>
      <c r="G331" s="33">
        <f t="shared" si="11"/>
        <v>548.75734729062629</v>
      </c>
      <c r="H331" s="7">
        <v>0.03</v>
      </c>
      <c r="I331" s="5" t="s">
        <v>14</v>
      </c>
      <c r="J331" s="5">
        <v>31</v>
      </c>
      <c r="K331" s="2"/>
      <c r="L331" s="2"/>
      <c r="M331" s="1"/>
    </row>
    <row r="332" spans="1:13" ht="14.4" x14ac:dyDescent="0.3">
      <c r="A332" s="14">
        <v>44699</v>
      </c>
      <c r="B332" s="5">
        <v>1</v>
      </c>
      <c r="C332" s="32">
        <f>VLOOKUP(B332,'area in m2'!B$2:C$10,2,FALSE)</f>
        <v>280</v>
      </c>
      <c r="D332" s="5" t="s">
        <v>11</v>
      </c>
      <c r="E332" s="6">
        <v>518.37773160789584</v>
      </c>
      <c r="F332" s="33" t="str">
        <f t="shared" si="10"/>
        <v>Below 530</v>
      </c>
      <c r="G332" s="33">
        <f t="shared" si="11"/>
        <v>544.29661818829061</v>
      </c>
      <c r="H332" s="7">
        <v>0.02</v>
      </c>
      <c r="I332" s="5" t="s">
        <v>14</v>
      </c>
      <c r="J332" s="5">
        <v>21</v>
      </c>
      <c r="K332" s="2"/>
      <c r="L332" s="2"/>
      <c r="M332" s="1"/>
    </row>
    <row r="333" spans="1:13" ht="14.4" x14ac:dyDescent="0.3">
      <c r="A333" s="14">
        <v>44653</v>
      </c>
      <c r="B333" s="5">
        <v>6</v>
      </c>
      <c r="C333" s="32">
        <f>VLOOKUP(B333,'area in m2'!B$2:C$10,2,FALSE)</f>
        <v>175</v>
      </c>
      <c r="D333" s="5" t="s">
        <v>13</v>
      </c>
      <c r="E333" s="6">
        <v>532.45649871660771</v>
      </c>
      <c r="F333" s="33" t="str">
        <f t="shared" si="10"/>
        <v>Over 530</v>
      </c>
      <c r="G333" s="33">
        <f t="shared" si="11"/>
        <v>559.07932365243812</v>
      </c>
      <c r="H333" s="7">
        <v>0.02</v>
      </c>
      <c r="I333" s="5" t="s">
        <v>14</v>
      </c>
      <c r="J333" s="5">
        <v>24</v>
      </c>
      <c r="K333" s="2"/>
      <c r="L333" s="2"/>
      <c r="M333" s="1"/>
    </row>
    <row r="334" spans="1:13" ht="14.4" x14ac:dyDescent="0.3">
      <c r="A334" s="14">
        <v>44617</v>
      </c>
      <c r="B334" s="5">
        <v>6</v>
      </c>
      <c r="C334" s="32">
        <f>VLOOKUP(B334,'area in m2'!B$2:C$10,2,FALSE)</f>
        <v>175</v>
      </c>
      <c r="D334" s="5" t="s">
        <v>13</v>
      </c>
      <c r="E334" s="6">
        <v>507.89616855035911</v>
      </c>
      <c r="F334" s="33" t="str">
        <f t="shared" si="10"/>
        <v>Below 530</v>
      </c>
      <c r="G334" s="33">
        <f t="shared" si="11"/>
        <v>533.29097697787711</v>
      </c>
      <c r="H334" s="7">
        <v>0.03</v>
      </c>
      <c r="I334" s="5" t="s">
        <v>14</v>
      </c>
      <c r="J334" s="5">
        <v>24</v>
      </c>
      <c r="K334" s="2"/>
      <c r="L334" s="2"/>
      <c r="M334" s="1"/>
    </row>
    <row r="335" spans="1:13" ht="14.4" x14ac:dyDescent="0.3">
      <c r="A335" s="14">
        <v>44921</v>
      </c>
      <c r="B335" s="5">
        <v>2</v>
      </c>
      <c r="C335" s="32">
        <f>VLOOKUP(B335,'area in m2'!B$2:C$10,2,FALSE)</f>
        <v>250</v>
      </c>
      <c r="D335" s="5" t="s">
        <v>11</v>
      </c>
      <c r="E335" s="6">
        <v>527.18470927640647</v>
      </c>
      <c r="F335" s="33" t="str">
        <f t="shared" si="10"/>
        <v>Below 530</v>
      </c>
      <c r="G335" s="33">
        <f t="shared" si="11"/>
        <v>553.54394474022683</v>
      </c>
      <c r="H335" s="7">
        <v>0</v>
      </c>
      <c r="I335" s="5" t="s">
        <v>14</v>
      </c>
      <c r="J335" s="5">
        <v>36</v>
      </c>
      <c r="K335" s="2"/>
      <c r="L335" s="2"/>
      <c r="M335" s="1"/>
    </row>
    <row r="336" spans="1:13" ht="14.4" x14ac:dyDescent="0.3">
      <c r="A336" s="14">
        <v>44629</v>
      </c>
      <c r="B336" s="5">
        <v>2</v>
      </c>
      <c r="C336" s="32">
        <f>VLOOKUP(B336,'area in m2'!B$2:C$10,2,FALSE)</f>
        <v>250</v>
      </c>
      <c r="D336" s="5" t="s">
        <v>11</v>
      </c>
      <c r="E336" s="6">
        <v>508.10024355727819</v>
      </c>
      <c r="F336" s="33" t="str">
        <f t="shared" si="10"/>
        <v>Below 530</v>
      </c>
      <c r="G336" s="33">
        <f t="shared" si="11"/>
        <v>533.5052557351421</v>
      </c>
      <c r="H336" s="7">
        <v>0.03</v>
      </c>
      <c r="I336" s="5" t="s">
        <v>15</v>
      </c>
      <c r="J336" s="5">
        <v>63</v>
      </c>
      <c r="K336" s="2"/>
      <c r="L336" s="2"/>
      <c r="M336" s="1"/>
    </row>
    <row r="337" spans="1:13" ht="14.4" x14ac:dyDescent="0.3">
      <c r="A337" s="14">
        <v>44902</v>
      </c>
      <c r="B337" s="5">
        <v>1</v>
      </c>
      <c r="C337" s="32">
        <f>VLOOKUP(B337,'area in m2'!B$2:C$10,2,FALSE)</f>
        <v>280</v>
      </c>
      <c r="D337" s="5" t="s">
        <v>11</v>
      </c>
      <c r="E337" s="6">
        <v>508.66638135530138</v>
      </c>
      <c r="F337" s="33" t="str">
        <f t="shared" si="10"/>
        <v>Below 530</v>
      </c>
      <c r="G337" s="33">
        <f t="shared" si="11"/>
        <v>534.09970042306645</v>
      </c>
      <c r="H337" s="7">
        <v>0.01</v>
      </c>
      <c r="I337" s="5" t="s">
        <v>14</v>
      </c>
      <c r="J337" s="5">
        <v>21</v>
      </c>
      <c r="K337" s="2"/>
      <c r="L337" s="2"/>
      <c r="M337" s="1"/>
    </row>
    <row r="338" spans="1:13" ht="14.4" x14ac:dyDescent="0.3">
      <c r="A338" s="14">
        <v>44858</v>
      </c>
      <c r="B338" s="5">
        <v>5</v>
      </c>
      <c r="C338" s="32">
        <f>VLOOKUP(B338,'area in m2'!B$2:C$10,2,FALSE)</f>
        <v>200</v>
      </c>
      <c r="D338" s="5" t="s">
        <v>13</v>
      </c>
      <c r="E338" s="6">
        <v>550.23</v>
      </c>
      <c r="F338" s="33" t="str">
        <f t="shared" si="10"/>
        <v>Over 530</v>
      </c>
      <c r="G338" s="33">
        <f t="shared" si="11"/>
        <v>577.74150000000009</v>
      </c>
      <c r="H338" s="7">
        <v>0.02</v>
      </c>
      <c r="I338" s="5" t="s">
        <v>14</v>
      </c>
      <c r="J338" s="5">
        <v>26</v>
      </c>
      <c r="K338" s="2"/>
      <c r="L338" s="2"/>
      <c r="M338" s="1"/>
    </row>
    <row r="339" spans="1:13" ht="14.4" x14ac:dyDescent="0.3">
      <c r="A339" s="14">
        <v>44677</v>
      </c>
      <c r="B339" s="5">
        <v>7</v>
      </c>
      <c r="C339" s="32">
        <f>VLOOKUP(B339,'area in m2'!B$2:C$10,2,FALSE)</f>
        <v>166</v>
      </c>
      <c r="D339" s="5" t="s">
        <v>12</v>
      </c>
      <c r="E339" s="6">
        <v>512.55413259164015</v>
      </c>
      <c r="F339" s="33" t="str">
        <f t="shared" si="10"/>
        <v>Below 530</v>
      </c>
      <c r="G339" s="33">
        <f t="shared" si="11"/>
        <v>538.18183922122216</v>
      </c>
      <c r="H339" s="7">
        <v>0</v>
      </c>
      <c r="I339" s="5" t="s">
        <v>15</v>
      </c>
      <c r="J339" s="5">
        <v>39</v>
      </c>
      <c r="K339" s="2"/>
      <c r="L339" s="2"/>
      <c r="M339" s="1"/>
    </row>
    <row r="340" spans="1:13" ht="14.4" x14ac:dyDescent="0.3">
      <c r="A340" s="14">
        <v>44689</v>
      </c>
      <c r="B340" s="5">
        <v>9</v>
      </c>
      <c r="C340" s="32">
        <f>VLOOKUP(B340,'area in m2'!B$2:C$10,2,FALSE)</f>
        <v>140</v>
      </c>
      <c r="D340" s="5" t="s">
        <v>12</v>
      </c>
      <c r="E340" s="6">
        <v>547.27760155945725</v>
      </c>
      <c r="F340" s="33" t="str">
        <f t="shared" si="10"/>
        <v>Over 530</v>
      </c>
      <c r="G340" s="33">
        <f t="shared" si="11"/>
        <v>574.64148163743016</v>
      </c>
      <c r="H340" s="7">
        <v>0</v>
      </c>
      <c r="I340" s="5" t="s">
        <v>15</v>
      </c>
      <c r="J340" s="5">
        <v>50</v>
      </c>
      <c r="K340" s="2"/>
      <c r="L340" s="2"/>
      <c r="M340" s="1"/>
    </row>
    <row r="341" spans="1:13" ht="14.4" x14ac:dyDescent="0.3">
      <c r="A341" s="14">
        <v>44923</v>
      </c>
      <c r="B341" s="5">
        <v>3</v>
      </c>
      <c r="C341" s="32">
        <f>VLOOKUP(B341,'area in m2'!B$2:C$10,2,FALSE)</f>
        <v>195</v>
      </c>
      <c r="D341" s="5" t="s">
        <v>11</v>
      </c>
      <c r="E341" s="6">
        <v>549.43494697327696</v>
      </c>
      <c r="F341" s="33" t="str">
        <f t="shared" si="10"/>
        <v>Over 530</v>
      </c>
      <c r="G341" s="33">
        <f t="shared" si="11"/>
        <v>576.90669432194079</v>
      </c>
      <c r="H341" s="7">
        <v>0</v>
      </c>
      <c r="I341" s="5" t="s">
        <v>14</v>
      </c>
      <c r="J341" s="5">
        <v>22</v>
      </c>
      <c r="K341" s="2"/>
      <c r="L341" s="2"/>
      <c r="M341" s="1"/>
    </row>
    <row r="342" spans="1:13" ht="14.4" x14ac:dyDescent="0.3">
      <c r="A342" s="14">
        <v>44645</v>
      </c>
      <c r="B342" s="5">
        <v>6</v>
      </c>
      <c r="C342" s="32">
        <f>VLOOKUP(B342,'area in m2'!B$2:C$10,2,FALSE)</f>
        <v>175</v>
      </c>
      <c r="D342" s="5" t="s">
        <v>13</v>
      </c>
      <c r="E342" s="6">
        <v>510.41635272200256</v>
      </c>
      <c r="F342" s="33" t="str">
        <f t="shared" si="10"/>
        <v>Below 530</v>
      </c>
      <c r="G342" s="33">
        <f t="shared" si="11"/>
        <v>535.93717035810266</v>
      </c>
      <c r="H342" s="7">
        <v>0</v>
      </c>
      <c r="I342" s="5" t="s">
        <v>14</v>
      </c>
      <c r="J342" s="5">
        <v>48</v>
      </c>
      <c r="K342" s="2"/>
      <c r="L342" s="2"/>
      <c r="M342" s="1"/>
    </row>
    <row r="343" spans="1:13" ht="14.4" x14ac:dyDescent="0.3">
      <c r="A343" s="14">
        <v>44680</v>
      </c>
      <c r="B343" s="5">
        <v>7</v>
      </c>
      <c r="C343" s="32">
        <f>VLOOKUP(B343,'area in m2'!B$2:C$10,2,FALSE)</f>
        <v>166</v>
      </c>
      <c r="D343" s="5" t="s">
        <v>12</v>
      </c>
      <c r="E343" s="6">
        <v>541.27906749260183</v>
      </c>
      <c r="F343" s="33" t="str">
        <f t="shared" si="10"/>
        <v>Over 530</v>
      </c>
      <c r="G343" s="33">
        <f t="shared" si="11"/>
        <v>568.34302086723198</v>
      </c>
      <c r="H343" s="7">
        <v>0.03</v>
      </c>
      <c r="I343" s="5" t="s">
        <v>14</v>
      </c>
      <c r="J343" s="5">
        <v>37</v>
      </c>
      <c r="K343" s="2"/>
      <c r="L343" s="2"/>
      <c r="M343" s="1"/>
    </row>
    <row r="344" spans="1:13" ht="14.4" x14ac:dyDescent="0.3">
      <c r="A344" s="14">
        <v>44883</v>
      </c>
      <c r="B344" s="5">
        <v>5</v>
      </c>
      <c r="C344" s="32">
        <f>VLOOKUP(B344,'area in m2'!B$2:C$10,2,FALSE)</f>
        <v>200</v>
      </c>
      <c r="D344" s="5" t="s">
        <v>13</v>
      </c>
      <c r="E344" s="6">
        <v>558.0946519419922</v>
      </c>
      <c r="F344" s="33" t="str">
        <f t="shared" si="10"/>
        <v>Over 530</v>
      </c>
      <c r="G344" s="33">
        <f t="shared" si="11"/>
        <v>585.99938453909181</v>
      </c>
      <c r="H344" s="7">
        <v>0.01</v>
      </c>
      <c r="I344" s="5" t="s">
        <v>14</v>
      </c>
      <c r="J344" s="5">
        <v>45</v>
      </c>
      <c r="K344" s="2"/>
      <c r="L344" s="2"/>
      <c r="M344" s="1"/>
    </row>
    <row r="345" spans="1:13" ht="14.4" x14ac:dyDescent="0.3">
      <c r="A345" s="14">
        <v>44633</v>
      </c>
      <c r="B345" s="5">
        <v>1</v>
      </c>
      <c r="C345" s="32">
        <f>VLOOKUP(B345,'area in m2'!B$2:C$10,2,FALSE)</f>
        <v>280</v>
      </c>
      <c r="D345" s="5" t="s">
        <v>11</v>
      </c>
      <c r="E345" s="6">
        <v>510.66854459622209</v>
      </c>
      <c r="F345" s="33" t="str">
        <f t="shared" si="10"/>
        <v>Below 530</v>
      </c>
      <c r="G345" s="33">
        <f t="shared" si="11"/>
        <v>536.20197182603317</v>
      </c>
      <c r="H345" s="7">
        <v>0.01</v>
      </c>
      <c r="I345" s="5" t="s">
        <v>14</v>
      </c>
      <c r="J345" s="5">
        <v>41</v>
      </c>
      <c r="K345" s="2"/>
      <c r="L345" s="2"/>
      <c r="M345" s="1"/>
    </row>
    <row r="346" spans="1:13" ht="14.4" x14ac:dyDescent="0.3">
      <c r="A346" s="14">
        <v>44576</v>
      </c>
      <c r="B346" s="5">
        <v>3</v>
      </c>
      <c r="C346" s="32">
        <f>VLOOKUP(B346,'area in m2'!B$2:C$10,2,FALSE)</f>
        <v>195</v>
      </c>
      <c r="D346" s="5" t="s">
        <v>11</v>
      </c>
      <c r="E346" s="6">
        <v>538.25006054006371</v>
      </c>
      <c r="F346" s="33" t="str">
        <f t="shared" si="10"/>
        <v>Over 530</v>
      </c>
      <c r="G346" s="33">
        <f t="shared" si="11"/>
        <v>565.16256356706697</v>
      </c>
      <c r="H346" s="7">
        <v>0.01</v>
      </c>
      <c r="I346" s="5" t="s">
        <v>14</v>
      </c>
      <c r="J346" s="5">
        <v>42</v>
      </c>
      <c r="K346" s="2"/>
      <c r="L346" s="2"/>
      <c r="M346" s="1"/>
    </row>
    <row r="347" spans="1:13" ht="14.4" x14ac:dyDescent="0.3">
      <c r="A347" s="14">
        <v>44869</v>
      </c>
      <c r="B347" s="5">
        <v>7</v>
      </c>
      <c r="C347" s="32">
        <f>VLOOKUP(B347,'area in m2'!B$2:C$10,2,FALSE)</f>
        <v>166</v>
      </c>
      <c r="D347" s="5" t="s">
        <v>12</v>
      </c>
      <c r="E347" s="6">
        <v>538.88773816585399</v>
      </c>
      <c r="F347" s="33" t="str">
        <f t="shared" si="10"/>
        <v>Over 530</v>
      </c>
      <c r="G347" s="33">
        <f t="shared" si="11"/>
        <v>565.83212507414669</v>
      </c>
      <c r="H347" s="7">
        <v>0.01</v>
      </c>
      <c r="I347" s="5" t="s">
        <v>14</v>
      </c>
      <c r="J347" s="5">
        <v>49</v>
      </c>
      <c r="K347" s="2"/>
      <c r="L347" s="2"/>
      <c r="M347" s="1"/>
    </row>
    <row r="348" spans="1:13" ht="14.4" x14ac:dyDescent="0.3">
      <c r="A348" s="14">
        <v>44733</v>
      </c>
      <c r="B348" s="5">
        <v>4</v>
      </c>
      <c r="C348" s="32">
        <f>VLOOKUP(B348,'area in m2'!B$2:C$10,2,FALSE)</f>
        <v>188</v>
      </c>
      <c r="D348" s="5" t="s">
        <v>11</v>
      </c>
      <c r="E348" s="6">
        <v>515.41950118633395</v>
      </c>
      <c r="F348" s="33" t="str">
        <f t="shared" si="10"/>
        <v>Below 530</v>
      </c>
      <c r="G348" s="33">
        <f t="shared" si="11"/>
        <v>541.19047624565064</v>
      </c>
      <c r="H348" s="7">
        <v>0</v>
      </c>
      <c r="I348" s="5" t="s">
        <v>14</v>
      </c>
      <c r="J348" s="5">
        <v>47</v>
      </c>
      <c r="K348" s="2"/>
      <c r="L348" s="2"/>
      <c r="M348" s="1"/>
    </row>
    <row r="349" spans="1:13" ht="14.4" x14ac:dyDescent="0.3">
      <c r="A349" s="14">
        <v>44893</v>
      </c>
      <c r="B349" s="5">
        <v>9</v>
      </c>
      <c r="C349" s="32">
        <f>VLOOKUP(B349,'area in m2'!B$2:C$10,2,FALSE)</f>
        <v>140</v>
      </c>
      <c r="D349" s="5" t="s">
        <v>12</v>
      </c>
      <c r="E349" s="6">
        <v>512.98553655050637</v>
      </c>
      <c r="F349" s="33" t="str">
        <f t="shared" si="10"/>
        <v>Below 530</v>
      </c>
      <c r="G349" s="33">
        <f t="shared" si="11"/>
        <v>538.63481337803171</v>
      </c>
      <c r="H349" s="7">
        <v>0.02</v>
      </c>
      <c r="I349" s="5" t="s">
        <v>14</v>
      </c>
      <c r="J349" s="5">
        <v>48</v>
      </c>
      <c r="K349" s="2"/>
      <c r="L349" s="2"/>
      <c r="M349" s="1"/>
    </row>
    <row r="350" spans="1:13" ht="14.4" x14ac:dyDescent="0.3">
      <c r="A350" s="14">
        <v>44751</v>
      </c>
      <c r="B350" s="5">
        <v>6</v>
      </c>
      <c r="C350" s="32">
        <f>VLOOKUP(B350,'area in m2'!B$2:C$10,2,FALSE)</f>
        <v>175</v>
      </c>
      <c r="D350" s="5" t="s">
        <v>13</v>
      </c>
      <c r="E350" s="6">
        <v>544.85816874335796</v>
      </c>
      <c r="F350" s="33" t="str">
        <f t="shared" si="10"/>
        <v>Over 530</v>
      </c>
      <c r="G350" s="33">
        <f t="shared" si="11"/>
        <v>572.10107718052586</v>
      </c>
      <c r="H350" s="7">
        <v>0.01</v>
      </c>
      <c r="I350" s="5" t="s">
        <v>14</v>
      </c>
      <c r="J350" s="5">
        <v>48</v>
      </c>
      <c r="K350" s="2"/>
      <c r="L350" s="2"/>
      <c r="M350" s="1"/>
    </row>
    <row r="351" spans="1:13" ht="14.4" x14ac:dyDescent="0.3">
      <c r="A351" s="14">
        <v>44698</v>
      </c>
      <c r="B351" s="5">
        <v>4</v>
      </c>
      <c r="C351" s="32">
        <f>VLOOKUP(B351,'area in m2'!B$2:C$10,2,FALSE)</f>
        <v>188</v>
      </c>
      <c r="D351" s="5" t="s">
        <v>11</v>
      </c>
      <c r="E351" s="6">
        <v>533.85712443350894</v>
      </c>
      <c r="F351" s="33" t="str">
        <f t="shared" si="10"/>
        <v>Over 530</v>
      </c>
      <c r="G351" s="33">
        <f t="shared" si="11"/>
        <v>560.54998065518441</v>
      </c>
      <c r="H351" s="7">
        <v>0</v>
      </c>
      <c r="I351" s="5" t="s">
        <v>15</v>
      </c>
      <c r="J351" s="5">
        <v>49</v>
      </c>
      <c r="K351" s="2"/>
      <c r="L351" s="2"/>
      <c r="M351" s="1"/>
    </row>
    <row r="352" spans="1:13" ht="14.4" x14ac:dyDescent="0.3">
      <c r="A352" s="14">
        <v>44899</v>
      </c>
      <c r="B352" s="5">
        <v>6</v>
      </c>
      <c r="C352" s="32">
        <f>VLOOKUP(B352,'area in m2'!B$2:C$10,2,FALSE)</f>
        <v>175</v>
      </c>
      <c r="D352" s="5" t="s">
        <v>13</v>
      </c>
      <c r="E352" s="6">
        <v>505.70969438265092</v>
      </c>
      <c r="F352" s="33" t="str">
        <f t="shared" si="10"/>
        <v>Below 530</v>
      </c>
      <c r="G352" s="33">
        <f t="shared" si="11"/>
        <v>530.99517910178349</v>
      </c>
      <c r="H352" s="7">
        <v>0.01</v>
      </c>
      <c r="I352" s="5" t="s">
        <v>14</v>
      </c>
      <c r="J352" s="5">
        <v>29</v>
      </c>
      <c r="K352" s="2"/>
      <c r="L352" s="2"/>
      <c r="M352" s="1"/>
    </row>
    <row r="353" spans="1:13" ht="14.4" x14ac:dyDescent="0.3">
      <c r="A353" s="14">
        <v>44623</v>
      </c>
      <c r="B353" s="5">
        <v>4</v>
      </c>
      <c r="C353" s="32">
        <f>VLOOKUP(B353,'area in m2'!B$2:C$10,2,FALSE)</f>
        <v>188</v>
      </c>
      <c r="D353" s="5" t="s">
        <v>11</v>
      </c>
      <c r="E353" s="6">
        <v>532.29663835473639</v>
      </c>
      <c r="F353" s="33" t="str">
        <f t="shared" si="10"/>
        <v>Over 530</v>
      </c>
      <c r="G353" s="33">
        <f t="shared" si="11"/>
        <v>558.91147027247325</v>
      </c>
      <c r="H353" s="7">
        <v>0.02</v>
      </c>
      <c r="I353" s="5" t="s">
        <v>14</v>
      </c>
      <c r="J353" s="5">
        <v>42</v>
      </c>
      <c r="K353" s="2"/>
      <c r="L353" s="2"/>
      <c r="M353" s="1"/>
    </row>
    <row r="354" spans="1:13" ht="14.4" x14ac:dyDescent="0.3">
      <c r="A354" s="14">
        <v>44581</v>
      </c>
      <c r="B354" s="5">
        <v>2</v>
      </c>
      <c r="C354" s="32">
        <f>VLOOKUP(B354,'area in m2'!B$2:C$10,2,FALSE)</f>
        <v>250</v>
      </c>
      <c r="D354" s="5" t="s">
        <v>11</v>
      </c>
      <c r="E354" s="6">
        <v>505.32138449850936</v>
      </c>
      <c r="F354" s="33" t="str">
        <f t="shared" si="10"/>
        <v>Below 530</v>
      </c>
      <c r="G354" s="33">
        <f t="shared" si="11"/>
        <v>530.58745372343481</v>
      </c>
      <c r="H354" s="7">
        <v>0.03</v>
      </c>
      <c r="I354" s="5" t="s">
        <v>14</v>
      </c>
      <c r="J354" s="5">
        <v>24</v>
      </c>
      <c r="K354" s="2"/>
      <c r="L354" s="2"/>
      <c r="M354" s="1"/>
    </row>
    <row r="355" spans="1:13" ht="14.4" x14ac:dyDescent="0.3">
      <c r="A355" s="14">
        <v>44638</v>
      </c>
      <c r="B355" s="5">
        <v>3</v>
      </c>
      <c r="C355" s="32">
        <f>VLOOKUP(B355,'area in m2'!B$2:C$10,2,FALSE)</f>
        <v>195</v>
      </c>
      <c r="D355" s="5" t="s">
        <v>11</v>
      </c>
      <c r="E355" s="6">
        <v>533.07847596721967</v>
      </c>
      <c r="F355" s="33" t="str">
        <f t="shared" si="10"/>
        <v>Over 530</v>
      </c>
      <c r="G355" s="33">
        <f t="shared" si="11"/>
        <v>559.73239976558068</v>
      </c>
      <c r="H355" s="7">
        <v>0</v>
      </c>
      <c r="I355" s="5" t="s">
        <v>14</v>
      </c>
      <c r="J355" s="5">
        <v>33</v>
      </c>
      <c r="K355" s="2"/>
      <c r="L355" s="2"/>
      <c r="M355" s="1"/>
    </row>
    <row r="356" spans="1:13" ht="14.4" x14ac:dyDescent="0.3">
      <c r="A356" s="14">
        <v>44609</v>
      </c>
      <c r="B356" s="5">
        <v>9</v>
      </c>
      <c r="C356" s="32">
        <f>VLOOKUP(B356,'area in m2'!B$2:C$10,2,FALSE)</f>
        <v>140</v>
      </c>
      <c r="D356" s="5" t="s">
        <v>12</v>
      </c>
      <c r="E356" s="6">
        <v>542.13112772032491</v>
      </c>
      <c r="F356" s="33" t="str">
        <f t="shared" si="10"/>
        <v>Over 530</v>
      </c>
      <c r="G356" s="33">
        <f t="shared" si="11"/>
        <v>569.23768410634113</v>
      </c>
      <c r="H356" s="7">
        <v>0</v>
      </c>
      <c r="I356" s="5" t="s">
        <v>15</v>
      </c>
      <c r="J356" s="5">
        <v>27</v>
      </c>
      <c r="K356" s="2"/>
      <c r="L356" s="2"/>
      <c r="M356" s="1"/>
    </row>
    <row r="357" spans="1:13" ht="14.4" x14ac:dyDescent="0.3">
      <c r="A357" s="14">
        <v>44775</v>
      </c>
      <c r="B357" s="5">
        <v>4</v>
      </c>
      <c r="C357" s="32">
        <f>VLOOKUP(B357,'area in m2'!B$2:C$10,2,FALSE)</f>
        <v>188</v>
      </c>
      <c r="D357" s="5" t="s">
        <v>11</v>
      </c>
      <c r="E357" s="6">
        <v>508.79178333497566</v>
      </c>
      <c r="F357" s="33" t="str">
        <f t="shared" si="10"/>
        <v>Below 530</v>
      </c>
      <c r="G357" s="33">
        <f t="shared" si="11"/>
        <v>534.23137250172442</v>
      </c>
      <c r="H357" s="7">
        <v>0.01</v>
      </c>
      <c r="I357" s="5" t="s">
        <v>14</v>
      </c>
      <c r="J357" s="5">
        <v>46</v>
      </c>
      <c r="K357" s="2"/>
      <c r="L357" s="2"/>
      <c r="M357" s="1"/>
    </row>
    <row r="358" spans="1:13" ht="14.4" x14ac:dyDescent="0.3">
      <c r="A358" s="14">
        <v>44925</v>
      </c>
      <c r="B358" s="5">
        <v>4</v>
      </c>
      <c r="C358" s="32">
        <f>VLOOKUP(B358,'area in m2'!B$2:C$10,2,FALSE)</f>
        <v>188</v>
      </c>
      <c r="D358" s="5" t="s">
        <v>11</v>
      </c>
      <c r="E358" s="6">
        <v>506.95684395735316</v>
      </c>
      <c r="F358" s="33" t="str">
        <f t="shared" si="10"/>
        <v>Below 530</v>
      </c>
      <c r="G358" s="33">
        <f t="shared" si="11"/>
        <v>532.30468615522079</v>
      </c>
      <c r="H358" s="7">
        <v>0</v>
      </c>
      <c r="I358" s="5" t="s">
        <v>15</v>
      </c>
      <c r="J358" s="5">
        <v>49</v>
      </c>
      <c r="K358" s="2"/>
      <c r="L358" s="2"/>
      <c r="M358" s="1"/>
    </row>
    <row r="359" spans="1:13" ht="14.4" x14ac:dyDescent="0.3">
      <c r="A359" s="14">
        <v>44694</v>
      </c>
      <c r="B359" s="5">
        <v>5</v>
      </c>
      <c r="C359" s="32">
        <f>VLOOKUP(B359,'area in m2'!B$2:C$10,2,FALSE)</f>
        <v>200</v>
      </c>
      <c r="D359" s="5" t="s">
        <v>13</v>
      </c>
      <c r="E359" s="6">
        <v>521.36561658641313</v>
      </c>
      <c r="F359" s="33" t="str">
        <f t="shared" si="10"/>
        <v>Below 530</v>
      </c>
      <c r="G359" s="33">
        <f t="shared" si="11"/>
        <v>547.43389741573378</v>
      </c>
      <c r="H359" s="7">
        <v>0.01</v>
      </c>
      <c r="I359" s="5" t="s">
        <v>15</v>
      </c>
      <c r="J359" s="5">
        <v>37</v>
      </c>
      <c r="K359" s="2"/>
      <c r="L359" s="2"/>
      <c r="M359" s="1"/>
    </row>
    <row r="360" spans="1:13" ht="14.4" x14ac:dyDescent="0.3">
      <c r="A360" s="14">
        <v>44898</v>
      </c>
      <c r="B360" s="5">
        <v>2</v>
      </c>
      <c r="C360" s="32">
        <f>VLOOKUP(B360,'area in m2'!B$2:C$10,2,FALSE)</f>
        <v>250</v>
      </c>
      <c r="D360" s="5" t="s">
        <v>11</v>
      </c>
      <c r="E360" s="6">
        <v>539.56511537964616</v>
      </c>
      <c r="F360" s="33" t="str">
        <f t="shared" si="10"/>
        <v>Over 530</v>
      </c>
      <c r="G360" s="33">
        <f t="shared" si="11"/>
        <v>566.54337114862847</v>
      </c>
      <c r="H360" s="7">
        <v>0.01</v>
      </c>
      <c r="I360" s="5" t="s">
        <v>14</v>
      </c>
      <c r="J360" s="5">
        <v>41</v>
      </c>
      <c r="K360" s="2"/>
      <c r="L360" s="2"/>
      <c r="M360" s="1"/>
    </row>
    <row r="361" spans="1:13" ht="14.4" x14ac:dyDescent="0.3">
      <c r="A361" s="14">
        <v>44805</v>
      </c>
      <c r="B361" s="5">
        <v>6</v>
      </c>
      <c r="C361" s="32">
        <f>VLOOKUP(B361,'area in m2'!B$2:C$10,2,FALSE)</f>
        <v>175</v>
      </c>
      <c r="D361" s="5" t="s">
        <v>13</v>
      </c>
      <c r="E361" s="6">
        <v>507.89616855035911</v>
      </c>
      <c r="F361" s="33" t="str">
        <f t="shared" si="10"/>
        <v>Below 530</v>
      </c>
      <c r="G361" s="33">
        <f t="shared" si="11"/>
        <v>533.29097697787711</v>
      </c>
      <c r="H361" s="7">
        <v>0.01</v>
      </c>
      <c r="I361" s="5" t="s">
        <v>14</v>
      </c>
      <c r="J361" s="5">
        <v>28</v>
      </c>
      <c r="K361" s="2"/>
      <c r="L361" s="2"/>
      <c r="M361" s="1"/>
    </row>
    <row r="362" spans="1:13" ht="14.4" x14ac:dyDescent="0.3">
      <c r="A362" s="14">
        <v>44842</v>
      </c>
      <c r="B362" s="5">
        <v>3</v>
      </c>
      <c r="C362" s="32">
        <f>VLOOKUP(B362,'area in m2'!B$2:C$10,2,FALSE)</f>
        <v>195</v>
      </c>
      <c r="D362" s="5" t="s">
        <v>11</v>
      </c>
      <c r="E362" s="6">
        <v>538.13672391894579</v>
      </c>
      <c r="F362" s="33" t="str">
        <f t="shared" si="10"/>
        <v>Over 530</v>
      </c>
      <c r="G362" s="33">
        <f t="shared" si="11"/>
        <v>565.04356011489313</v>
      </c>
      <c r="H362" s="7">
        <v>0.02</v>
      </c>
      <c r="I362" s="5" t="s">
        <v>15</v>
      </c>
      <c r="J362" s="5">
        <v>27</v>
      </c>
      <c r="K362" s="2"/>
      <c r="L362" s="2"/>
      <c r="M362" s="1"/>
    </row>
    <row r="363" spans="1:13" ht="14.4" x14ac:dyDescent="0.3">
      <c r="A363" s="14">
        <v>44726</v>
      </c>
      <c r="B363" s="5">
        <v>9</v>
      </c>
      <c r="C363" s="32">
        <f>VLOOKUP(B363,'area in m2'!B$2:C$10,2,FALSE)</f>
        <v>140</v>
      </c>
      <c r="D363" s="5" t="s">
        <v>12</v>
      </c>
      <c r="E363" s="6">
        <v>500.91080893899834</v>
      </c>
      <c r="F363" s="33" t="str">
        <f t="shared" si="10"/>
        <v>Below 530</v>
      </c>
      <c r="G363" s="33">
        <f t="shared" si="11"/>
        <v>525.95634938594833</v>
      </c>
      <c r="H363" s="7">
        <v>0.02</v>
      </c>
      <c r="I363" s="5" t="s">
        <v>14</v>
      </c>
      <c r="J363" s="5">
        <v>48</v>
      </c>
      <c r="K363" s="2"/>
      <c r="L363" s="2"/>
      <c r="M363" s="1"/>
    </row>
    <row r="364" spans="1:13" ht="14.4" x14ac:dyDescent="0.3">
      <c r="A364" s="14">
        <v>44785</v>
      </c>
      <c r="B364" s="5">
        <v>2</v>
      </c>
      <c r="C364" s="32">
        <f>VLOOKUP(B364,'area in m2'!B$2:C$10,2,FALSE)</f>
        <v>250</v>
      </c>
      <c r="D364" s="5" t="s">
        <v>11</v>
      </c>
      <c r="E364" s="6">
        <v>547.83819443321772</v>
      </c>
      <c r="F364" s="33" t="str">
        <f t="shared" si="10"/>
        <v>Over 530</v>
      </c>
      <c r="G364" s="33">
        <f t="shared" si="11"/>
        <v>575.23010415487863</v>
      </c>
      <c r="H364" s="7">
        <v>0.02</v>
      </c>
      <c r="I364" s="5" t="s">
        <v>14</v>
      </c>
      <c r="J364" s="5">
        <v>21</v>
      </c>
      <c r="K364" s="2"/>
      <c r="L364" s="2"/>
      <c r="M364" s="1"/>
    </row>
    <row r="365" spans="1:13" ht="14.4" x14ac:dyDescent="0.3">
      <c r="A365" s="14">
        <v>44758</v>
      </c>
      <c r="B365" s="5">
        <v>9</v>
      </c>
      <c r="C365" s="32">
        <f>VLOOKUP(B365,'area in m2'!B$2:C$10,2,FALSE)</f>
        <v>140</v>
      </c>
      <c r="D365" s="5" t="s">
        <v>12</v>
      </c>
      <c r="E365" s="6">
        <v>544.81542066803195</v>
      </c>
      <c r="F365" s="33" t="str">
        <f t="shared" si="10"/>
        <v>Over 530</v>
      </c>
      <c r="G365" s="33">
        <f t="shared" si="11"/>
        <v>572.05619170143359</v>
      </c>
      <c r="H365" s="7">
        <v>0.02</v>
      </c>
      <c r="I365" s="5" t="s">
        <v>14</v>
      </c>
      <c r="J365" s="5">
        <v>45</v>
      </c>
      <c r="K365" s="2"/>
      <c r="L365" s="2"/>
      <c r="M365" s="1"/>
    </row>
    <row r="366" spans="1:13" ht="14.4" x14ac:dyDescent="0.3">
      <c r="A366" s="14">
        <v>44864</v>
      </c>
      <c r="B366" s="5">
        <v>6</v>
      </c>
      <c r="C366" s="32">
        <f>VLOOKUP(B366,'area in m2'!B$2:C$10,2,FALSE)</f>
        <v>175</v>
      </c>
      <c r="D366" s="5" t="s">
        <v>13</v>
      </c>
      <c r="E366" s="6">
        <v>507.89616855035911</v>
      </c>
      <c r="F366" s="33" t="str">
        <f t="shared" si="10"/>
        <v>Below 530</v>
      </c>
      <c r="G366" s="33">
        <f t="shared" si="11"/>
        <v>533.29097697787711</v>
      </c>
      <c r="H366" s="7">
        <v>0</v>
      </c>
      <c r="I366" s="5" t="s">
        <v>14</v>
      </c>
      <c r="J366" s="5">
        <v>42</v>
      </c>
      <c r="K366" s="2"/>
      <c r="L366" s="2"/>
      <c r="M366" s="1"/>
    </row>
    <row r="367" spans="1:13" ht="14.4" x14ac:dyDescent="0.3">
      <c r="A367" s="14">
        <v>44648</v>
      </c>
      <c r="B367" s="5">
        <v>4</v>
      </c>
      <c r="C367" s="32">
        <f>VLOOKUP(B367,'area in m2'!B$2:C$10,2,FALSE)</f>
        <v>188</v>
      </c>
      <c r="D367" s="5" t="s">
        <v>11</v>
      </c>
      <c r="E367" s="6">
        <v>514.7653111294976</v>
      </c>
      <c r="F367" s="33" t="str">
        <f t="shared" si="10"/>
        <v>Below 530</v>
      </c>
      <c r="G367" s="33">
        <f t="shared" si="11"/>
        <v>540.50357668597246</v>
      </c>
      <c r="H367" s="7">
        <v>0.01</v>
      </c>
      <c r="I367" s="5" t="s">
        <v>15</v>
      </c>
      <c r="J367" s="5">
        <v>22</v>
      </c>
      <c r="K367" s="2"/>
      <c r="L367" s="2"/>
      <c r="M367" s="1"/>
    </row>
    <row r="368" spans="1:13" ht="14.4" x14ac:dyDescent="0.3">
      <c r="A368" s="14">
        <v>44621</v>
      </c>
      <c r="B368" s="5">
        <v>9</v>
      </c>
      <c r="C368" s="32">
        <f>VLOOKUP(B368,'area in m2'!B$2:C$10,2,FALSE)</f>
        <v>140</v>
      </c>
      <c r="D368" s="5" t="s">
        <v>12</v>
      </c>
      <c r="E368" s="6">
        <v>502.61150454409471</v>
      </c>
      <c r="F368" s="33" t="str">
        <f t="shared" si="10"/>
        <v>Below 530</v>
      </c>
      <c r="G368" s="33">
        <f t="shared" si="11"/>
        <v>527.74207977129947</v>
      </c>
      <c r="H368" s="7">
        <v>0.01</v>
      </c>
      <c r="I368" s="5" t="s">
        <v>14</v>
      </c>
      <c r="J368" s="5">
        <v>24</v>
      </c>
      <c r="K368" s="2"/>
      <c r="L368" s="2"/>
      <c r="M368" s="1"/>
    </row>
    <row r="369" spans="1:13" ht="14.4" x14ac:dyDescent="0.3">
      <c r="A369" s="14">
        <v>44635</v>
      </c>
      <c r="B369" s="5">
        <v>3</v>
      </c>
      <c r="C369" s="32">
        <f>VLOOKUP(B369,'area in m2'!B$2:C$10,2,FALSE)</f>
        <v>195</v>
      </c>
      <c r="D369" s="5" t="s">
        <v>11</v>
      </c>
      <c r="E369" s="6">
        <v>506.72615802364908</v>
      </c>
      <c r="F369" s="33" t="str">
        <f t="shared" si="10"/>
        <v>Below 530</v>
      </c>
      <c r="G369" s="33">
        <f t="shared" si="11"/>
        <v>532.0624659248316</v>
      </c>
      <c r="H369" s="7">
        <v>0.02</v>
      </c>
      <c r="I369" s="5" t="s">
        <v>14</v>
      </c>
      <c r="J369" s="5">
        <v>30</v>
      </c>
      <c r="K369" s="2"/>
      <c r="L369" s="2"/>
      <c r="M369" s="1"/>
    </row>
    <row r="370" spans="1:13" ht="14.4" x14ac:dyDescent="0.3">
      <c r="A370" s="14">
        <v>44603</v>
      </c>
      <c r="B370" s="5">
        <v>8</v>
      </c>
      <c r="C370" s="32">
        <f>VLOOKUP(B370,'area in m2'!B$2:C$10,2,FALSE)</f>
        <v>142</v>
      </c>
      <c r="D370" s="5" t="s">
        <v>12</v>
      </c>
      <c r="E370" s="6">
        <v>549.42087750418432</v>
      </c>
      <c r="F370" s="33" t="str">
        <f t="shared" si="10"/>
        <v>Over 530</v>
      </c>
      <c r="G370" s="33">
        <f t="shared" si="11"/>
        <v>576.89192137939358</v>
      </c>
      <c r="H370" s="7">
        <v>0.02</v>
      </c>
      <c r="I370" s="5" t="s">
        <v>14</v>
      </c>
      <c r="J370" s="5">
        <v>50</v>
      </c>
      <c r="K370" s="2"/>
      <c r="L370" s="2"/>
      <c r="M370" s="1"/>
    </row>
    <row r="371" spans="1:13" ht="14.4" x14ac:dyDescent="0.3">
      <c r="A371" s="14">
        <v>44630</v>
      </c>
      <c r="B371" s="5">
        <v>4</v>
      </c>
      <c r="C371" s="32">
        <f>VLOOKUP(B371,'area in m2'!B$2:C$10,2,FALSE)</f>
        <v>188</v>
      </c>
      <c r="D371" s="5" t="s">
        <v>11</v>
      </c>
      <c r="E371" s="6">
        <v>500.42486897209892</v>
      </c>
      <c r="F371" s="33" t="str">
        <f t="shared" si="10"/>
        <v>Below 530</v>
      </c>
      <c r="G371" s="33">
        <f t="shared" si="11"/>
        <v>525.44611242070391</v>
      </c>
      <c r="H371" s="7">
        <v>0</v>
      </c>
      <c r="I371" s="5" t="s">
        <v>14</v>
      </c>
      <c r="J371" s="5">
        <v>38</v>
      </c>
      <c r="K371" s="2"/>
      <c r="L371" s="2"/>
      <c r="M371" s="1"/>
    </row>
    <row r="372" spans="1:13" ht="14.4" x14ac:dyDescent="0.3">
      <c r="A372" s="14">
        <v>44778</v>
      </c>
      <c r="B372" s="5">
        <v>9</v>
      </c>
      <c r="C372" s="32">
        <f>VLOOKUP(B372,'area in m2'!B$2:C$10,2,FALSE)</f>
        <v>140</v>
      </c>
      <c r="D372" s="5" t="s">
        <v>12</v>
      </c>
      <c r="E372" s="6">
        <v>509.51203695403092</v>
      </c>
      <c r="F372" s="33" t="str">
        <f t="shared" si="10"/>
        <v>Below 530</v>
      </c>
      <c r="G372" s="33">
        <f t="shared" si="11"/>
        <v>534.98763880173249</v>
      </c>
      <c r="H372" s="7">
        <v>0.03</v>
      </c>
      <c r="I372" s="5" t="s">
        <v>15</v>
      </c>
      <c r="J372" s="5">
        <v>63</v>
      </c>
      <c r="K372" s="2"/>
      <c r="L372" s="2"/>
      <c r="M372" s="1"/>
    </row>
    <row r="373" spans="1:13" ht="14.4" x14ac:dyDescent="0.3">
      <c r="A373" s="14">
        <v>44639</v>
      </c>
      <c r="B373" s="5">
        <v>5</v>
      </c>
      <c r="C373" s="32">
        <f>VLOOKUP(B373,'area in m2'!B$2:C$10,2,FALSE)</f>
        <v>200</v>
      </c>
      <c r="D373" s="5" t="s">
        <v>13</v>
      </c>
      <c r="E373" s="6">
        <v>534.25402656077313</v>
      </c>
      <c r="F373" s="33" t="str">
        <f t="shared" si="10"/>
        <v>Over 530</v>
      </c>
      <c r="G373" s="33">
        <f t="shared" si="11"/>
        <v>560.96672788881176</v>
      </c>
      <c r="H373" s="7">
        <v>0.02</v>
      </c>
      <c r="I373" s="5" t="s">
        <v>14</v>
      </c>
      <c r="J373" s="5">
        <v>34</v>
      </c>
      <c r="K373" s="2"/>
      <c r="L373" s="2"/>
      <c r="M373" s="1"/>
    </row>
    <row r="374" spans="1:13" ht="14.4" x14ac:dyDescent="0.3">
      <c r="A374" s="14">
        <v>44734</v>
      </c>
      <c r="B374" s="5">
        <v>6</v>
      </c>
      <c r="C374" s="32">
        <f>VLOOKUP(B374,'area in m2'!B$2:C$10,2,FALSE)</f>
        <v>175</v>
      </c>
      <c r="D374" s="5" t="s">
        <v>13</v>
      </c>
      <c r="E374" s="6">
        <v>509.93563226607239</v>
      </c>
      <c r="F374" s="33" t="str">
        <f t="shared" si="10"/>
        <v>Below 530</v>
      </c>
      <c r="G374" s="33">
        <f t="shared" si="11"/>
        <v>535.43241387937599</v>
      </c>
      <c r="H374" s="7">
        <v>0.01</v>
      </c>
      <c r="I374" s="5" t="s">
        <v>14</v>
      </c>
      <c r="J374" s="5">
        <v>46</v>
      </c>
      <c r="K374" s="2"/>
      <c r="L374" s="2"/>
      <c r="M374" s="1"/>
    </row>
    <row r="375" spans="1:13" ht="14.4" x14ac:dyDescent="0.3">
      <c r="A375" s="14">
        <v>44601</v>
      </c>
      <c r="B375" s="5">
        <v>5</v>
      </c>
      <c r="C375" s="32">
        <f>VLOOKUP(B375,'area in m2'!B$2:C$10,2,FALSE)</f>
        <v>200</v>
      </c>
      <c r="D375" s="5" t="s">
        <v>13</v>
      </c>
      <c r="E375" s="6">
        <v>532.96820316191133</v>
      </c>
      <c r="F375" s="33" t="str">
        <f t="shared" si="10"/>
        <v>Over 530</v>
      </c>
      <c r="G375" s="33">
        <f t="shared" si="11"/>
        <v>559.61661332000688</v>
      </c>
      <c r="H375" s="7">
        <v>0.01</v>
      </c>
      <c r="I375" s="5" t="s">
        <v>14</v>
      </c>
      <c r="J375" s="5">
        <v>30</v>
      </c>
      <c r="K375" s="2"/>
      <c r="L375" s="2"/>
      <c r="M375" s="1"/>
    </row>
    <row r="376" spans="1:13" ht="14.4" x14ac:dyDescent="0.3">
      <c r="A376" s="14">
        <v>44570</v>
      </c>
      <c r="B376" s="5">
        <v>2</v>
      </c>
      <c r="C376" s="32">
        <f>VLOOKUP(B376,'area in m2'!B$2:C$10,2,FALSE)</f>
        <v>250</v>
      </c>
      <c r="D376" s="5" t="s">
        <v>11</v>
      </c>
      <c r="E376" s="6">
        <v>506.76386896911845</v>
      </c>
      <c r="F376" s="33" t="str">
        <f t="shared" si="10"/>
        <v>Below 530</v>
      </c>
      <c r="G376" s="33">
        <f t="shared" si="11"/>
        <v>532.10206241757442</v>
      </c>
      <c r="H376" s="7">
        <v>0.02</v>
      </c>
      <c r="I376" s="5" t="s">
        <v>14</v>
      </c>
      <c r="J376" s="5">
        <v>41</v>
      </c>
      <c r="K376" s="2"/>
      <c r="L376" s="2"/>
      <c r="M376" s="1"/>
    </row>
    <row r="377" spans="1:13" ht="14.4" x14ac:dyDescent="0.3">
      <c r="A377" s="14">
        <v>44889</v>
      </c>
      <c r="B377" s="5">
        <v>6</v>
      </c>
      <c r="C377" s="32">
        <f>VLOOKUP(B377,'area in m2'!B$2:C$10,2,FALSE)</f>
        <v>175</v>
      </c>
      <c r="D377" s="5" t="s">
        <v>13</v>
      </c>
      <c r="E377" s="6">
        <v>511.13727902466235</v>
      </c>
      <c r="F377" s="33" t="str">
        <f t="shared" si="10"/>
        <v>Below 530</v>
      </c>
      <c r="G377" s="33">
        <f t="shared" si="11"/>
        <v>536.69414297589549</v>
      </c>
      <c r="H377" s="7">
        <v>0</v>
      </c>
      <c r="I377" s="5" t="s">
        <v>14</v>
      </c>
      <c r="J377" s="5">
        <v>25</v>
      </c>
      <c r="K377" s="2"/>
      <c r="L377" s="2"/>
      <c r="M377" s="1"/>
    </row>
    <row r="378" spans="1:13" ht="14.4" x14ac:dyDescent="0.3">
      <c r="A378" s="14">
        <v>44780</v>
      </c>
      <c r="B378" s="5">
        <v>6</v>
      </c>
      <c r="C378" s="32">
        <f>VLOOKUP(B378,'area in m2'!B$2:C$10,2,FALSE)</f>
        <v>175</v>
      </c>
      <c r="D378" s="5" t="s">
        <v>13</v>
      </c>
      <c r="E378" s="6">
        <v>505.53964147398165</v>
      </c>
      <c r="F378" s="33" t="str">
        <f t="shared" si="10"/>
        <v>Below 530</v>
      </c>
      <c r="G378" s="33">
        <f t="shared" si="11"/>
        <v>530.81662354768071</v>
      </c>
      <c r="H378" s="7">
        <v>0.01</v>
      </c>
      <c r="I378" s="5" t="s">
        <v>15</v>
      </c>
      <c r="J378" s="5">
        <v>25</v>
      </c>
      <c r="K378" s="2"/>
      <c r="L378" s="2"/>
      <c r="M378" s="1"/>
    </row>
    <row r="379" spans="1:13" ht="14.4" x14ac:dyDescent="0.3">
      <c r="A379" s="14">
        <v>44639</v>
      </c>
      <c r="B379" s="5">
        <v>8</v>
      </c>
      <c r="C379" s="32">
        <f>VLOOKUP(B379,'area in m2'!B$2:C$10,2,FALSE)</f>
        <v>142</v>
      </c>
      <c r="D379" s="5" t="s">
        <v>11</v>
      </c>
      <c r="E379" s="6">
        <v>528.45187423913831</v>
      </c>
      <c r="F379" s="33" t="str">
        <f t="shared" si="10"/>
        <v>Below 530</v>
      </c>
      <c r="G379" s="33">
        <f t="shared" si="11"/>
        <v>554.8744679510952</v>
      </c>
      <c r="H379" s="7">
        <v>0.03</v>
      </c>
      <c r="I379" s="5" t="s">
        <v>14</v>
      </c>
      <c r="J379" s="5">
        <v>40</v>
      </c>
      <c r="K379" s="2"/>
      <c r="L379" s="2"/>
      <c r="M379" s="1"/>
    </row>
    <row r="380" spans="1:13" ht="14.4" x14ac:dyDescent="0.3">
      <c r="A380" s="14">
        <v>44844</v>
      </c>
      <c r="B380" s="5">
        <v>4</v>
      </c>
      <c r="C380" s="32">
        <f>VLOOKUP(B380,'area in m2'!B$2:C$10,2,FALSE)</f>
        <v>188</v>
      </c>
      <c r="D380" s="5" t="s">
        <v>11</v>
      </c>
      <c r="E380" s="6">
        <v>513.98188183620823</v>
      </c>
      <c r="F380" s="33" t="str">
        <f t="shared" si="10"/>
        <v>Below 530</v>
      </c>
      <c r="G380" s="33">
        <f t="shared" si="11"/>
        <v>539.68097592801871</v>
      </c>
      <c r="H380" s="7">
        <v>0.02</v>
      </c>
      <c r="I380" s="5" t="s">
        <v>14</v>
      </c>
      <c r="J380" s="5">
        <v>40</v>
      </c>
      <c r="K380" s="2"/>
      <c r="L380" s="2"/>
      <c r="M380" s="1"/>
    </row>
    <row r="381" spans="1:13" ht="14.4" x14ac:dyDescent="0.3">
      <c r="A381" s="14">
        <v>44603</v>
      </c>
      <c r="B381" s="5">
        <v>3</v>
      </c>
      <c r="C381" s="32">
        <f>VLOOKUP(B381,'area in m2'!B$2:C$10,2,FALSE)</f>
        <v>195</v>
      </c>
      <c r="D381" s="5" t="s">
        <v>11</v>
      </c>
      <c r="E381" s="6">
        <v>546.52124421135522</v>
      </c>
      <c r="F381" s="33" t="str">
        <f t="shared" si="10"/>
        <v>Over 530</v>
      </c>
      <c r="G381" s="33">
        <f t="shared" si="11"/>
        <v>573.84730642192301</v>
      </c>
      <c r="H381" s="7">
        <v>0</v>
      </c>
      <c r="I381" s="5" t="s">
        <v>14</v>
      </c>
      <c r="J381" s="5">
        <v>33</v>
      </c>
      <c r="K381" s="2"/>
      <c r="L381" s="2"/>
      <c r="M381" s="1"/>
    </row>
    <row r="382" spans="1:13" ht="14.4" x14ac:dyDescent="0.3">
      <c r="A382" s="14">
        <v>44855</v>
      </c>
      <c r="B382" s="5">
        <v>6</v>
      </c>
      <c r="C382" s="32">
        <f>VLOOKUP(B382,'area in m2'!B$2:C$10,2,FALSE)</f>
        <v>175</v>
      </c>
      <c r="D382" s="5" t="s">
        <v>13</v>
      </c>
      <c r="E382" s="6">
        <v>524.23792104938366</v>
      </c>
      <c r="F382" s="33" t="str">
        <f t="shared" si="10"/>
        <v>Below 530</v>
      </c>
      <c r="G382" s="33">
        <f t="shared" si="11"/>
        <v>550.44981710185289</v>
      </c>
      <c r="H382" s="7">
        <v>0.01</v>
      </c>
      <c r="I382" s="5" t="s">
        <v>14</v>
      </c>
      <c r="J382" s="5">
        <v>44</v>
      </c>
      <c r="K382" s="2"/>
      <c r="L382" s="2"/>
      <c r="M382" s="1"/>
    </row>
    <row r="383" spans="1:13" ht="14.4" x14ac:dyDescent="0.3">
      <c r="A383" s="14">
        <v>44881</v>
      </c>
      <c r="B383" s="5">
        <v>2</v>
      </c>
      <c r="C383" s="32">
        <f>VLOOKUP(B383,'area in m2'!B$2:C$10,2,FALSE)</f>
        <v>250</v>
      </c>
      <c r="D383" s="5" t="s">
        <v>11</v>
      </c>
      <c r="E383" s="6">
        <v>505.72825095034386</v>
      </c>
      <c r="F383" s="33" t="str">
        <f t="shared" si="10"/>
        <v>Below 530</v>
      </c>
      <c r="G383" s="33">
        <f t="shared" si="11"/>
        <v>531.01466349786108</v>
      </c>
      <c r="H383" s="7">
        <v>0</v>
      </c>
      <c r="I383" s="5" t="s">
        <v>15</v>
      </c>
      <c r="J383" s="5">
        <v>37</v>
      </c>
      <c r="K383" s="2"/>
      <c r="L383" s="2"/>
      <c r="M383" s="1"/>
    </row>
    <row r="384" spans="1:13" ht="14.4" x14ac:dyDescent="0.3">
      <c r="A384" s="14">
        <v>44707</v>
      </c>
      <c r="B384" s="5">
        <v>5</v>
      </c>
      <c r="C384" s="32">
        <f>VLOOKUP(B384,'area in m2'!B$2:C$10,2,FALSE)</f>
        <v>200</v>
      </c>
      <c r="D384" s="5" t="s">
        <v>13</v>
      </c>
      <c r="E384" s="6">
        <v>553.99350936238261</v>
      </c>
      <c r="F384" s="33" t="str">
        <f t="shared" si="10"/>
        <v>Over 530</v>
      </c>
      <c r="G384" s="33">
        <f t="shared" si="11"/>
        <v>581.69318483050176</v>
      </c>
      <c r="H384" s="7">
        <v>0</v>
      </c>
      <c r="I384" s="5" t="s">
        <v>14</v>
      </c>
      <c r="J384" s="5">
        <v>21</v>
      </c>
      <c r="K384" s="2"/>
      <c r="L384" s="2"/>
      <c r="M384" s="1"/>
    </row>
    <row r="385" spans="1:13" ht="14.4" x14ac:dyDescent="0.3">
      <c r="A385" s="14">
        <v>44716</v>
      </c>
      <c r="B385" s="5">
        <v>8</v>
      </c>
      <c r="C385" s="32">
        <f>VLOOKUP(B385,'area in m2'!B$2:C$10,2,FALSE)</f>
        <v>142</v>
      </c>
      <c r="D385" s="5" t="s">
        <v>11</v>
      </c>
      <c r="E385" s="6">
        <v>523.29850930918019</v>
      </c>
      <c r="F385" s="33" t="str">
        <f t="shared" si="10"/>
        <v>Below 530</v>
      </c>
      <c r="G385" s="33">
        <f t="shared" si="11"/>
        <v>549.46343477463927</v>
      </c>
      <c r="H385" s="7">
        <v>0.03</v>
      </c>
      <c r="I385" s="5" t="s">
        <v>14</v>
      </c>
      <c r="J385" s="5">
        <v>38</v>
      </c>
      <c r="K385" s="2"/>
      <c r="L385" s="2"/>
      <c r="M385" s="1"/>
    </row>
    <row r="386" spans="1:13" ht="14.4" x14ac:dyDescent="0.3">
      <c r="A386" s="14">
        <v>44913</v>
      </c>
      <c r="B386" s="5">
        <v>8</v>
      </c>
      <c r="C386" s="32">
        <f>VLOOKUP(B386,'area in m2'!B$2:C$10,2,FALSE)</f>
        <v>142</v>
      </c>
      <c r="D386" s="5" t="s">
        <v>12</v>
      </c>
      <c r="E386" s="6">
        <v>509.35701310124659</v>
      </c>
      <c r="F386" s="33" t="str">
        <f t="shared" si="10"/>
        <v>Below 530</v>
      </c>
      <c r="G386" s="33">
        <f t="shared" si="11"/>
        <v>534.8248637563089</v>
      </c>
      <c r="H386" s="7">
        <v>0</v>
      </c>
      <c r="I386" s="5" t="s">
        <v>14</v>
      </c>
      <c r="J386" s="5">
        <v>43</v>
      </c>
      <c r="K386" s="2"/>
      <c r="L386" s="2"/>
      <c r="M386" s="1"/>
    </row>
    <row r="387" spans="1:13" ht="14.4" x14ac:dyDescent="0.3">
      <c r="A387" s="14">
        <v>44598</v>
      </c>
      <c r="B387" s="5">
        <v>3</v>
      </c>
      <c r="C387" s="32">
        <f>VLOOKUP(B387,'area in m2'!B$2:C$10,2,FALSE)</f>
        <v>195</v>
      </c>
      <c r="D387" s="5" t="s">
        <v>11</v>
      </c>
      <c r="E387" s="6">
        <v>508.06586688207881</v>
      </c>
      <c r="F387" s="33" t="str">
        <f t="shared" si="10"/>
        <v>Below 530</v>
      </c>
      <c r="G387" s="33">
        <f t="shared" si="11"/>
        <v>533.46916022618279</v>
      </c>
      <c r="H387" s="7">
        <v>0.01</v>
      </c>
      <c r="I387" s="5" t="s">
        <v>14</v>
      </c>
      <c r="J387" s="5">
        <v>22</v>
      </c>
      <c r="K387" s="2"/>
      <c r="L387" s="2"/>
      <c r="M387" s="1"/>
    </row>
    <row r="388" spans="1:13" ht="14.4" x14ac:dyDescent="0.3">
      <c r="A388" s="14">
        <v>44584</v>
      </c>
      <c r="B388" s="5">
        <v>7</v>
      </c>
      <c r="C388" s="32">
        <f>VLOOKUP(B388,'area in m2'!B$2:C$10,2,FALSE)</f>
        <v>166</v>
      </c>
      <c r="D388" s="5" t="s">
        <v>12</v>
      </c>
      <c r="E388" s="6">
        <v>510.42115584924431</v>
      </c>
      <c r="F388" s="33" t="str">
        <f t="shared" si="10"/>
        <v>Below 530</v>
      </c>
      <c r="G388" s="33">
        <f t="shared" si="11"/>
        <v>535.94221364170653</v>
      </c>
      <c r="H388" s="7">
        <v>0.01</v>
      </c>
      <c r="I388" s="5" t="s">
        <v>15</v>
      </c>
      <c r="J388" s="5">
        <v>64</v>
      </c>
      <c r="K388" s="2"/>
      <c r="L388" s="2"/>
      <c r="M388" s="1"/>
    </row>
    <row r="389" spans="1:13" ht="14.4" x14ac:dyDescent="0.3">
      <c r="A389" s="14">
        <v>44692</v>
      </c>
      <c r="B389" s="5">
        <v>2</v>
      </c>
      <c r="C389" s="32">
        <f>VLOOKUP(B389,'area in m2'!B$2:C$10,2,FALSE)</f>
        <v>250</v>
      </c>
      <c r="D389" s="5" t="s">
        <v>11</v>
      </c>
      <c r="E389" s="6">
        <v>549.3462420083124</v>
      </c>
      <c r="F389" s="33" t="str">
        <f t="shared" ref="F389:F452" si="12">IF(E389&gt;530,"Over 530","Below 530")</f>
        <v>Over 530</v>
      </c>
      <c r="G389" s="33">
        <f t="shared" ref="G389:G452" si="13">+E389*1.05</f>
        <v>576.813554108728</v>
      </c>
      <c r="H389" s="7">
        <v>0.01</v>
      </c>
      <c r="I389" s="5" t="s">
        <v>15</v>
      </c>
      <c r="J389" s="5">
        <v>40</v>
      </c>
      <c r="K389" s="2"/>
      <c r="L389" s="2"/>
      <c r="M389" s="1"/>
    </row>
    <row r="390" spans="1:13" ht="14.4" x14ac:dyDescent="0.3">
      <c r="A390" s="14">
        <v>44895</v>
      </c>
      <c r="B390" s="5">
        <v>3</v>
      </c>
      <c r="C390" s="32">
        <f>VLOOKUP(B390,'area in m2'!B$2:C$10,2,FALSE)</f>
        <v>195</v>
      </c>
      <c r="D390" s="5" t="s">
        <v>11</v>
      </c>
      <c r="E390" s="6">
        <v>539.37770600244312</v>
      </c>
      <c r="F390" s="33" t="str">
        <f t="shared" si="12"/>
        <v>Over 530</v>
      </c>
      <c r="G390" s="33">
        <f t="shared" si="13"/>
        <v>566.34659130256534</v>
      </c>
      <c r="H390" s="7">
        <v>0.02</v>
      </c>
      <c r="I390" s="5" t="s">
        <v>14</v>
      </c>
      <c r="J390" s="5">
        <v>28</v>
      </c>
      <c r="K390" s="2"/>
      <c r="L390" s="2"/>
      <c r="M390" s="1"/>
    </row>
    <row r="391" spans="1:13" ht="14.4" x14ac:dyDescent="0.3">
      <c r="A391" s="14">
        <v>44630</v>
      </c>
      <c r="B391" s="5">
        <v>5</v>
      </c>
      <c r="C391" s="32">
        <f>VLOOKUP(B391,'area in m2'!B$2:C$10,2,FALSE)</f>
        <v>200</v>
      </c>
      <c r="D391" s="5" t="s">
        <v>13</v>
      </c>
      <c r="E391" s="6">
        <v>536.2057467065315</v>
      </c>
      <c r="F391" s="33" t="str">
        <f t="shared" si="12"/>
        <v>Over 530</v>
      </c>
      <c r="G391" s="33">
        <f t="shared" si="13"/>
        <v>563.01603404185812</v>
      </c>
      <c r="H391" s="7">
        <v>0.02</v>
      </c>
      <c r="I391" s="5" t="s">
        <v>14</v>
      </c>
      <c r="J391" s="5">
        <v>21</v>
      </c>
      <c r="K391" s="2"/>
      <c r="L391" s="2"/>
      <c r="M391" s="1"/>
    </row>
    <row r="392" spans="1:13" ht="14.4" x14ac:dyDescent="0.3">
      <c r="A392" s="14">
        <v>44562</v>
      </c>
      <c r="B392" s="5">
        <v>6</v>
      </c>
      <c r="C392" s="32">
        <f>VLOOKUP(B392,'area in m2'!B$2:C$10,2,FALSE)</f>
        <v>175</v>
      </c>
      <c r="D392" s="5" t="s">
        <v>13</v>
      </c>
      <c r="E392" s="6">
        <v>539.19969883103204</v>
      </c>
      <c r="F392" s="33" t="str">
        <f t="shared" si="12"/>
        <v>Over 530</v>
      </c>
      <c r="G392" s="33">
        <f t="shared" si="13"/>
        <v>566.15968377258366</v>
      </c>
      <c r="H392" s="7">
        <v>0.01</v>
      </c>
      <c r="I392" s="5" t="s">
        <v>15</v>
      </c>
      <c r="J392" s="5">
        <v>32</v>
      </c>
      <c r="K392" s="2"/>
      <c r="L392" s="2"/>
      <c r="M392" s="1"/>
    </row>
    <row r="393" spans="1:13" ht="14.4" x14ac:dyDescent="0.3">
      <c r="A393" s="14">
        <v>44644</v>
      </c>
      <c r="B393" s="5">
        <v>6</v>
      </c>
      <c r="C393" s="32">
        <f>VLOOKUP(B393,'area in m2'!B$2:C$10,2,FALSE)</f>
        <v>175</v>
      </c>
      <c r="D393" s="5" t="s">
        <v>13</v>
      </c>
      <c r="E393" s="6">
        <v>512.85177527772157</v>
      </c>
      <c r="F393" s="33" t="str">
        <f t="shared" si="12"/>
        <v>Below 530</v>
      </c>
      <c r="G393" s="33">
        <f t="shared" si="13"/>
        <v>538.4943640416077</v>
      </c>
      <c r="H393" s="7">
        <v>0.02</v>
      </c>
      <c r="I393" s="5" t="s">
        <v>14</v>
      </c>
      <c r="J393" s="5">
        <v>49</v>
      </c>
      <c r="K393" s="2"/>
      <c r="L393" s="2"/>
      <c r="M393" s="1"/>
    </row>
    <row r="394" spans="1:13" ht="14.4" x14ac:dyDescent="0.3">
      <c r="A394" s="14">
        <v>44861</v>
      </c>
      <c r="B394" s="5">
        <v>6</v>
      </c>
      <c r="C394" s="32">
        <f>VLOOKUP(B394,'area in m2'!B$2:C$10,2,FALSE)</f>
        <v>175</v>
      </c>
      <c r="D394" s="5" t="s">
        <v>13</v>
      </c>
      <c r="E394" s="6">
        <v>502.62674294932458</v>
      </c>
      <c r="F394" s="33" t="str">
        <f t="shared" si="12"/>
        <v>Below 530</v>
      </c>
      <c r="G394" s="33">
        <f t="shared" si="13"/>
        <v>527.75808009679088</v>
      </c>
      <c r="H394" s="7">
        <v>0</v>
      </c>
      <c r="I394" s="5" t="s">
        <v>14</v>
      </c>
      <c r="J394" s="5">
        <v>30</v>
      </c>
      <c r="K394" s="2"/>
      <c r="L394" s="2"/>
      <c r="M394" s="1"/>
    </row>
    <row r="395" spans="1:13" ht="14.4" x14ac:dyDescent="0.3">
      <c r="A395" s="14">
        <v>44827</v>
      </c>
      <c r="B395" s="5">
        <v>4</v>
      </c>
      <c r="C395" s="32">
        <f>VLOOKUP(B395,'area in m2'!B$2:C$10,2,FALSE)</f>
        <v>188</v>
      </c>
      <c r="D395" s="5" t="s">
        <v>11</v>
      </c>
      <c r="E395" s="6">
        <v>509.5807992021264</v>
      </c>
      <c r="F395" s="33" t="str">
        <f t="shared" si="12"/>
        <v>Below 530</v>
      </c>
      <c r="G395" s="33">
        <f t="shared" si="13"/>
        <v>535.05983916223272</v>
      </c>
      <c r="H395" s="7">
        <v>0.01</v>
      </c>
      <c r="I395" s="5" t="s">
        <v>15</v>
      </c>
      <c r="J395" s="5">
        <v>21</v>
      </c>
      <c r="K395" s="2"/>
      <c r="L395" s="2"/>
      <c r="M395" s="1"/>
    </row>
    <row r="396" spans="1:13" ht="14.4" x14ac:dyDescent="0.3">
      <c r="A396" s="14">
        <v>44829</v>
      </c>
      <c r="B396" s="5">
        <v>9</v>
      </c>
      <c r="C396" s="32">
        <f>VLOOKUP(B396,'area in m2'!B$2:C$10,2,FALSE)</f>
        <v>140</v>
      </c>
      <c r="D396" s="5" t="s">
        <v>12</v>
      </c>
      <c r="E396" s="6">
        <v>511.58031278149701</v>
      </c>
      <c r="F396" s="33" t="str">
        <f t="shared" si="12"/>
        <v>Below 530</v>
      </c>
      <c r="G396" s="33">
        <f t="shared" si="13"/>
        <v>537.15932842057191</v>
      </c>
      <c r="H396" s="7">
        <v>0.03</v>
      </c>
      <c r="I396" s="5" t="s">
        <v>14</v>
      </c>
      <c r="J396" s="5">
        <v>32</v>
      </c>
      <c r="K396" s="2"/>
      <c r="L396" s="2"/>
      <c r="M396" s="1"/>
    </row>
    <row r="397" spans="1:13" ht="14.4" x14ac:dyDescent="0.3">
      <c r="A397" s="14">
        <v>44666</v>
      </c>
      <c r="B397" s="5">
        <v>4</v>
      </c>
      <c r="C397" s="32">
        <f>VLOOKUP(B397,'area in m2'!B$2:C$10,2,FALSE)</f>
        <v>188</v>
      </c>
      <c r="D397" s="5" t="s">
        <v>11</v>
      </c>
      <c r="E397" s="6">
        <v>537.7919134714266</v>
      </c>
      <c r="F397" s="33" t="str">
        <f t="shared" si="12"/>
        <v>Over 530</v>
      </c>
      <c r="G397" s="33">
        <f t="shared" si="13"/>
        <v>564.6815091449979</v>
      </c>
      <c r="H397" s="7">
        <v>0.02</v>
      </c>
      <c r="I397" s="5" t="s">
        <v>14</v>
      </c>
      <c r="J397" s="5">
        <v>33</v>
      </c>
      <c r="K397" s="2"/>
      <c r="L397" s="2"/>
      <c r="M397" s="1"/>
    </row>
    <row r="398" spans="1:13" ht="14.4" x14ac:dyDescent="0.3">
      <c r="A398" s="14">
        <v>44882</v>
      </c>
      <c r="B398" s="5">
        <v>8</v>
      </c>
      <c r="C398" s="32">
        <f>VLOOKUP(B398,'area in m2'!B$2:C$10,2,FALSE)</f>
        <v>142</v>
      </c>
      <c r="D398" s="5" t="s">
        <v>11</v>
      </c>
      <c r="E398" s="6">
        <v>526.13482278062565</v>
      </c>
      <c r="F398" s="33" t="str">
        <f t="shared" si="12"/>
        <v>Below 530</v>
      </c>
      <c r="G398" s="33">
        <f t="shared" si="13"/>
        <v>552.44156391965691</v>
      </c>
      <c r="H398" s="7">
        <v>0</v>
      </c>
      <c r="I398" s="5" t="s">
        <v>14</v>
      </c>
      <c r="J398" s="5">
        <v>21</v>
      </c>
      <c r="K398" s="2"/>
      <c r="L398" s="2"/>
      <c r="M398" s="1"/>
    </row>
    <row r="399" spans="1:13" ht="14.4" x14ac:dyDescent="0.3">
      <c r="A399" s="14">
        <v>44812</v>
      </c>
      <c r="B399" s="5">
        <v>3</v>
      </c>
      <c r="C399" s="32">
        <f>VLOOKUP(B399,'area in m2'!B$2:C$10,2,FALSE)</f>
        <v>195</v>
      </c>
      <c r="D399" s="5" t="s">
        <v>11</v>
      </c>
      <c r="E399" s="6">
        <v>507.03336944209332</v>
      </c>
      <c r="F399" s="33" t="str">
        <f t="shared" si="12"/>
        <v>Below 530</v>
      </c>
      <c r="G399" s="33">
        <f t="shared" si="13"/>
        <v>532.38503791419805</v>
      </c>
      <c r="H399" s="7">
        <v>0.01</v>
      </c>
      <c r="I399" s="5" t="s">
        <v>14</v>
      </c>
      <c r="J399" s="5">
        <v>34</v>
      </c>
      <c r="K399" s="2"/>
      <c r="L399" s="2"/>
      <c r="M399" s="1"/>
    </row>
    <row r="400" spans="1:13" ht="14.4" x14ac:dyDescent="0.3">
      <c r="A400" s="14">
        <v>44896</v>
      </c>
      <c r="B400" s="5">
        <v>1</v>
      </c>
      <c r="C400" s="32">
        <f>VLOOKUP(B400,'area in m2'!B$2:C$10,2,FALSE)</f>
        <v>280</v>
      </c>
      <c r="D400" s="5" t="s">
        <v>11</v>
      </c>
      <c r="E400" s="6">
        <v>518.84800324166645</v>
      </c>
      <c r="F400" s="33" t="str">
        <f t="shared" si="12"/>
        <v>Below 530</v>
      </c>
      <c r="G400" s="33">
        <f t="shared" si="13"/>
        <v>544.79040340374979</v>
      </c>
      <c r="H400" s="7">
        <v>0.01</v>
      </c>
      <c r="I400" s="5" t="s">
        <v>14</v>
      </c>
      <c r="J400" s="5">
        <v>47</v>
      </c>
      <c r="K400" s="2"/>
      <c r="L400" s="2"/>
      <c r="M400" s="1"/>
    </row>
    <row r="401" spans="1:13" ht="14.4" x14ac:dyDescent="0.3">
      <c r="A401" s="14">
        <v>44635</v>
      </c>
      <c r="B401" s="5">
        <v>6</v>
      </c>
      <c r="C401" s="32">
        <f>VLOOKUP(B401,'area in m2'!B$2:C$10,2,FALSE)</f>
        <v>175</v>
      </c>
      <c r="D401" s="5" t="s">
        <v>13</v>
      </c>
      <c r="E401" s="6">
        <v>537.56475412153395</v>
      </c>
      <c r="F401" s="33" t="str">
        <f t="shared" si="12"/>
        <v>Over 530</v>
      </c>
      <c r="G401" s="33">
        <f t="shared" si="13"/>
        <v>564.44299182761063</v>
      </c>
      <c r="H401" s="7">
        <v>0</v>
      </c>
      <c r="I401" s="5" t="s">
        <v>14</v>
      </c>
      <c r="J401" s="5">
        <v>45</v>
      </c>
      <c r="K401" s="2"/>
      <c r="L401" s="2"/>
      <c r="M401" s="1"/>
    </row>
    <row r="402" spans="1:13" ht="14.4" x14ac:dyDescent="0.3">
      <c r="A402" s="14">
        <v>44643</v>
      </c>
      <c r="B402" s="5">
        <v>2</v>
      </c>
      <c r="C402" s="32">
        <f>VLOOKUP(B402,'area in m2'!B$2:C$10,2,FALSE)</f>
        <v>250</v>
      </c>
      <c r="D402" s="5" t="s">
        <v>11</v>
      </c>
      <c r="E402" s="6">
        <v>506.2879191674192</v>
      </c>
      <c r="F402" s="33" t="str">
        <f t="shared" si="12"/>
        <v>Below 530</v>
      </c>
      <c r="G402" s="33">
        <f t="shared" si="13"/>
        <v>531.60231512579014</v>
      </c>
      <c r="H402" s="7">
        <v>0.03</v>
      </c>
      <c r="I402" s="5" t="s">
        <v>15</v>
      </c>
      <c r="J402" s="5">
        <v>16</v>
      </c>
      <c r="K402" s="2"/>
      <c r="L402" s="2"/>
      <c r="M402" s="1"/>
    </row>
    <row r="403" spans="1:13" ht="14.4" x14ac:dyDescent="0.3">
      <c r="A403" s="14">
        <v>44714</v>
      </c>
      <c r="B403" s="5">
        <v>5</v>
      </c>
      <c r="C403" s="32">
        <f>VLOOKUP(B403,'area in m2'!B$2:C$10,2,FALSE)</f>
        <v>200</v>
      </c>
      <c r="D403" s="5" t="s">
        <v>13</v>
      </c>
      <c r="E403" s="6">
        <v>537.22935764126669</v>
      </c>
      <c r="F403" s="33" t="str">
        <f t="shared" si="12"/>
        <v>Over 530</v>
      </c>
      <c r="G403" s="33">
        <f t="shared" si="13"/>
        <v>564.09082552333007</v>
      </c>
      <c r="H403" s="7">
        <v>0.02</v>
      </c>
      <c r="I403" s="5" t="s">
        <v>14</v>
      </c>
      <c r="J403" s="5">
        <v>49</v>
      </c>
      <c r="K403" s="2"/>
      <c r="L403" s="2"/>
      <c r="M403" s="1"/>
    </row>
    <row r="404" spans="1:13" ht="14.4" x14ac:dyDescent="0.3">
      <c r="A404" s="14">
        <v>44582</v>
      </c>
      <c r="B404" s="5">
        <v>7</v>
      </c>
      <c r="C404" s="32">
        <f>VLOOKUP(B404,'area in m2'!B$2:C$10,2,FALSE)</f>
        <v>166</v>
      </c>
      <c r="D404" s="5" t="s">
        <v>12</v>
      </c>
      <c r="E404" s="6">
        <v>517.82681095533007</v>
      </c>
      <c r="F404" s="33" t="str">
        <f t="shared" si="12"/>
        <v>Below 530</v>
      </c>
      <c r="G404" s="33">
        <f t="shared" si="13"/>
        <v>543.71815150309658</v>
      </c>
      <c r="H404" s="7">
        <v>0</v>
      </c>
      <c r="I404" s="5" t="s">
        <v>15</v>
      </c>
      <c r="J404" s="5">
        <v>46</v>
      </c>
      <c r="K404" s="2"/>
      <c r="L404" s="2"/>
      <c r="M404" s="1"/>
    </row>
    <row r="405" spans="1:13" ht="14.4" x14ac:dyDescent="0.3">
      <c r="A405" s="14">
        <v>44844</v>
      </c>
      <c r="B405" s="5">
        <v>4</v>
      </c>
      <c r="C405" s="32">
        <f>VLOOKUP(B405,'area in m2'!B$2:C$10,2,FALSE)</f>
        <v>188</v>
      </c>
      <c r="D405" s="5" t="s">
        <v>11</v>
      </c>
      <c r="E405" s="6">
        <v>523.92984432238336</v>
      </c>
      <c r="F405" s="33" t="str">
        <f t="shared" si="12"/>
        <v>Below 530</v>
      </c>
      <c r="G405" s="33">
        <f t="shared" si="13"/>
        <v>550.12633653850253</v>
      </c>
      <c r="H405" s="7">
        <v>0.02</v>
      </c>
      <c r="I405" s="5" t="s">
        <v>14</v>
      </c>
      <c r="J405" s="5">
        <v>65</v>
      </c>
      <c r="K405" s="2"/>
      <c r="L405" s="2"/>
      <c r="M405" s="1"/>
    </row>
    <row r="406" spans="1:13" ht="14.4" x14ac:dyDescent="0.3">
      <c r="A406" s="14">
        <v>44828</v>
      </c>
      <c r="B406" s="5">
        <v>3</v>
      </c>
      <c r="C406" s="32">
        <f>VLOOKUP(B406,'area in m2'!B$2:C$10,2,FALSE)</f>
        <v>195</v>
      </c>
      <c r="D406" s="5" t="s">
        <v>11</v>
      </c>
      <c r="E406" s="6">
        <v>532.4838110733217</v>
      </c>
      <c r="F406" s="33" t="str">
        <f t="shared" si="12"/>
        <v>Over 530</v>
      </c>
      <c r="G406" s="33">
        <f t="shared" si="13"/>
        <v>559.10800162698786</v>
      </c>
      <c r="H406" s="7">
        <v>0</v>
      </c>
      <c r="I406" s="5" t="s">
        <v>14</v>
      </c>
      <c r="J406" s="5">
        <v>41</v>
      </c>
      <c r="K406" s="2"/>
      <c r="L406" s="2"/>
      <c r="M406" s="1"/>
    </row>
    <row r="407" spans="1:13" ht="14.4" x14ac:dyDescent="0.3">
      <c r="A407" s="14">
        <v>44762</v>
      </c>
      <c r="B407" s="5">
        <v>5</v>
      </c>
      <c r="C407" s="32">
        <f>VLOOKUP(B407,'area in m2'!B$2:C$10,2,FALSE)</f>
        <v>200</v>
      </c>
      <c r="D407" s="5" t="s">
        <v>13</v>
      </c>
      <c r="E407" s="6">
        <v>542.66999999999996</v>
      </c>
      <c r="F407" s="33" t="str">
        <f t="shared" si="12"/>
        <v>Over 530</v>
      </c>
      <c r="G407" s="33">
        <f t="shared" si="13"/>
        <v>569.80349999999999</v>
      </c>
      <c r="H407" s="7">
        <v>0.01</v>
      </c>
      <c r="I407" s="5" t="s">
        <v>14</v>
      </c>
      <c r="J407" s="5">
        <v>44</v>
      </c>
      <c r="K407" s="2"/>
      <c r="L407" s="2"/>
      <c r="M407" s="1"/>
    </row>
    <row r="408" spans="1:13" ht="14.4" x14ac:dyDescent="0.3">
      <c r="A408" s="14">
        <v>44875</v>
      </c>
      <c r="B408" s="5">
        <v>3</v>
      </c>
      <c r="C408" s="32">
        <f>VLOOKUP(B408,'area in m2'!B$2:C$10,2,FALSE)</f>
        <v>195</v>
      </c>
      <c r="D408" s="5" t="s">
        <v>11</v>
      </c>
      <c r="E408" s="6">
        <v>520.41132397529145</v>
      </c>
      <c r="F408" s="33" t="str">
        <f t="shared" si="12"/>
        <v>Below 530</v>
      </c>
      <c r="G408" s="33">
        <f t="shared" si="13"/>
        <v>546.43189017405609</v>
      </c>
      <c r="H408" s="7">
        <v>0</v>
      </c>
      <c r="I408" s="5" t="s">
        <v>14</v>
      </c>
      <c r="J408" s="5">
        <v>41</v>
      </c>
      <c r="K408" s="2"/>
      <c r="L408" s="2"/>
      <c r="M408" s="1"/>
    </row>
    <row r="409" spans="1:13" ht="14.4" x14ac:dyDescent="0.3">
      <c r="A409" s="14">
        <v>44630</v>
      </c>
      <c r="B409" s="5">
        <v>2</v>
      </c>
      <c r="C409" s="32">
        <f>VLOOKUP(B409,'area in m2'!B$2:C$10,2,FALSE)</f>
        <v>250</v>
      </c>
      <c r="D409" s="5" t="s">
        <v>11</v>
      </c>
      <c r="E409" s="6">
        <v>507.6862882431551</v>
      </c>
      <c r="F409" s="33" t="str">
        <f t="shared" si="12"/>
        <v>Below 530</v>
      </c>
      <c r="G409" s="33">
        <f t="shared" si="13"/>
        <v>533.07060265531288</v>
      </c>
      <c r="H409" s="7">
        <v>0</v>
      </c>
      <c r="I409" s="5" t="s">
        <v>14</v>
      </c>
      <c r="J409" s="5">
        <v>41</v>
      </c>
      <c r="K409" s="2"/>
      <c r="L409" s="2"/>
      <c r="M409" s="1"/>
    </row>
    <row r="410" spans="1:13" ht="14.4" x14ac:dyDescent="0.3">
      <c r="A410" s="14">
        <v>44713</v>
      </c>
      <c r="B410" s="5">
        <v>3</v>
      </c>
      <c r="C410" s="32">
        <f>VLOOKUP(B410,'area in m2'!B$2:C$10,2,FALSE)</f>
        <v>195</v>
      </c>
      <c r="D410" s="5" t="s">
        <v>11</v>
      </c>
      <c r="E410" s="6">
        <v>549.00155933530186</v>
      </c>
      <c r="F410" s="33" t="str">
        <f t="shared" si="12"/>
        <v>Over 530</v>
      </c>
      <c r="G410" s="33">
        <f t="shared" si="13"/>
        <v>576.45163730206696</v>
      </c>
      <c r="H410" s="7">
        <v>0.02</v>
      </c>
      <c r="I410" s="5" t="s">
        <v>15</v>
      </c>
      <c r="J410" s="5">
        <v>42</v>
      </c>
      <c r="K410" s="2"/>
      <c r="L410" s="2"/>
      <c r="M410" s="1"/>
    </row>
    <row r="411" spans="1:13" ht="14.4" x14ac:dyDescent="0.3">
      <c r="A411" s="14">
        <v>44879</v>
      </c>
      <c r="B411" s="5">
        <v>9</v>
      </c>
      <c r="C411" s="32">
        <f>VLOOKUP(B411,'area in m2'!B$2:C$10,2,FALSE)</f>
        <v>140</v>
      </c>
      <c r="D411" s="5" t="s">
        <v>12</v>
      </c>
      <c r="E411" s="6">
        <v>542.35618954362235</v>
      </c>
      <c r="F411" s="33" t="str">
        <f t="shared" si="12"/>
        <v>Over 530</v>
      </c>
      <c r="G411" s="33">
        <f t="shared" si="13"/>
        <v>569.47399902080349</v>
      </c>
      <c r="H411" s="7">
        <v>0.03</v>
      </c>
      <c r="I411" s="5" t="s">
        <v>15</v>
      </c>
      <c r="J411" s="5">
        <v>27</v>
      </c>
      <c r="K411" s="2"/>
      <c r="L411" s="2"/>
      <c r="M411" s="1"/>
    </row>
    <row r="412" spans="1:13" ht="14.4" x14ac:dyDescent="0.3">
      <c r="A412" s="14">
        <v>44594</v>
      </c>
      <c r="B412" s="5">
        <v>5</v>
      </c>
      <c r="C412" s="32">
        <f>VLOOKUP(B412,'area in m2'!B$2:C$10,2,FALSE)</f>
        <v>200</v>
      </c>
      <c r="D412" s="5" t="s">
        <v>13</v>
      </c>
      <c r="E412" s="6">
        <v>543.39946581101231</v>
      </c>
      <c r="F412" s="33" t="str">
        <f t="shared" si="12"/>
        <v>Over 530</v>
      </c>
      <c r="G412" s="33">
        <f t="shared" si="13"/>
        <v>570.56943910156292</v>
      </c>
      <c r="H412" s="7">
        <v>0</v>
      </c>
      <c r="I412" s="5" t="s">
        <v>14</v>
      </c>
      <c r="J412" s="5">
        <v>45</v>
      </c>
      <c r="K412" s="2"/>
      <c r="L412" s="2"/>
      <c r="M412" s="1"/>
    </row>
    <row r="413" spans="1:13" ht="14.4" x14ac:dyDescent="0.3">
      <c r="A413" s="14">
        <v>44571</v>
      </c>
      <c r="B413" s="5">
        <v>8</v>
      </c>
      <c r="C413" s="32">
        <f>VLOOKUP(B413,'area in m2'!B$2:C$10,2,FALSE)</f>
        <v>142</v>
      </c>
      <c r="D413" s="5" t="s">
        <v>12</v>
      </c>
      <c r="E413" s="6">
        <v>549.63427278129893</v>
      </c>
      <c r="F413" s="33" t="str">
        <f t="shared" si="12"/>
        <v>Over 530</v>
      </c>
      <c r="G413" s="33">
        <f t="shared" si="13"/>
        <v>577.11598642036392</v>
      </c>
      <c r="H413" s="7">
        <v>0.01</v>
      </c>
      <c r="I413" s="5" t="s">
        <v>14</v>
      </c>
      <c r="J413" s="5">
        <v>21</v>
      </c>
      <c r="K413" s="2"/>
      <c r="L413" s="2"/>
      <c r="M413" s="1"/>
    </row>
    <row r="414" spans="1:13" ht="14.4" x14ac:dyDescent="0.3">
      <c r="A414" s="14">
        <v>44699</v>
      </c>
      <c r="B414" s="5">
        <v>2</v>
      </c>
      <c r="C414" s="32">
        <f>VLOOKUP(B414,'area in m2'!B$2:C$10,2,FALSE)</f>
        <v>250</v>
      </c>
      <c r="D414" s="5" t="s">
        <v>11</v>
      </c>
      <c r="E414" s="6">
        <v>521.6622026239329</v>
      </c>
      <c r="F414" s="33" t="str">
        <f t="shared" si="12"/>
        <v>Below 530</v>
      </c>
      <c r="G414" s="33">
        <f t="shared" si="13"/>
        <v>547.74531275512959</v>
      </c>
      <c r="H414" s="7">
        <v>0.02</v>
      </c>
      <c r="I414" s="5" t="s">
        <v>15</v>
      </c>
      <c r="J414" s="5">
        <v>44</v>
      </c>
      <c r="K414" s="2"/>
      <c r="L414" s="2"/>
      <c r="M414" s="1"/>
    </row>
    <row r="415" spans="1:13" ht="14.4" x14ac:dyDescent="0.3">
      <c r="A415" s="14">
        <v>44908</v>
      </c>
      <c r="B415" s="5">
        <v>5</v>
      </c>
      <c r="C415" s="32">
        <f>VLOOKUP(B415,'area in m2'!B$2:C$10,2,FALSE)</f>
        <v>200</v>
      </c>
      <c r="D415" s="5" t="s">
        <v>13</v>
      </c>
      <c r="E415" s="6">
        <v>518.35810286070682</v>
      </c>
      <c r="F415" s="33" t="str">
        <f t="shared" si="12"/>
        <v>Below 530</v>
      </c>
      <c r="G415" s="33">
        <f t="shared" si="13"/>
        <v>544.27600800374216</v>
      </c>
      <c r="H415" s="7">
        <v>0.01</v>
      </c>
      <c r="I415" s="5" t="s">
        <v>14</v>
      </c>
      <c r="J415" s="5">
        <v>28</v>
      </c>
      <c r="K415" s="2"/>
      <c r="L415" s="2"/>
      <c r="M415" s="1"/>
    </row>
    <row r="416" spans="1:13" ht="14.4" x14ac:dyDescent="0.3">
      <c r="A416" s="14">
        <v>44815</v>
      </c>
      <c r="B416" s="5">
        <v>7</v>
      </c>
      <c r="C416" s="32">
        <f>VLOOKUP(B416,'area in m2'!B$2:C$10,2,FALSE)</f>
        <v>166</v>
      </c>
      <c r="D416" s="5" t="s">
        <v>12</v>
      </c>
      <c r="E416" s="6">
        <v>529.43183962253261</v>
      </c>
      <c r="F416" s="33" t="str">
        <f t="shared" si="12"/>
        <v>Below 530</v>
      </c>
      <c r="G416" s="33">
        <f t="shared" si="13"/>
        <v>555.90343160365921</v>
      </c>
      <c r="H416" s="7">
        <v>0.03</v>
      </c>
      <c r="I416" s="5" t="s">
        <v>14</v>
      </c>
      <c r="J416" s="5">
        <v>32</v>
      </c>
      <c r="K416" s="2"/>
      <c r="L416" s="2"/>
      <c r="M416" s="1"/>
    </row>
    <row r="417" spans="1:13" ht="14.4" x14ac:dyDescent="0.3">
      <c r="A417" s="14">
        <v>44575</v>
      </c>
      <c r="B417" s="5">
        <v>3</v>
      </c>
      <c r="C417" s="32">
        <f>VLOOKUP(B417,'area in m2'!B$2:C$10,2,FALSE)</f>
        <v>195</v>
      </c>
      <c r="D417" s="5" t="s">
        <v>11</v>
      </c>
      <c r="E417" s="6">
        <v>546.90785865093494</v>
      </c>
      <c r="F417" s="33" t="str">
        <f t="shared" si="12"/>
        <v>Over 530</v>
      </c>
      <c r="G417" s="33">
        <f t="shared" si="13"/>
        <v>574.25325158348176</v>
      </c>
      <c r="H417" s="7">
        <v>0.02</v>
      </c>
      <c r="I417" s="5" t="s">
        <v>14</v>
      </c>
      <c r="J417" s="5">
        <v>40</v>
      </c>
      <c r="K417" s="2"/>
      <c r="L417" s="2"/>
      <c r="M417" s="1"/>
    </row>
    <row r="418" spans="1:13" ht="14.4" x14ac:dyDescent="0.3">
      <c r="A418" s="14">
        <v>44790</v>
      </c>
      <c r="B418" s="5">
        <v>9</v>
      </c>
      <c r="C418" s="32">
        <f>VLOOKUP(B418,'area in m2'!B$2:C$10,2,FALSE)</f>
        <v>140</v>
      </c>
      <c r="D418" s="5" t="s">
        <v>12</v>
      </c>
      <c r="E418" s="6">
        <v>549.87492476365333</v>
      </c>
      <c r="F418" s="33" t="str">
        <f t="shared" si="12"/>
        <v>Over 530</v>
      </c>
      <c r="G418" s="33">
        <f t="shared" si="13"/>
        <v>577.36867100183599</v>
      </c>
      <c r="H418" s="7">
        <v>0.03</v>
      </c>
      <c r="I418" s="5" t="s">
        <v>14</v>
      </c>
      <c r="J418" s="5">
        <v>40</v>
      </c>
      <c r="K418" s="2"/>
      <c r="L418" s="2"/>
      <c r="M418" s="1"/>
    </row>
    <row r="419" spans="1:13" ht="14.4" x14ac:dyDescent="0.3">
      <c r="A419" s="14">
        <v>44619</v>
      </c>
      <c r="B419" s="5">
        <v>3</v>
      </c>
      <c r="C419" s="32">
        <f>VLOOKUP(B419,'area in m2'!B$2:C$10,2,FALSE)</f>
        <v>195</v>
      </c>
      <c r="D419" s="5" t="s">
        <v>11</v>
      </c>
      <c r="E419" s="6">
        <v>546.07840419587046</v>
      </c>
      <c r="F419" s="33" t="str">
        <f t="shared" si="12"/>
        <v>Over 530</v>
      </c>
      <c r="G419" s="33">
        <f t="shared" si="13"/>
        <v>573.38232440566401</v>
      </c>
      <c r="H419" s="7">
        <v>0.02</v>
      </c>
      <c r="I419" s="5" t="s">
        <v>15</v>
      </c>
      <c r="J419" s="5">
        <v>21</v>
      </c>
      <c r="K419" s="2"/>
      <c r="L419" s="2"/>
      <c r="M419" s="1"/>
    </row>
    <row r="420" spans="1:13" ht="14.4" x14ac:dyDescent="0.3">
      <c r="A420" s="14">
        <v>44570</v>
      </c>
      <c r="B420" s="5">
        <v>2</v>
      </c>
      <c r="C420" s="32">
        <f>VLOOKUP(B420,'area in m2'!B$2:C$10,2,FALSE)</f>
        <v>250</v>
      </c>
      <c r="D420" s="5" t="s">
        <v>11</v>
      </c>
      <c r="E420" s="6">
        <v>516.56997951892936</v>
      </c>
      <c r="F420" s="33" t="str">
        <f t="shared" si="12"/>
        <v>Below 530</v>
      </c>
      <c r="G420" s="33">
        <f t="shared" si="13"/>
        <v>542.3984784948758</v>
      </c>
      <c r="H420" s="7">
        <v>0</v>
      </c>
      <c r="I420" s="5" t="s">
        <v>14</v>
      </c>
      <c r="J420" s="5">
        <v>21</v>
      </c>
      <c r="K420" s="2"/>
      <c r="L420" s="2"/>
      <c r="M420" s="1"/>
    </row>
    <row r="421" spans="1:13" ht="14.4" x14ac:dyDescent="0.3">
      <c r="A421" s="14">
        <v>44904</v>
      </c>
      <c r="B421" s="5">
        <v>6</v>
      </c>
      <c r="C421" s="32">
        <f>VLOOKUP(B421,'area in m2'!B$2:C$10,2,FALSE)</f>
        <v>175</v>
      </c>
      <c r="D421" s="5" t="s">
        <v>13</v>
      </c>
      <c r="E421" s="6">
        <v>500.04057511004066</v>
      </c>
      <c r="F421" s="33" t="str">
        <f t="shared" si="12"/>
        <v>Below 530</v>
      </c>
      <c r="G421" s="33">
        <f t="shared" si="13"/>
        <v>525.04260386554267</v>
      </c>
      <c r="H421" s="7">
        <v>0.01</v>
      </c>
      <c r="I421" s="5" t="s">
        <v>14</v>
      </c>
      <c r="J421" s="5">
        <v>30</v>
      </c>
      <c r="K421" s="2"/>
      <c r="L421" s="2"/>
      <c r="M421" s="1"/>
    </row>
    <row r="422" spans="1:13" ht="14.4" x14ac:dyDescent="0.3">
      <c r="A422" s="14">
        <v>44758</v>
      </c>
      <c r="B422" s="5">
        <v>2</v>
      </c>
      <c r="C422" s="32">
        <f>VLOOKUP(B422,'area in m2'!B$2:C$10,2,FALSE)</f>
        <v>250</v>
      </c>
      <c r="D422" s="5" t="s">
        <v>11</v>
      </c>
      <c r="E422" s="6">
        <v>521.83560028065858</v>
      </c>
      <c r="F422" s="33" t="str">
        <f t="shared" si="12"/>
        <v>Below 530</v>
      </c>
      <c r="G422" s="33">
        <f t="shared" si="13"/>
        <v>547.92738029469149</v>
      </c>
      <c r="H422" s="7">
        <v>0.03</v>
      </c>
      <c r="I422" s="5" t="s">
        <v>14</v>
      </c>
      <c r="J422" s="5">
        <v>21</v>
      </c>
      <c r="K422" s="2"/>
      <c r="L422" s="2"/>
      <c r="M422" s="1"/>
    </row>
    <row r="423" spans="1:13" ht="14.4" x14ac:dyDescent="0.3">
      <c r="A423" s="14">
        <v>44570</v>
      </c>
      <c r="B423" s="5">
        <v>3</v>
      </c>
      <c r="C423" s="32">
        <f>VLOOKUP(B423,'area in m2'!B$2:C$10,2,FALSE)</f>
        <v>195</v>
      </c>
      <c r="D423" s="5" t="s">
        <v>11</v>
      </c>
      <c r="E423" s="6">
        <v>533.0251733694522</v>
      </c>
      <c r="F423" s="33" t="str">
        <f t="shared" si="12"/>
        <v>Over 530</v>
      </c>
      <c r="G423" s="33">
        <f t="shared" si="13"/>
        <v>559.67643203792488</v>
      </c>
      <c r="H423" s="7">
        <v>0</v>
      </c>
      <c r="I423" s="5" t="s">
        <v>15</v>
      </c>
      <c r="J423" s="5">
        <v>54</v>
      </c>
      <c r="K423" s="2"/>
      <c r="L423" s="2"/>
      <c r="M423" s="1"/>
    </row>
    <row r="424" spans="1:13" ht="14.4" x14ac:dyDescent="0.3">
      <c r="A424" s="14">
        <v>44858</v>
      </c>
      <c r="B424" s="5">
        <v>2</v>
      </c>
      <c r="C424" s="32">
        <f>VLOOKUP(B424,'area in m2'!B$2:C$10,2,FALSE)</f>
        <v>250</v>
      </c>
      <c r="D424" s="5" t="s">
        <v>11</v>
      </c>
      <c r="E424" s="6">
        <v>539.98713473847965</v>
      </c>
      <c r="F424" s="33" t="str">
        <f t="shared" si="12"/>
        <v>Over 530</v>
      </c>
      <c r="G424" s="33">
        <f t="shared" si="13"/>
        <v>566.98649147540368</v>
      </c>
      <c r="H424" s="7">
        <v>0.02</v>
      </c>
      <c r="I424" s="5" t="s">
        <v>14</v>
      </c>
      <c r="J424" s="5">
        <v>40</v>
      </c>
      <c r="K424" s="2"/>
      <c r="L424" s="2"/>
      <c r="M424" s="1"/>
    </row>
    <row r="425" spans="1:13" ht="14.4" x14ac:dyDescent="0.3">
      <c r="A425" s="14">
        <v>44589</v>
      </c>
      <c r="B425" s="5">
        <v>5</v>
      </c>
      <c r="C425" s="32">
        <f>VLOOKUP(B425,'area in m2'!B$2:C$10,2,FALSE)</f>
        <v>200</v>
      </c>
      <c r="D425" s="5" t="s">
        <v>13</v>
      </c>
      <c r="E425" s="6">
        <v>535.35037588459727</v>
      </c>
      <c r="F425" s="33" t="str">
        <f t="shared" si="12"/>
        <v>Over 530</v>
      </c>
      <c r="G425" s="33">
        <f t="shared" si="13"/>
        <v>562.11789467882716</v>
      </c>
      <c r="H425" s="7">
        <v>0.01</v>
      </c>
      <c r="I425" s="5" t="s">
        <v>14</v>
      </c>
      <c r="J425" s="5">
        <v>36</v>
      </c>
      <c r="K425" s="2"/>
      <c r="L425" s="2"/>
      <c r="M425" s="1"/>
    </row>
    <row r="426" spans="1:13" ht="14.4" x14ac:dyDescent="0.3">
      <c r="A426" s="14">
        <v>44572</v>
      </c>
      <c r="B426" s="5">
        <v>4</v>
      </c>
      <c r="C426" s="32">
        <f>VLOOKUP(B426,'area in m2'!B$2:C$10,2,FALSE)</f>
        <v>188</v>
      </c>
      <c r="D426" s="5" t="s">
        <v>11</v>
      </c>
      <c r="E426" s="6">
        <v>503.97026321730846</v>
      </c>
      <c r="F426" s="33" t="str">
        <f t="shared" si="12"/>
        <v>Below 530</v>
      </c>
      <c r="G426" s="33">
        <f t="shared" si="13"/>
        <v>529.1687763781739</v>
      </c>
      <c r="H426" s="7">
        <v>0.03</v>
      </c>
      <c r="I426" s="5" t="s">
        <v>14</v>
      </c>
      <c r="J426" s="5">
        <v>31</v>
      </c>
      <c r="K426" s="2"/>
      <c r="L426" s="2"/>
      <c r="M426" s="1"/>
    </row>
    <row r="427" spans="1:13" ht="14.4" x14ac:dyDescent="0.3">
      <c r="A427" s="14">
        <v>44822</v>
      </c>
      <c r="B427" s="5">
        <v>5</v>
      </c>
      <c r="C427" s="32">
        <f>VLOOKUP(B427,'area in m2'!B$2:C$10,2,FALSE)</f>
        <v>200</v>
      </c>
      <c r="D427" s="5" t="s">
        <v>13</v>
      </c>
      <c r="E427" s="6">
        <v>521.6159136281085</v>
      </c>
      <c r="F427" s="33" t="str">
        <f t="shared" si="12"/>
        <v>Below 530</v>
      </c>
      <c r="G427" s="33">
        <f t="shared" si="13"/>
        <v>547.69670930951395</v>
      </c>
      <c r="H427" s="7">
        <v>0.02</v>
      </c>
      <c r="I427" s="5" t="s">
        <v>15</v>
      </c>
      <c r="J427" s="5">
        <v>23</v>
      </c>
      <c r="K427" s="2"/>
      <c r="L427" s="2"/>
      <c r="M427" s="1"/>
    </row>
    <row r="428" spans="1:13" ht="14.4" x14ac:dyDescent="0.3">
      <c r="A428" s="14">
        <v>44884</v>
      </c>
      <c r="B428" s="5">
        <v>5</v>
      </c>
      <c r="C428" s="32">
        <f>VLOOKUP(B428,'area in m2'!B$2:C$10,2,FALSE)</f>
        <v>200</v>
      </c>
      <c r="D428" s="5" t="s">
        <v>13</v>
      </c>
      <c r="E428" s="6">
        <v>545.68068179612783</v>
      </c>
      <c r="F428" s="33" t="str">
        <f t="shared" si="12"/>
        <v>Over 530</v>
      </c>
      <c r="G428" s="33">
        <f t="shared" si="13"/>
        <v>572.9647158859342</v>
      </c>
      <c r="H428" s="7">
        <v>0</v>
      </c>
      <c r="I428" s="5" t="s">
        <v>14</v>
      </c>
      <c r="J428" s="5">
        <v>32</v>
      </c>
      <c r="K428" s="2"/>
      <c r="L428" s="2"/>
      <c r="M428" s="1"/>
    </row>
    <row r="429" spans="1:13" ht="14.4" x14ac:dyDescent="0.3">
      <c r="A429" s="14">
        <v>44905</v>
      </c>
      <c r="B429" s="5">
        <v>5</v>
      </c>
      <c r="C429" s="32">
        <f>VLOOKUP(B429,'area in m2'!B$2:C$10,2,FALSE)</f>
        <v>200</v>
      </c>
      <c r="D429" s="5" t="s">
        <v>13</v>
      </c>
      <c r="E429" s="6">
        <v>522.21181452852397</v>
      </c>
      <c r="F429" s="33" t="str">
        <f t="shared" si="12"/>
        <v>Below 530</v>
      </c>
      <c r="G429" s="33">
        <f t="shared" si="13"/>
        <v>548.32240525495024</v>
      </c>
      <c r="H429" s="7">
        <v>0</v>
      </c>
      <c r="I429" s="5" t="s">
        <v>14</v>
      </c>
      <c r="J429" s="5">
        <v>27</v>
      </c>
      <c r="K429" s="2"/>
      <c r="L429" s="2"/>
      <c r="M429" s="1"/>
    </row>
    <row r="430" spans="1:13" ht="14.4" x14ac:dyDescent="0.3">
      <c r="A430" s="14">
        <v>44814</v>
      </c>
      <c r="B430" s="5">
        <v>9</v>
      </c>
      <c r="C430" s="32">
        <f>VLOOKUP(B430,'area in m2'!B$2:C$10,2,FALSE)</f>
        <v>140</v>
      </c>
      <c r="D430" s="5" t="s">
        <v>12</v>
      </c>
      <c r="E430" s="6">
        <v>531.77694487017925</v>
      </c>
      <c r="F430" s="33" t="str">
        <f t="shared" si="12"/>
        <v>Over 530</v>
      </c>
      <c r="G430" s="33">
        <f t="shared" si="13"/>
        <v>558.36579211368826</v>
      </c>
      <c r="H430" s="7">
        <v>0.03</v>
      </c>
      <c r="I430" s="5" t="s">
        <v>14</v>
      </c>
      <c r="J430" s="5">
        <v>42</v>
      </c>
      <c r="K430" s="2"/>
      <c r="L430" s="2"/>
      <c r="M430" s="1"/>
    </row>
    <row r="431" spans="1:13" ht="14.4" x14ac:dyDescent="0.3">
      <c r="A431" s="14">
        <v>44671</v>
      </c>
      <c r="B431" s="5">
        <v>7</v>
      </c>
      <c r="C431" s="32">
        <f>VLOOKUP(B431,'area in m2'!B$2:C$10,2,FALSE)</f>
        <v>166</v>
      </c>
      <c r="D431" s="5" t="s">
        <v>12</v>
      </c>
      <c r="E431" s="6">
        <v>514.76183036319617</v>
      </c>
      <c r="F431" s="33" t="str">
        <f t="shared" si="12"/>
        <v>Below 530</v>
      </c>
      <c r="G431" s="33">
        <f t="shared" si="13"/>
        <v>540.49992188135604</v>
      </c>
      <c r="H431" s="7">
        <v>0.01</v>
      </c>
      <c r="I431" s="5" t="s">
        <v>14</v>
      </c>
      <c r="J431" s="5">
        <v>23</v>
      </c>
      <c r="K431" s="2"/>
      <c r="L431" s="2"/>
      <c r="M431" s="1"/>
    </row>
    <row r="432" spans="1:13" ht="14.4" x14ac:dyDescent="0.3">
      <c r="A432" s="14">
        <v>44776</v>
      </c>
      <c r="B432" s="5">
        <v>1</v>
      </c>
      <c r="C432" s="32">
        <f>VLOOKUP(B432,'area in m2'!B$2:C$10,2,FALSE)</f>
        <v>280</v>
      </c>
      <c r="D432" s="5" t="s">
        <v>11</v>
      </c>
      <c r="E432" s="6">
        <v>531.26829825660661</v>
      </c>
      <c r="F432" s="33" t="str">
        <f t="shared" si="12"/>
        <v>Over 530</v>
      </c>
      <c r="G432" s="33">
        <f t="shared" si="13"/>
        <v>557.83171316943697</v>
      </c>
      <c r="H432" s="7">
        <v>0</v>
      </c>
      <c r="I432" s="5" t="s">
        <v>15</v>
      </c>
      <c r="J432" s="5">
        <v>45</v>
      </c>
      <c r="K432" s="2"/>
      <c r="L432" s="2"/>
      <c r="M432" s="1"/>
    </row>
    <row r="433" spans="1:13" ht="14.4" x14ac:dyDescent="0.3">
      <c r="A433" s="14">
        <v>44887</v>
      </c>
      <c r="B433" s="5">
        <v>9</v>
      </c>
      <c r="C433" s="32">
        <f>VLOOKUP(B433,'area in m2'!B$2:C$10,2,FALSE)</f>
        <v>140</v>
      </c>
      <c r="D433" s="5" t="s">
        <v>12</v>
      </c>
      <c r="E433" s="6">
        <v>506.86607160697076</v>
      </c>
      <c r="F433" s="33" t="str">
        <f t="shared" si="12"/>
        <v>Below 530</v>
      </c>
      <c r="G433" s="33">
        <f t="shared" si="13"/>
        <v>532.20937518731932</v>
      </c>
      <c r="H433" s="7">
        <v>0.03</v>
      </c>
      <c r="I433" s="5" t="s">
        <v>14</v>
      </c>
      <c r="J433" s="5">
        <v>47</v>
      </c>
      <c r="K433" s="2"/>
      <c r="L433" s="2"/>
      <c r="M433" s="1"/>
    </row>
    <row r="434" spans="1:13" ht="14.4" x14ac:dyDescent="0.3">
      <c r="A434" s="14">
        <v>44640</v>
      </c>
      <c r="B434" s="5">
        <v>7</v>
      </c>
      <c r="C434" s="32">
        <f>VLOOKUP(B434,'area in m2'!B$2:C$10,2,FALSE)</f>
        <v>166</v>
      </c>
      <c r="D434" s="5" t="s">
        <v>12</v>
      </c>
      <c r="E434" s="6">
        <v>541.58293134930682</v>
      </c>
      <c r="F434" s="33" t="str">
        <f t="shared" si="12"/>
        <v>Over 530</v>
      </c>
      <c r="G434" s="33">
        <f t="shared" si="13"/>
        <v>568.6620779167722</v>
      </c>
      <c r="H434" s="7">
        <v>0.03</v>
      </c>
      <c r="I434" s="5" t="s">
        <v>14</v>
      </c>
      <c r="J434" s="5">
        <v>34</v>
      </c>
      <c r="K434" s="2"/>
      <c r="L434" s="2"/>
      <c r="M434" s="1"/>
    </row>
    <row r="435" spans="1:13" ht="14.4" x14ac:dyDescent="0.3">
      <c r="A435" s="14">
        <v>44915</v>
      </c>
      <c r="B435" s="5">
        <v>4</v>
      </c>
      <c r="C435" s="32">
        <f>VLOOKUP(B435,'area in m2'!B$2:C$10,2,FALSE)</f>
        <v>188</v>
      </c>
      <c r="D435" s="5" t="s">
        <v>11</v>
      </c>
      <c r="E435" s="6">
        <v>518.55961671719706</v>
      </c>
      <c r="F435" s="33" t="str">
        <f t="shared" si="12"/>
        <v>Below 530</v>
      </c>
      <c r="G435" s="33">
        <f t="shared" si="13"/>
        <v>544.48759755305696</v>
      </c>
      <c r="H435" s="7">
        <v>0.02</v>
      </c>
      <c r="I435" s="5" t="s">
        <v>14</v>
      </c>
      <c r="J435" s="5">
        <v>26</v>
      </c>
      <c r="K435" s="2"/>
      <c r="L435" s="2"/>
      <c r="M435" s="1"/>
    </row>
    <row r="436" spans="1:13" ht="14.4" x14ac:dyDescent="0.3">
      <c r="A436" s="14">
        <v>44821</v>
      </c>
      <c r="B436" s="5">
        <v>3</v>
      </c>
      <c r="C436" s="32">
        <f>VLOOKUP(B436,'area in m2'!B$2:C$10,2,FALSE)</f>
        <v>195</v>
      </c>
      <c r="D436" s="5" t="s">
        <v>11</v>
      </c>
      <c r="E436" s="6">
        <v>526.80150257392506</v>
      </c>
      <c r="F436" s="33" t="str">
        <f t="shared" si="12"/>
        <v>Below 530</v>
      </c>
      <c r="G436" s="33">
        <f t="shared" si="13"/>
        <v>553.14157770262136</v>
      </c>
      <c r="H436" s="7">
        <v>0.03</v>
      </c>
      <c r="I436" s="5" t="s">
        <v>14</v>
      </c>
      <c r="J436" s="5">
        <v>25</v>
      </c>
      <c r="K436" s="2"/>
      <c r="L436" s="2"/>
      <c r="M436" s="1"/>
    </row>
    <row r="437" spans="1:13" ht="14.4" x14ac:dyDescent="0.3">
      <c r="A437" s="14">
        <v>44747</v>
      </c>
      <c r="B437" s="5">
        <v>6</v>
      </c>
      <c r="C437" s="32">
        <f>VLOOKUP(B437,'area in m2'!B$2:C$10,2,FALSE)</f>
        <v>175</v>
      </c>
      <c r="D437" s="5" t="s">
        <v>13</v>
      </c>
      <c r="E437" s="6">
        <v>501.18648277586635</v>
      </c>
      <c r="F437" s="33" t="str">
        <f t="shared" si="12"/>
        <v>Below 530</v>
      </c>
      <c r="G437" s="33">
        <f t="shared" si="13"/>
        <v>526.24580691465974</v>
      </c>
      <c r="H437" s="7">
        <v>0</v>
      </c>
      <c r="I437" s="5" t="s">
        <v>14</v>
      </c>
      <c r="J437" s="5">
        <v>24</v>
      </c>
      <c r="K437" s="2"/>
      <c r="L437" s="2"/>
      <c r="M437" s="1"/>
    </row>
    <row r="438" spans="1:13" ht="14.4" x14ac:dyDescent="0.3">
      <c r="A438" s="14">
        <v>44823</v>
      </c>
      <c r="B438" s="5">
        <v>8</v>
      </c>
      <c r="C438" s="32">
        <f>VLOOKUP(B438,'area in m2'!B$2:C$10,2,FALSE)</f>
        <v>142</v>
      </c>
      <c r="D438" s="5" t="s">
        <v>12</v>
      </c>
      <c r="E438" s="6">
        <v>537.4569585050931</v>
      </c>
      <c r="F438" s="33" t="str">
        <f t="shared" si="12"/>
        <v>Over 530</v>
      </c>
      <c r="G438" s="33">
        <f t="shared" si="13"/>
        <v>564.32980643034773</v>
      </c>
      <c r="H438" s="7">
        <v>0.01</v>
      </c>
      <c r="I438" s="5" t="s">
        <v>14</v>
      </c>
      <c r="J438" s="5">
        <v>36</v>
      </c>
      <c r="K438" s="2"/>
      <c r="L438" s="2"/>
      <c r="M438" s="1"/>
    </row>
    <row r="439" spans="1:13" ht="14.4" x14ac:dyDescent="0.3">
      <c r="A439" s="14">
        <v>44572</v>
      </c>
      <c r="B439" s="5">
        <v>7</v>
      </c>
      <c r="C439" s="32">
        <f>VLOOKUP(B439,'area in m2'!B$2:C$10,2,FALSE)</f>
        <v>166</v>
      </c>
      <c r="D439" s="5" t="s">
        <v>12</v>
      </c>
      <c r="E439" s="6">
        <v>505.58538920002957</v>
      </c>
      <c r="F439" s="33" t="str">
        <f t="shared" si="12"/>
        <v>Below 530</v>
      </c>
      <c r="G439" s="33">
        <f t="shared" si="13"/>
        <v>530.86465866003107</v>
      </c>
      <c r="H439" s="7">
        <v>0.03</v>
      </c>
      <c r="I439" s="5" t="s">
        <v>14</v>
      </c>
      <c r="J439" s="5">
        <v>44</v>
      </c>
      <c r="K439" s="2"/>
      <c r="L439" s="2"/>
      <c r="M439" s="1"/>
    </row>
    <row r="440" spans="1:13" ht="14.4" x14ac:dyDescent="0.3">
      <c r="A440" s="14">
        <v>44598</v>
      </c>
      <c r="B440" s="5">
        <v>5</v>
      </c>
      <c r="C440" s="32">
        <f>VLOOKUP(B440,'area in m2'!B$2:C$10,2,FALSE)</f>
        <v>200</v>
      </c>
      <c r="D440" s="5" t="s">
        <v>13</v>
      </c>
      <c r="E440" s="6">
        <v>543.67037032596636</v>
      </c>
      <c r="F440" s="33" t="str">
        <f t="shared" si="12"/>
        <v>Over 530</v>
      </c>
      <c r="G440" s="33">
        <f t="shared" si="13"/>
        <v>570.85388884226472</v>
      </c>
      <c r="H440" s="7">
        <v>0.01</v>
      </c>
      <c r="I440" s="5" t="s">
        <v>15</v>
      </c>
      <c r="J440" s="5">
        <v>64</v>
      </c>
      <c r="K440" s="2"/>
      <c r="L440" s="2"/>
      <c r="M440" s="1"/>
    </row>
    <row r="441" spans="1:13" ht="14.4" x14ac:dyDescent="0.3">
      <c r="A441" s="14">
        <v>44604</v>
      </c>
      <c r="B441" s="5">
        <v>4</v>
      </c>
      <c r="C441" s="32">
        <f>VLOOKUP(B441,'area in m2'!B$2:C$10,2,FALSE)</f>
        <v>188</v>
      </c>
      <c r="D441" s="5" t="s">
        <v>11</v>
      </c>
      <c r="E441" s="6">
        <v>501.21767839876793</v>
      </c>
      <c r="F441" s="33" t="str">
        <f t="shared" si="12"/>
        <v>Below 530</v>
      </c>
      <c r="G441" s="33">
        <f t="shared" si="13"/>
        <v>526.27856231870635</v>
      </c>
      <c r="H441" s="7">
        <v>0.03</v>
      </c>
      <c r="I441" s="5" t="s">
        <v>14</v>
      </c>
      <c r="J441" s="5">
        <v>27</v>
      </c>
      <c r="K441" s="2"/>
      <c r="L441" s="2"/>
      <c r="M441" s="1"/>
    </row>
    <row r="442" spans="1:13" ht="14.4" x14ac:dyDescent="0.3">
      <c r="A442" s="14">
        <v>44692</v>
      </c>
      <c r="B442" s="5">
        <v>7</v>
      </c>
      <c r="C442" s="32">
        <f>VLOOKUP(B442,'area in m2'!B$2:C$10,2,FALSE)</f>
        <v>166</v>
      </c>
      <c r="D442" s="5" t="s">
        <v>12</v>
      </c>
      <c r="E442" s="6">
        <v>532.79600267828846</v>
      </c>
      <c r="F442" s="33" t="str">
        <f t="shared" si="12"/>
        <v>Over 530</v>
      </c>
      <c r="G442" s="33">
        <f t="shared" si="13"/>
        <v>559.43580281220295</v>
      </c>
      <c r="H442" s="7">
        <v>0.01</v>
      </c>
      <c r="I442" s="5" t="s">
        <v>14</v>
      </c>
      <c r="J442" s="5">
        <v>50</v>
      </c>
      <c r="K442" s="2"/>
      <c r="L442" s="2"/>
      <c r="M442" s="1"/>
    </row>
    <row r="443" spans="1:13" ht="14.4" x14ac:dyDescent="0.3">
      <c r="A443" s="14">
        <v>44851</v>
      </c>
      <c r="B443" s="5">
        <v>1</v>
      </c>
      <c r="C443" s="32">
        <f>VLOOKUP(B443,'area in m2'!B$2:C$10,2,FALSE)</f>
        <v>280</v>
      </c>
      <c r="D443" s="5" t="s">
        <v>11</v>
      </c>
      <c r="E443" s="6">
        <v>531.85037146939976</v>
      </c>
      <c r="F443" s="33" t="str">
        <f t="shared" si="12"/>
        <v>Over 530</v>
      </c>
      <c r="G443" s="33">
        <f t="shared" si="13"/>
        <v>558.44289004286975</v>
      </c>
      <c r="H443" s="7">
        <v>0.02</v>
      </c>
      <c r="I443" s="5" t="s">
        <v>15</v>
      </c>
      <c r="J443" s="5">
        <v>50</v>
      </c>
      <c r="K443" s="2"/>
      <c r="L443" s="2"/>
      <c r="M443" s="1"/>
    </row>
    <row r="444" spans="1:13" ht="14.4" x14ac:dyDescent="0.3">
      <c r="A444" s="14">
        <v>44836</v>
      </c>
      <c r="B444" s="5">
        <v>2</v>
      </c>
      <c r="C444" s="32">
        <f>VLOOKUP(B444,'area in m2'!B$2:C$10,2,FALSE)</f>
        <v>250</v>
      </c>
      <c r="D444" s="5" t="s">
        <v>11</v>
      </c>
      <c r="E444" s="6">
        <v>507.08260563103704</v>
      </c>
      <c r="F444" s="33" t="str">
        <f t="shared" si="12"/>
        <v>Below 530</v>
      </c>
      <c r="G444" s="33">
        <f t="shared" si="13"/>
        <v>532.43673591258892</v>
      </c>
      <c r="H444" s="7">
        <v>0</v>
      </c>
      <c r="I444" s="5" t="s">
        <v>14</v>
      </c>
      <c r="J444" s="5">
        <v>34</v>
      </c>
      <c r="K444" s="2"/>
      <c r="L444" s="2"/>
      <c r="M444" s="1"/>
    </row>
    <row r="445" spans="1:13" ht="14.4" x14ac:dyDescent="0.3">
      <c r="A445" s="14">
        <v>44776</v>
      </c>
      <c r="B445" s="5">
        <v>2</v>
      </c>
      <c r="C445" s="32">
        <f>VLOOKUP(B445,'area in m2'!B$2:C$10,2,FALSE)</f>
        <v>250</v>
      </c>
      <c r="D445" s="5" t="s">
        <v>11</v>
      </c>
      <c r="E445" s="6">
        <v>550.39822965560415</v>
      </c>
      <c r="F445" s="33" t="str">
        <f t="shared" si="12"/>
        <v>Over 530</v>
      </c>
      <c r="G445" s="33">
        <f t="shared" si="13"/>
        <v>577.91814113838439</v>
      </c>
      <c r="H445" s="7">
        <v>0.01</v>
      </c>
      <c r="I445" s="5" t="s">
        <v>15</v>
      </c>
      <c r="J445" s="5">
        <v>56</v>
      </c>
      <c r="K445" s="2"/>
      <c r="L445" s="2"/>
      <c r="M445" s="1"/>
    </row>
    <row r="446" spans="1:13" ht="14.4" x14ac:dyDescent="0.3">
      <c r="A446" s="14">
        <v>44892</v>
      </c>
      <c r="B446" s="5">
        <v>4</v>
      </c>
      <c r="C446" s="32">
        <f>VLOOKUP(B446,'area in m2'!B$2:C$10,2,FALSE)</f>
        <v>188</v>
      </c>
      <c r="D446" s="5" t="s">
        <v>11</v>
      </c>
      <c r="E446" s="6">
        <v>515.89053163930384</v>
      </c>
      <c r="F446" s="33" t="str">
        <f t="shared" si="12"/>
        <v>Below 530</v>
      </c>
      <c r="G446" s="33">
        <f t="shared" si="13"/>
        <v>541.68505822126906</v>
      </c>
      <c r="H446" s="7">
        <v>0.03</v>
      </c>
      <c r="I446" s="5" t="s">
        <v>14</v>
      </c>
      <c r="J446" s="5">
        <v>40</v>
      </c>
      <c r="K446" s="2"/>
      <c r="L446" s="2"/>
      <c r="M446" s="1"/>
    </row>
    <row r="447" spans="1:13" ht="14.4" x14ac:dyDescent="0.3">
      <c r="A447" s="14">
        <v>44917</v>
      </c>
      <c r="B447" s="5">
        <v>3</v>
      </c>
      <c r="C447" s="32">
        <f>VLOOKUP(B447,'area in m2'!B$2:C$10,2,FALSE)</f>
        <v>195</v>
      </c>
      <c r="D447" s="5" t="s">
        <v>11</v>
      </c>
      <c r="E447" s="6">
        <v>505.01203840343715</v>
      </c>
      <c r="F447" s="33" t="str">
        <f t="shared" si="12"/>
        <v>Below 530</v>
      </c>
      <c r="G447" s="33">
        <f t="shared" si="13"/>
        <v>530.26264032360905</v>
      </c>
      <c r="H447" s="7">
        <v>0.03</v>
      </c>
      <c r="I447" s="5" t="s">
        <v>14</v>
      </c>
      <c r="J447" s="5">
        <v>29</v>
      </c>
      <c r="K447" s="2"/>
      <c r="L447" s="2"/>
      <c r="M447" s="1"/>
    </row>
    <row r="448" spans="1:13" ht="14.4" x14ac:dyDescent="0.3">
      <c r="A448" s="14">
        <v>44890</v>
      </c>
      <c r="B448" s="5">
        <v>5</v>
      </c>
      <c r="C448" s="32">
        <f>VLOOKUP(B448,'area in m2'!B$2:C$10,2,FALSE)</f>
        <v>200</v>
      </c>
      <c r="D448" s="5" t="s">
        <v>13</v>
      </c>
      <c r="E448" s="6">
        <v>545.51220313700105</v>
      </c>
      <c r="F448" s="33" t="str">
        <f t="shared" si="12"/>
        <v>Over 530</v>
      </c>
      <c r="G448" s="33">
        <f t="shared" si="13"/>
        <v>572.78781329385117</v>
      </c>
      <c r="H448" s="7">
        <v>0.01</v>
      </c>
      <c r="I448" s="5" t="s">
        <v>14</v>
      </c>
      <c r="J448" s="5">
        <v>48</v>
      </c>
      <c r="K448" s="2"/>
      <c r="L448" s="2"/>
      <c r="M448" s="1"/>
    </row>
    <row r="449" spans="1:13" ht="14.4" x14ac:dyDescent="0.3">
      <c r="A449" s="14">
        <v>44923</v>
      </c>
      <c r="B449" s="5">
        <v>1</v>
      </c>
      <c r="C449" s="32">
        <f>VLOOKUP(B449,'area in m2'!B$2:C$10,2,FALSE)</f>
        <v>280</v>
      </c>
      <c r="D449" s="5" t="s">
        <v>11</v>
      </c>
      <c r="E449" s="6">
        <v>531.34531123882971</v>
      </c>
      <c r="F449" s="33" t="str">
        <f t="shared" si="12"/>
        <v>Over 530</v>
      </c>
      <c r="G449" s="33">
        <f t="shared" si="13"/>
        <v>557.91257680077126</v>
      </c>
      <c r="H449" s="7">
        <v>0.01</v>
      </c>
      <c r="I449" s="5" t="s">
        <v>14</v>
      </c>
      <c r="J449" s="5">
        <v>21</v>
      </c>
      <c r="K449" s="2"/>
      <c r="L449" s="2"/>
      <c r="M449" s="1"/>
    </row>
    <row r="450" spans="1:13" ht="14.4" x14ac:dyDescent="0.3">
      <c r="A450" s="14">
        <v>44692</v>
      </c>
      <c r="B450" s="5">
        <v>1</v>
      </c>
      <c r="C450" s="32">
        <f>VLOOKUP(B450,'area in m2'!B$2:C$10,2,FALSE)</f>
        <v>280</v>
      </c>
      <c r="D450" s="5" t="s">
        <v>11</v>
      </c>
      <c r="E450" s="6">
        <v>516.11872842161483</v>
      </c>
      <c r="F450" s="33" t="str">
        <f t="shared" si="12"/>
        <v>Below 530</v>
      </c>
      <c r="G450" s="33">
        <f t="shared" si="13"/>
        <v>541.92466484269562</v>
      </c>
      <c r="H450" s="7">
        <v>0.03</v>
      </c>
      <c r="I450" s="5" t="s">
        <v>14</v>
      </c>
      <c r="J450" s="5">
        <v>29</v>
      </c>
      <c r="K450" s="2"/>
      <c r="L450" s="2"/>
      <c r="M450" s="1"/>
    </row>
    <row r="451" spans="1:13" ht="14.4" x14ac:dyDescent="0.3">
      <c r="A451" s="14">
        <v>44746</v>
      </c>
      <c r="B451" s="5">
        <v>1</v>
      </c>
      <c r="C451" s="32">
        <f>VLOOKUP(B451,'area in m2'!B$2:C$10,2,FALSE)</f>
        <v>280</v>
      </c>
      <c r="D451" s="5" t="s">
        <v>11</v>
      </c>
      <c r="E451" s="6">
        <v>503.84611358416169</v>
      </c>
      <c r="F451" s="33" t="str">
        <f t="shared" si="12"/>
        <v>Below 530</v>
      </c>
      <c r="G451" s="33">
        <f t="shared" si="13"/>
        <v>529.03841926336975</v>
      </c>
      <c r="H451" s="7">
        <v>0.01</v>
      </c>
      <c r="I451" s="5" t="s">
        <v>15</v>
      </c>
      <c r="J451" s="5">
        <v>57</v>
      </c>
      <c r="K451" s="2"/>
      <c r="L451" s="2"/>
      <c r="M451" s="1"/>
    </row>
    <row r="452" spans="1:13" ht="14.4" x14ac:dyDescent="0.3">
      <c r="A452" s="14">
        <v>44922</v>
      </c>
      <c r="B452" s="5">
        <v>4</v>
      </c>
      <c r="C452" s="32">
        <f>VLOOKUP(B452,'area in m2'!B$2:C$10,2,FALSE)</f>
        <v>188</v>
      </c>
      <c r="D452" s="5" t="s">
        <v>11</v>
      </c>
      <c r="E452" s="6">
        <v>524.36540949677055</v>
      </c>
      <c r="F452" s="33" t="str">
        <f t="shared" si="12"/>
        <v>Below 530</v>
      </c>
      <c r="G452" s="33">
        <f t="shared" si="13"/>
        <v>550.58367997160906</v>
      </c>
      <c r="H452" s="7">
        <v>0</v>
      </c>
      <c r="I452" s="5" t="s">
        <v>15</v>
      </c>
      <c r="J452" s="5">
        <v>38</v>
      </c>
      <c r="K452" s="2"/>
      <c r="L452" s="2"/>
      <c r="M452" s="1"/>
    </row>
    <row r="453" spans="1:13" ht="14.4" x14ac:dyDescent="0.3">
      <c r="A453" s="14">
        <v>44692</v>
      </c>
      <c r="B453" s="5">
        <v>3</v>
      </c>
      <c r="C453" s="32">
        <f>VLOOKUP(B453,'area in m2'!B$2:C$10,2,FALSE)</f>
        <v>195</v>
      </c>
      <c r="D453" s="5" t="s">
        <v>11</v>
      </c>
      <c r="E453" s="6">
        <v>504.66670750914</v>
      </c>
      <c r="F453" s="33" t="str">
        <f t="shared" ref="F453:F516" si="14">IF(E453&gt;530,"Over 530","Below 530")</f>
        <v>Below 530</v>
      </c>
      <c r="G453" s="33">
        <f t="shared" ref="G453:G516" si="15">+E453*1.05</f>
        <v>529.90004288459704</v>
      </c>
      <c r="H453" s="7">
        <v>0.02</v>
      </c>
      <c r="I453" s="5" t="s">
        <v>14</v>
      </c>
      <c r="J453" s="5">
        <v>27</v>
      </c>
      <c r="K453" s="2"/>
      <c r="L453" s="2"/>
      <c r="M453" s="1"/>
    </row>
    <row r="454" spans="1:13" ht="14.4" x14ac:dyDescent="0.3">
      <c r="A454" s="14">
        <v>44633</v>
      </c>
      <c r="B454" s="5">
        <v>2</v>
      </c>
      <c r="C454" s="32">
        <f>VLOOKUP(B454,'area in m2'!B$2:C$10,2,FALSE)</f>
        <v>250</v>
      </c>
      <c r="D454" s="5" t="s">
        <v>11</v>
      </c>
      <c r="E454" s="6">
        <v>504.58611217264388</v>
      </c>
      <c r="F454" s="33" t="str">
        <f t="shared" si="14"/>
        <v>Below 530</v>
      </c>
      <c r="G454" s="33">
        <f t="shared" si="15"/>
        <v>529.8154177812761</v>
      </c>
      <c r="H454" s="7">
        <v>0.01</v>
      </c>
      <c r="I454" s="5" t="s">
        <v>14</v>
      </c>
      <c r="J454" s="5">
        <v>45</v>
      </c>
      <c r="K454" s="2"/>
      <c r="L454" s="2"/>
      <c r="M454" s="1"/>
    </row>
    <row r="455" spans="1:13" ht="14.4" x14ac:dyDescent="0.3">
      <c r="A455" s="14">
        <v>44859</v>
      </c>
      <c r="B455" s="5">
        <v>2</v>
      </c>
      <c r="C455" s="32">
        <f>VLOOKUP(B455,'area in m2'!B$2:C$10,2,FALSE)</f>
        <v>250</v>
      </c>
      <c r="D455" s="5" t="s">
        <v>11</v>
      </c>
      <c r="E455" s="6">
        <v>502.34193097546722</v>
      </c>
      <c r="F455" s="33" t="str">
        <f t="shared" si="14"/>
        <v>Below 530</v>
      </c>
      <c r="G455" s="33">
        <f t="shared" si="15"/>
        <v>527.45902752424058</v>
      </c>
      <c r="H455" s="7">
        <v>0.03</v>
      </c>
      <c r="I455" s="5" t="s">
        <v>14</v>
      </c>
      <c r="J455" s="5">
        <v>32</v>
      </c>
      <c r="K455" s="2"/>
      <c r="L455" s="2"/>
      <c r="M455" s="1"/>
    </row>
    <row r="456" spans="1:13" ht="14.4" x14ac:dyDescent="0.3">
      <c r="A456" s="14">
        <v>44768</v>
      </c>
      <c r="B456" s="5">
        <v>7</v>
      </c>
      <c r="C456" s="32">
        <f>VLOOKUP(B456,'area in m2'!B$2:C$10,2,FALSE)</f>
        <v>166</v>
      </c>
      <c r="D456" s="5" t="s">
        <v>12</v>
      </c>
      <c r="E456" s="6">
        <v>541.87469727349617</v>
      </c>
      <c r="F456" s="33" t="str">
        <f t="shared" si="14"/>
        <v>Over 530</v>
      </c>
      <c r="G456" s="33">
        <f t="shared" si="15"/>
        <v>568.96843213717102</v>
      </c>
      <c r="H456" s="7">
        <v>0.02</v>
      </c>
      <c r="I456" s="5" t="s">
        <v>14</v>
      </c>
      <c r="J456" s="5">
        <v>37</v>
      </c>
      <c r="K456" s="2"/>
      <c r="L456" s="2"/>
      <c r="M456" s="1"/>
    </row>
    <row r="457" spans="1:13" ht="14.4" x14ac:dyDescent="0.3">
      <c r="A457" s="14">
        <v>44562</v>
      </c>
      <c r="B457" s="5">
        <v>6</v>
      </c>
      <c r="C457" s="32">
        <f>VLOOKUP(B457,'area in m2'!B$2:C$10,2,FALSE)</f>
        <v>175</v>
      </c>
      <c r="D457" s="5" t="s">
        <v>13</v>
      </c>
      <c r="E457" s="6">
        <v>531.16275919399595</v>
      </c>
      <c r="F457" s="33" t="str">
        <f t="shared" si="14"/>
        <v>Over 530</v>
      </c>
      <c r="G457" s="33">
        <f t="shared" si="15"/>
        <v>557.72089715369577</v>
      </c>
      <c r="H457" s="7">
        <v>0</v>
      </c>
      <c r="I457" s="5" t="s">
        <v>14</v>
      </c>
      <c r="J457" s="5">
        <v>29</v>
      </c>
      <c r="K457" s="2"/>
      <c r="L457" s="2"/>
      <c r="M457" s="1"/>
    </row>
    <row r="458" spans="1:13" ht="14.4" x14ac:dyDescent="0.3">
      <c r="A458" s="14">
        <v>44874</v>
      </c>
      <c r="B458" s="5">
        <v>8</v>
      </c>
      <c r="C458" s="32">
        <f>VLOOKUP(B458,'area in m2'!B$2:C$10,2,FALSE)</f>
        <v>142</v>
      </c>
      <c r="D458" s="5" t="s">
        <v>12</v>
      </c>
      <c r="E458" s="6">
        <v>546.14310904693411</v>
      </c>
      <c r="F458" s="33" t="str">
        <f t="shared" si="14"/>
        <v>Over 530</v>
      </c>
      <c r="G458" s="33">
        <f t="shared" si="15"/>
        <v>573.45026449928082</v>
      </c>
      <c r="H458" s="7">
        <v>0.01</v>
      </c>
      <c r="I458" s="5" t="s">
        <v>14</v>
      </c>
      <c r="J458" s="5">
        <v>43</v>
      </c>
      <c r="K458" s="2"/>
      <c r="L458" s="2"/>
      <c r="M458" s="1"/>
    </row>
    <row r="459" spans="1:13" ht="14.4" x14ac:dyDescent="0.3">
      <c r="A459" s="14">
        <v>44776</v>
      </c>
      <c r="B459" s="5">
        <v>2</v>
      </c>
      <c r="C459" s="32">
        <f>VLOOKUP(B459,'area in m2'!B$2:C$10,2,FALSE)</f>
        <v>250</v>
      </c>
      <c r="D459" s="5" t="s">
        <v>11</v>
      </c>
      <c r="E459" s="6">
        <v>534.26458771706893</v>
      </c>
      <c r="F459" s="33" t="str">
        <f t="shared" si="14"/>
        <v>Over 530</v>
      </c>
      <c r="G459" s="33">
        <f t="shared" si="15"/>
        <v>560.97781710292236</v>
      </c>
      <c r="H459" s="7">
        <v>0.02</v>
      </c>
      <c r="I459" s="5" t="s">
        <v>14</v>
      </c>
      <c r="J459" s="5">
        <v>18</v>
      </c>
      <c r="K459" s="2"/>
      <c r="L459" s="2"/>
      <c r="M459" s="1"/>
    </row>
    <row r="460" spans="1:13" ht="14.4" x14ac:dyDescent="0.3">
      <c r="A460" s="14">
        <v>44606</v>
      </c>
      <c r="B460" s="5">
        <v>4</v>
      </c>
      <c r="C460" s="32">
        <f>VLOOKUP(B460,'area in m2'!B$2:C$10,2,FALSE)</f>
        <v>188</v>
      </c>
      <c r="D460" s="5" t="s">
        <v>11</v>
      </c>
      <c r="E460" s="6">
        <v>526.55190945578852</v>
      </c>
      <c r="F460" s="33" t="str">
        <f t="shared" si="14"/>
        <v>Below 530</v>
      </c>
      <c r="G460" s="33">
        <f t="shared" si="15"/>
        <v>552.87950492857794</v>
      </c>
      <c r="H460" s="7">
        <v>0.01</v>
      </c>
      <c r="I460" s="5" t="s">
        <v>14</v>
      </c>
      <c r="J460" s="5">
        <v>22</v>
      </c>
      <c r="K460" s="2"/>
      <c r="L460" s="2"/>
      <c r="M460" s="1"/>
    </row>
    <row r="461" spans="1:13" ht="14.4" x14ac:dyDescent="0.3">
      <c r="A461" s="14">
        <v>44628</v>
      </c>
      <c r="B461" s="5">
        <v>3</v>
      </c>
      <c r="C461" s="32">
        <f>VLOOKUP(B461,'area in m2'!B$2:C$10,2,FALSE)</f>
        <v>195</v>
      </c>
      <c r="D461" s="5" t="s">
        <v>11</v>
      </c>
      <c r="E461" s="6">
        <v>509.91441085479073</v>
      </c>
      <c r="F461" s="33" t="str">
        <f t="shared" si="14"/>
        <v>Below 530</v>
      </c>
      <c r="G461" s="33">
        <f t="shared" si="15"/>
        <v>535.41013139753034</v>
      </c>
      <c r="H461" s="7">
        <v>0.02</v>
      </c>
      <c r="I461" s="5" t="s">
        <v>14</v>
      </c>
      <c r="J461" s="5">
        <v>47</v>
      </c>
      <c r="K461" s="2"/>
      <c r="L461" s="2"/>
      <c r="M461" s="1"/>
    </row>
    <row r="462" spans="1:13" ht="14.4" x14ac:dyDescent="0.3">
      <c r="A462" s="14">
        <v>44729</v>
      </c>
      <c r="B462" s="5">
        <v>9</v>
      </c>
      <c r="C462" s="32">
        <f>VLOOKUP(B462,'area in m2'!B$2:C$10,2,FALSE)</f>
        <v>140</v>
      </c>
      <c r="D462" s="5" t="s">
        <v>12</v>
      </c>
      <c r="E462" s="6">
        <v>502.51480701667424</v>
      </c>
      <c r="F462" s="33" t="str">
        <f t="shared" si="14"/>
        <v>Below 530</v>
      </c>
      <c r="G462" s="33">
        <f t="shared" si="15"/>
        <v>527.64054736750802</v>
      </c>
      <c r="H462" s="7">
        <v>0</v>
      </c>
      <c r="I462" s="5" t="s">
        <v>14</v>
      </c>
      <c r="J462" s="5">
        <v>48</v>
      </c>
      <c r="K462" s="2"/>
      <c r="L462" s="2"/>
      <c r="M462" s="1"/>
    </row>
    <row r="463" spans="1:13" ht="14.4" x14ac:dyDescent="0.3">
      <c r="A463" s="14">
        <v>44601</v>
      </c>
      <c r="B463" s="5">
        <v>7</v>
      </c>
      <c r="C463" s="32">
        <f>VLOOKUP(B463,'area in m2'!B$2:C$10,2,FALSE)</f>
        <v>166</v>
      </c>
      <c r="D463" s="5" t="s">
        <v>12</v>
      </c>
      <c r="E463" s="6">
        <v>526.4488692915138</v>
      </c>
      <c r="F463" s="33" t="str">
        <f t="shared" si="14"/>
        <v>Below 530</v>
      </c>
      <c r="G463" s="33">
        <f t="shared" si="15"/>
        <v>552.77131275608951</v>
      </c>
      <c r="H463" s="7">
        <v>0</v>
      </c>
      <c r="I463" s="5" t="s">
        <v>14</v>
      </c>
      <c r="J463" s="5">
        <v>33</v>
      </c>
      <c r="K463" s="2"/>
      <c r="L463" s="2"/>
      <c r="M463" s="1"/>
    </row>
    <row r="464" spans="1:13" ht="14.4" x14ac:dyDescent="0.3">
      <c r="A464" s="14">
        <v>44760</v>
      </c>
      <c r="B464" s="5">
        <v>9</v>
      </c>
      <c r="C464" s="32">
        <f>VLOOKUP(B464,'area in m2'!B$2:C$10,2,FALSE)</f>
        <v>140</v>
      </c>
      <c r="D464" s="5" t="s">
        <v>12</v>
      </c>
      <c r="E464" s="6">
        <v>524.71051030503713</v>
      </c>
      <c r="F464" s="33" t="str">
        <f t="shared" si="14"/>
        <v>Below 530</v>
      </c>
      <c r="G464" s="33">
        <f t="shared" si="15"/>
        <v>550.94603582028901</v>
      </c>
      <c r="H464" s="7">
        <v>0.02</v>
      </c>
      <c r="I464" s="5" t="s">
        <v>15</v>
      </c>
      <c r="J464" s="5">
        <v>39</v>
      </c>
      <c r="K464" s="2"/>
      <c r="L464" s="2"/>
      <c r="M464" s="1"/>
    </row>
    <row r="465" spans="1:13" ht="14.4" x14ac:dyDescent="0.3">
      <c r="A465" s="14">
        <v>44720</v>
      </c>
      <c r="B465" s="5">
        <v>8</v>
      </c>
      <c r="C465" s="32">
        <f>VLOOKUP(B465,'area in m2'!B$2:C$10,2,FALSE)</f>
        <v>142</v>
      </c>
      <c r="D465" s="5" t="s">
        <v>12</v>
      </c>
      <c r="E465" s="6">
        <v>520.59807262704908</v>
      </c>
      <c r="F465" s="33" t="str">
        <f t="shared" si="14"/>
        <v>Below 530</v>
      </c>
      <c r="G465" s="33">
        <f t="shared" si="15"/>
        <v>546.62797625840153</v>
      </c>
      <c r="H465" s="7">
        <v>0</v>
      </c>
      <c r="I465" s="5" t="s">
        <v>15</v>
      </c>
      <c r="J465" s="5">
        <v>60</v>
      </c>
      <c r="K465" s="2"/>
      <c r="L465" s="2"/>
      <c r="M465" s="1"/>
    </row>
    <row r="466" spans="1:13" ht="14.4" x14ac:dyDescent="0.3">
      <c r="A466" s="14">
        <v>44906</v>
      </c>
      <c r="B466" s="5">
        <v>4</v>
      </c>
      <c r="C466" s="32">
        <f>VLOOKUP(B466,'area in m2'!B$2:C$10,2,FALSE)</f>
        <v>188</v>
      </c>
      <c r="D466" s="5" t="s">
        <v>11</v>
      </c>
      <c r="E466" s="6">
        <v>539.85588072002156</v>
      </c>
      <c r="F466" s="33" t="str">
        <f t="shared" si="14"/>
        <v>Over 530</v>
      </c>
      <c r="G466" s="33">
        <f t="shared" si="15"/>
        <v>566.84867475602266</v>
      </c>
      <c r="H466" s="7">
        <v>0.01</v>
      </c>
      <c r="I466" s="5" t="s">
        <v>14</v>
      </c>
      <c r="J466" s="5">
        <v>42</v>
      </c>
      <c r="K466" s="2"/>
      <c r="L466" s="2"/>
      <c r="M466" s="1"/>
    </row>
    <row r="467" spans="1:13" ht="14.4" x14ac:dyDescent="0.3">
      <c r="A467" s="14">
        <v>44889</v>
      </c>
      <c r="B467" s="5">
        <v>7</v>
      </c>
      <c r="C467" s="32">
        <f>VLOOKUP(B467,'area in m2'!B$2:C$10,2,FALSE)</f>
        <v>166</v>
      </c>
      <c r="D467" s="5" t="s">
        <v>12</v>
      </c>
      <c r="E467" s="6">
        <v>537.91033839824286</v>
      </c>
      <c r="F467" s="33" t="str">
        <f t="shared" si="14"/>
        <v>Over 530</v>
      </c>
      <c r="G467" s="33">
        <f t="shared" si="15"/>
        <v>564.80585531815507</v>
      </c>
      <c r="H467" s="7">
        <v>0</v>
      </c>
      <c r="I467" s="5" t="s">
        <v>15</v>
      </c>
      <c r="J467" s="5">
        <v>59</v>
      </c>
      <c r="K467" s="2"/>
      <c r="L467" s="2"/>
      <c r="M467" s="1"/>
    </row>
    <row r="468" spans="1:13" ht="14.4" x14ac:dyDescent="0.3">
      <c r="A468" s="14">
        <v>44644</v>
      </c>
      <c r="B468" s="5">
        <v>6</v>
      </c>
      <c r="C468" s="32">
        <f>VLOOKUP(B468,'area in m2'!B$2:C$10,2,FALSE)</f>
        <v>175</v>
      </c>
      <c r="D468" s="5" t="s">
        <v>13</v>
      </c>
      <c r="E468" s="6">
        <v>504.03187067627914</v>
      </c>
      <c r="F468" s="33" t="str">
        <f t="shared" si="14"/>
        <v>Below 530</v>
      </c>
      <c r="G468" s="33">
        <f t="shared" si="15"/>
        <v>529.23346421009308</v>
      </c>
      <c r="H468" s="7">
        <v>0</v>
      </c>
      <c r="I468" s="5" t="s">
        <v>15</v>
      </c>
      <c r="J468" s="5">
        <v>42</v>
      </c>
      <c r="K468" s="2"/>
      <c r="L468" s="2"/>
      <c r="M468" s="1"/>
    </row>
    <row r="469" spans="1:13" ht="14.4" x14ac:dyDescent="0.3">
      <c r="A469" s="14">
        <v>44838</v>
      </c>
      <c r="B469" s="5">
        <v>3</v>
      </c>
      <c r="C469" s="32">
        <f>VLOOKUP(B469,'area in m2'!B$2:C$10,2,FALSE)</f>
        <v>195</v>
      </c>
      <c r="D469" s="5" t="s">
        <v>11</v>
      </c>
      <c r="E469" s="6">
        <v>549.70825898503972</v>
      </c>
      <c r="F469" s="33" t="str">
        <f t="shared" si="14"/>
        <v>Over 530</v>
      </c>
      <c r="G469" s="33">
        <f t="shared" si="15"/>
        <v>577.19367193429173</v>
      </c>
      <c r="H469" s="7">
        <v>0.02</v>
      </c>
      <c r="I469" s="5" t="s">
        <v>15</v>
      </c>
      <c r="J469" s="5">
        <v>29</v>
      </c>
      <c r="K469" s="2"/>
      <c r="L469" s="2"/>
      <c r="M469" s="1"/>
    </row>
    <row r="470" spans="1:13" ht="14.4" x14ac:dyDescent="0.3">
      <c r="A470" s="14">
        <v>44873</v>
      </c>
      <c r="B470" s="5">
        <v>3</v>
      </c>
      <c r="C470" s="32">
        <f>VLOOKUP(B470,'area in m2'!B$2:C$10,2,FALSE)</f>
        <v>195</v>
      </c>
      <c r="D470" s="5" t="s">
        <v>11</v>
      </c>
      <c r="E470" s="6">
        <v>529.02164869088938</v>
      </c>
      <c r="F470" s="33" t="str">
        <f t="shared" si="14"/>
        <v>Below 530</v>
      </c>
      <c r="G470" s="33">
        <f t="shared" si="15"/>
        <v>555.47273112543382</v>
      </c>
      <c r="H470" s="7">
        <v>0</v>
      </c>
      <c r="I470" s="5" t="s">
        <v>14</v>
      </c>
      <c r="J470" s="5">
        <v>31</v>
      </c>
      <c r="K470" s="2"/>
      <c r="L470" s="2"/>
      <c r="M470" s="1"/>
    </row>
    <row r="471" spans="1:13" ht="14.4" x14ac:dyDescent="0.3">
      <c r="A471" s="14">
        <v>44885</v>
      </c>
      <c r="B471" s="5">
        <v>8</v>
      </c>
      <c r="C471" s="32">
        <f>VLOOKUP(B471,'area in m2'!B$2:C$10,2,FALSE)</f>
        <v>142</v>
      </c>
      <c r="D471" s="5" t="s">
        <v>11</v>
      </c>
      <c r="E471" s="6">
        <v>515.12024255404958</v>
      </c>
      <c r="F471" s="33" t="str">
        <f t="shared" si="14"/>
        <v>Below 530</v>
      </c>
      <c r="G471" s="33">
        <f t="shared" si="15"/>
        <v>540.87625468175213</v>
      </c>
      <c r="H471" s="7">
        <v>0.02</v>
      </c>
      <c r="I471" s="5" t="s">
        <v>14</v>
      </c>
      <c r="J471" s="5">
        <v>34</v>
      </c>
      <c r="K471" s="2"/>
      <c r="L471" s="2"/>
      <c r="M471" s="1"/>
    </row>
    <row r="472" spans="1:13" ht="14.4" x14ac:dyDescent="0.3">
      <c r="A472" s="14">
        <v>44847</v>
      </c>
      <c r="B472" s="5">
        <v>8</v>
      </c>
      <c r="C472" s="32">
        <f>VLOOKUP(B472,'area in m2'!B$2:C$10,2,FALSE)</f>
        <v>142</v>
      </c>
      <c r="D472" s="5" t="s">
        <v>12</v>
      </c>
      <c r="E472" s="6">
        <v>511.22133368462164</v>
      </c>
      <c r="F472" s="33" t="str">
        <f t="shared" si="14"/>
        <v>Below 530</v>
      </c>
      <c r="G472" s="33">
        <f t="shared" si="15"/>
        <v>536.78240036885279</v>
      </c>
      <c r="H472" s="7">
        <v>0</v>
      </c>
      <c r="I472" s="5" t="s">
        <v>14</v>
      </c>
      <c r="J472" s="5">
        <v>23</v>
      </c>
      <c r="K472" s="2"/>
      <c r="L472" s="2"/>
      <c r="M472" s="1"/>
    </row>
    <row r="473" spans="1:13" ht="14.4" x14ac:dyDescent="0.3">
      <c r="A473" s="14">
        <v>44735</v>
      </c>
      <c r="B473" s="5">
        <v>6</v>
      </c>
      <c r="C473" s="32">
        <f>VLOOKUP(B473,'area in m2'!B$2:C$10,2,FALSE)</f>
        <v>175</v>
      </c>
      <c r="D473" s="5" t="s">
        <v>13</v>
      </c>
      <c r="E473" s="6">
        <v>511.13727902466235</v>
      </c>
      <c r="F473" s="33" t="str">
        <f t="shared" si="14"/>
        <v>Below 530</v>
      </c>
      <c r="G473" s="33">
        <f t="shared" si="15"/>
        <v>536.69414297589549</v>
      </c>
      <c r="H473" s="7">
        <v>0.02</v>
      </c>
      <c r="I473" s="5" t="s">
        <v>14</v>
      </c>
      <c r="J473" s="5">
        <v>27</v>
      </c>
      <c r="K473" s="2"/>
      <c r="L473" s="2"/>
      <c r="M473" s="1"/>
    </row>
    <row r="474" spans="1:13" ht="14.4" x14ac:dyDescent="0.3">
      <c r="A474" s="14">
        <v>44792</v>
      </c>
      <c r="B474" s="5">
        <v>1</v>
      </c>
      <c r="C474" s="32">
        <f>VLOOKUP(B474,'area in m2'!B$2:C$10,2,FALSE)</f>
        <v>280</v>
      </c>
      <c r="D474" s="5" t="s">
        <v>11</v>
      </c>
      <c r="E474" s="6">
        <v>540.10253187827311</v>
      </c>
      <c r="F474" s="33" t="str">
        <f t="shared" si="14"/>
        <v>Over 530</v>
      </c>
      <c r="G474" s="33">
        <f t="shared" si="15"/>
        <v>567.10765847218681</v>
      </c>
      <c r="H474" s="7">
        <v>0.03</v>
      </c>
      <c r="I474" s="5" t="s">
        <v>14</v>
      </c>
      <c r="J474" s="5">
        <v>47</v>
      </c>
      <c r="K474" s="2"/>
      <c r="L474" s="2"/>
      <c r="M474" s="1"/>
    </row>
    <row r="475" spans="1:13" ht="14.4" x14ac:dyDescent="0.3">
      <c r="A475" s="14">
        <v>44721</v>
      </c>
      <c r="B475" s="5">
        <v>7</v>
      </c>
      <c r="C475" s="32">
        <f>VLOOKUP(B475,'area in m2'!B$2:C$10,2,FALSE)</f>
        <v>166</v>
      </c>
      <c r="D475" s="5" t="s">
        <v>12</v>
      </c>
      <c r="E475" s="6">
        <v>506.34671053461898</v>
      </c>
      <c r="F475" s="33" t="str">
        <f t="shared" si="14"/>
        <v>Below 530</v>
      </c>
      <c r="G475" s="33">
        <f t="shared" si="15"/>
        <v>531.66404606134995</v>
      </c>
      <c r="H475" s="7">
        <v>0.01</v>
      </c>
      <c r="I475" s="5" t="s">
        <v>15</v>
      </c>
      <c r="J475" s="5">
        <v>27</v>
      </c>
      <c r="K475" s="2"/>
      <c r="L475" s="2"/>
      <c r="M475" s="1"/>
    </row>
    <row r="476" spans="1:13" ht="14.4" x14ac:dyDescent="0.3">
      <c r="A476" s="14">
        <v>44727</v>
      </c>
      <c r="B476" s="5">
        <v>2</v>
      </c>
      <c r="C476" s="32">
        <f>VLOOKUP(B476,'area in m2'!B$2:C$10,2,FALSE)</f>
        <v>250</v>
      </c>
      <c r="D476" s="5" t="s">
        <v>11</v>
      </c>
      <c r="E476" s="6">
        <v>519.2590230224223</v>
      </c>
      <c r="F476" s="33" t="str">
        <f t="shared" si="14"/>
        <v>Below 530</v>
      </c>
      <c r="G476" s="33">
        <f t="shared" si="15"/>
        <v>545.22197417354346</v>
      </c>
      <c r="H476" s="7">
        <v>0.03</v>
      </c>
      <c r="I476" s="5" t="s">
        <v>14</v>
      </c>
      <c r="J476" s="5">
        <v>34</v>
      </c>
      <c r="K476" s="2"/>
      <c r="L476" s="2"/>
      <c r="M476" s="1"/>
    </row>
    <row r="477" spans="1:13" ht="14.4" x14ac:dyDescent="0.3">
      <c r="A477" s="14">
        <v>44779</v>
      </c>
      <c r="B477" s="5">
        <v>2</v>
      </c>
      <c r="C477" s="32">
        <f>VLOOKUP(B477,'area in m2'!B$2:C$10,2,FALSE)</f>
        <v>250</v>
      </c>
      <c r="D477" s="5" t="s">
        <v>11</v>
      </c>
      <c r="E477" s="6">
        <v>507.41755509488303</v>
      </c>
      <c r="F477" s="33" t="str">
        <f t="shared" si="14"/>
        <v>Below 530</v>
      </c>
      <c r="G477" s="33">
        <f t="shared" si="15"/>
        <v>532.78843284962716</v>
      </c>
      <c r="H477" s="7">
        <v>0</v>
      </c>
      <c r="I477" s="5" t="s">
        <v>14</v>
      </c>
      <c r="J477" s="5">
        <v>36</v>
      </c>
      <c r="K477" s="2"/>
      <c r="L477" s="2"/>
      <c r="M477" s="1"/>
    </row>
    <row r="478" spans="1:13" ht="14.4" x14ac:dyDescent="0.3">
      <c r="A478" s="14">
        <v>44765</v>
      </c>
      <c r="B478" s="5">
        <v>3</v>
      </c>
      <c r="C478" s="32">
        <f>VLOOKUP(B478,'area in m2'!B$2:C$10,2,FALSE)</f>
        <v>195</v>
      </c>
      <c r="D478" s="5" t="s">
        <v>11</v>
      </c>
      <c r="E478" s="6">
        <v>521.70649778070492</v>
      </c>
      <c r="F478" s="33" t="str">
        <f t="shared" si="14"/>
        <v>Below 530</v>
      </c>
      <c r="G478" s="33">
        <f t="shared" si="15"/>
        <v>547.79182266974021</v>
      </c>
      <c r="H478" s="7">
        <v>0.03</v>
      </c>
      <c r="I478" s="5" t="s">
        <v>14</v>
      </c>
      <c r="J478" s="5">
        <v>41</v>
      </c>
      <c r="K478" s="2"/>
      <c r="L478" s="2"/>
      <c r="M478" s="1"/>
    </row>
    <row r="479" spans="1:13" ht="14.4" x14ac:dyDescent="0.3">
      <c r="A479" s="14">
        <v>44918</v>
      </c>
      <c r="B479" s="5">
        <v>5</v>
      </c>
      <c r="C479" s="32">
        <f>VLOOKUP(B479,'area in m2'!B$2:C$10,2,FALSE)</f>
        <v>200</v>
      </c>
      <c r="D479" s="5" t="s">
        <v>13</v>
      </c>
      <c r="E479" s="6">
        <v>538.09406861323441</v>
      </c>
      <c r="F479" s="33" t="str">
        <f t="shared" si="14"/>
        <v>Over 530</v>
      </c>
      <c r="G479" s="33">
        <f t="shared" si="15"/>
        <v>564.99877204389611</v>
      </c>
      <c r="H479" s="7">
        <v>0</v>
      </c>
      <c r="I479" s="5" t="s">
        <v>15</v>
      </c>
      <c r="J479" s="5">
        <v>44</v>
      </c>
      <c r="K479" s="2"/>
      <c r="L479" s="2"/>
      <c r="M479" s="1"/>
    </row>
    <row r="480" spans="1:13" ht="14.4" x14ac:dyDescent="0.3">
      <c r="A480" s="14">
        <v>44855</v>
      </c>
      <c r="B480" s="5">
        <v>4</v>
      </c>
      <c r="C480" s="32">
        <f>VLOOKUP(B480,'area in m2'!B$2:C$10,2,FALSE)</f>
        <v>188</v>
      </c>
      <c r="D480" s="5" t="s">
        <v>11</v>
      </c>
      <c r="E480" s="6">
        <v>533.33890567738035</v>
      </c>
      <c r="F480" s="33" t="str">
        <f t="shared" si="14"/>
        <v>Over 530</v>
      </c>
      <c r="G480" s="33">
        <f t="shared" si="15"/>
        <v>560.00585096124939</v>
      </c>
      <c r="H480" s="7">
        <v>0</v>
      </c>
      <c r="I480" s="5" t="s">
        <v>14</v>
      </c>
      <c r="J480" s="5">
        <v>42</v>
      </c>
      <c r="K480" s="2"/>
      <c r="L480" s="2"/>
      <c r="M480" s="1"/>
    </row>
    <row r="481" spans="1:13" ht="14.4" x14ac:dyDescent="0.3">
      <c r="A481" s="14">
        <v>44755</v>
      </c>
      <c r="B481" s="5">
        <v>4</v>
      </c>
      <c r="C481" s="32">
        <f>VLOOKUP(B481,'area in m2'!B$2:C$10,2,FALSE)</f>
        <v>188</v>
      </c>
      <c r="D481" s="5" t="s">
        <v>11</v>
      </c>
      <c r="E481" s="6">
        <v>531.86676476165849</v>
      </c>
      <c r="F481" s="33" t="str">
        <f t="shared" si="14"/>
        <v>Over 530</v>
      </c>
      <c r="G481" s="33">
        <f t="shared" si="15"/>
        <v>558.46010299974148</v>
      </c>
      <c r="H481" s="7">
        <v>0.03</v>
      </c>
      <c r="I481" s="5" t="s">
        <v>15</v>
      </c>
      <c r="J481" s="5">
        <v>58</v>
      </c>
      <c r="K481" s="2"/>
      <c r="L481" s="2"/>
      <c r="M481" s="1"/>
    </row>
    <row r="482" spans="1:13" ht="14.4" x14ac:dyDescent="0.3">
      <c r="A482" s="14">
        <v>44700</v>
      </c>
      <c r="B482" s="5">
        <v>5</v>
      </c>
      <c r="C482" s="32">
        <f>VLOOKUP(B482,'area in m2'!B$2:C$10,2,FALSE)</f>
        <v>200</v>
      </c>
      <c r="D482" s="5" t="s">
        <v>13</v>
      </c>
      <c r="E482" s="6">
        <v>531.49451619363663</v>
      </c>
      <c r="F482" s="33" t="str">
        <f t="shared" si="14"/>
        <v>Over 530</v>
      </c>
      <c r="G482" s="33">
        <f t="shared" si="15"/>
        <v>558.06924200331844</v>
      </c>
      <c r="H482" s="7">
        <v>0.01</v>
      </c>
      <c r="I482" s="5" t="s">
        <v>14</v>
      </c>
      <c r="J482" s="5">
        <v>40</v>
      </c>
      <c r="K482" s="2"/>
      <c r="L482" s="2"/>
      <c r="M482" s="1"/>
    </row>
    <row r="483" spans="1:13" ht="14.4" x14ac:dyDescent="0.3">
      <c r="A483" s="14">
        <v>44738</v>
      </c>
      <c r="B483" s="5">
        <v>7</v>
      </c>
      <c r="C483" s="32">
        <f>VLOOKUP(B483,'area in m2'!B$2:C$10,2,FALSE)</f>
        <v>166</v>
      </c>
      <c r="D483" s="5" t="s">
        <v>12</v>
      </c>
      <c r="E483" s="6">
        <v>506.30659228296736</v>
      </c>
      <c r="F483" s="33" t="str">
        <f t="shared" si="14"/>
        <v>Below 530</v>
      </c>
      <c r="G483" s="33">
        <f t="shared" si="15"/>
        <v>531.62192189711573</v>
      </c>
      <c r="H483" s="7">
        <v>0.02</v>
      </c>
      <c r="I483" s="5" t="s">
        <v>14</v>
      </c>
      <c r="J483" s="5">
        <v>25</v>
      </c>
      <c r="K483" s="2"/>
      <c r="L483" s="2"/>
      <c r="M483" s="1"/>
    </row>
    <row r="484" spans="1:13" ht="14.4" x14ac:dyDescent="0.3">
      <c r="A484" s="14">
        <v>44693</v>
      </c>
      <c r="B484" s="5">
        <v>9</v>
      </c>
      <c r="C484" s="32">
        <f>VLOOKUP(B484,'area in m2'!B$2:C$10,2,FALSE)</f>
        <v>140</v>
      </c>
      <c r="D484" s="5" t="s">
        <v>12</v>
      </c>
      <c r="E484" s="6">
        <v>530.66363114675369</v>
      </c>
      <c r="F484" s="33" t="str">
        <f t="shared" si="14"/>
        <v>Over 530</v>
      </c>
      <c r="G484" s="33">
        <f t="shared" si="15"/>
        <v>557.19681270409137</v>
      </c>
      <c r="H484" s="7">
        <v>0</v>
      </c>
      <c r="I484" s="5" t="s">
        <v>15</v>
      </c>
      <c r="J484" s="5">
        <v>39</v>
      </c>
      <c r="K484" s="2"/>
      <c r="L484" s="2"/>
      <c r="M484" s="1"/>
    </row>
    <row r="485" spans="1:13" ht="14.4" x14ac:dyDescent="0.3">
      <c r="A485" s="14">
        <v>44641</v>
      </c>
      <c r="B485" s="5">
        <v>2</v>
      </c>
      <c r="C485" s="32">
        <f>VLOOKUP(B485,'area in m2'!B$2:C$10,2,FALSE)</f>
        <v>250</v>
      </c>
      <c r="D485" s="5" t="s">
        <v>11</v>
      </c>
      <c r="E485" s="6">
        <v>547.89199247025317</v>
      </c>
      <c r="F485" s="33" t="str">
        <f t="shared" si="14"/>
        <v>Over 530</v>
      </c>
      <c r="G485" s="33">
        <f t="shared" si="15"/>
        <v>575.28659209376588</v>
      </c>
      <c r="H485" s="7">
        <v>0.02</v>
      </c>
      <c r="I485" s="5" t="s">
        <v>14</v>
      </c>
      <c r="J485" s="5">
        <v>48</v>
      </c>
      <c r="K485" s="2"/>
      <c r="L485" s="2"/>
      <c r="M485" s="1"/>
    </row>
    <row r="486" spans="1:13" ht="14.4" x14ac:dyDescent="0.3">
      <c r="A486" s="14">
        <v>44707</v>
      </c>
      <c r="B486" s="5">
        <v>3</v>
      </c>
      <c r="C486" s="32">
        <f>VLOOKUP(B486,'area in m2'!B$2:C$10,2,FALSE)</f>
        <v>195</v>
      </c>
      <c r="D486" s="5" t="s">
        <v>11</v>
      </c>
      <c r="E486" s="6">
        <v>543.52467608222287</v>
      </c>
      <c r="F486" s="33" t="str">
        <f t="shared" si="14"/>
        <v>Over 530</v>
      </c>
      <c r="G486" s="33">
        <f t="shared" si="15"/>
        <v>570.70090988633399</v>
      </c>
      <c r="H486" s="7">
        <v>0</v>
      </c>
      <c r="I486" s="5" t="s">
        <v>14</v>
      </c>
      <c r="J486" s="5">
        <v>46</v>
      </c>
      <c r="K486" s="2"/>
      <c r="L486" s="2"/>
      <c r="M486" s="1"/>
    </row>
    <row r="487" spans="1:13" ht="14.4" x14ac:dyDescent="0.3">
      <c r="A487" s="14">
        <v>44640</v>
      </c>
      <c r="B487" s="5">
        <v>8</v>
      </c>
      <c r="C487" s="32">
        <f>VLOOKUP(B487,'area in m2'!B$2:C$10,2,FALSE)</f>
        <v>142</v>
      </c>
      <c r="D487" s="5" t="s">
        <v>12</v>
      </c>
      <c r="E487" s="6">
        <v>520.86239618760146</v>
      </c>
      <c r="F487" s="33" t="str">
        <f t="shared" si="14"/>
        <v>Below 530</v>
      </c>
      <c r="G487" s="33">
        <f t="shared" si="15"/>
        <v>546.90551599698153</v>
      </c>
      <c r="H487" s="7">
        <v>0</v>
      </c>
      <c r="I487" s="5" t="s">
        <v>14</v>
      </c>
      <c r="J487" s="5">
        <v>40</v>
      </c>
      <c r="K487" s="2"/>
      <c r="L487" s="2"/>
      <c r="M487" s="1"/>
    </row>
    <row r="488" spans="1:13" ht="14.4" x14ac:dyDescent="0.3">
      <c r="A488" s="14">
        <v>44609</v>
      </c>
      <c r="B488" s="5">
        <v>1</v>
      </c>
      <c r="C488" s="32">
        <f>VLOOKUP(B488,'area in m2'!B$2:C$10,2,FALSE)</f>
        <v>280</v>
      </c>
      <c r="D488" s="5" t="s">
        <v>11</v>
      </c>
      <c r="E488" s="6">
        <v>505.9258838648675</v>
      </c>
      <c r="F488" s="33" t="str">
        <f t="shared" si="14"/>
        <v>Below 530</v>
      </c>
      <c r="G488" s="33">
        <f t="shared" si="15"/>
        <v>531.2221780581109</v>
      </c>
      <c r="H488" s="7">
        <v>0.01</v>
      </c>
      <c r="I488" s="5" t="s">
        <v>14</v>
      </c>
      <c r="J488" s="5">
        <v>50</v>
      </c>
      <c r="K488" s="2"/>
      <c r="L488" s="2"/>
      <c r="M488" s="1"/>
    </row>
    <row r="489" spans="1:13" ht="14.4" x14ac:dyDescent="0.3">
      <c r="A489" s="14">
        <v>44871</v>
      </c>
      <c r="B489" s="5">
        <v>1</v>
      </c>
      <c r="C489" s="32">
        <f>VLOOKUP(B489,'area in m2'!B$2:C$10,2,FALSE)</f>
        <v>280</v>
      </c>
      <c r="D489" s="5" t="s">
        <v>11</v>
      </c>
      <c r="E489" s="6">
        <v>523.24764626297838</v>
      </c>
      <c r="F489" s="33" t="str">
        <f t="shared" si="14"/>
        <v>Below 530</v>
      </c>
      <c r="G489" s="33">
        <f t="shared" si="15"/>
        <v>549.41002857612727</v>
      </c>
      <c r="H489" s="7">
        <v>0.02</v>
      </c>
      <c r="I489" s="5" t="s">
        <v>15</v>
      </c>
      <c r="J489" s="5">
        <v>56</v>
      </c>
      <c r="K489" s="2"/>
      <c r="L489" s="2"/>
      <c r="M489" s="1"/>
    </row>
    <row r="490" spans="1:13" ht="14.4" x14ac:dyDescent="0.3">
      <c r="A490" s="14">
        <v>44723</v>
      </c>
      <c r="B490" s="5">
        <v>4</v>
      </c>
      <c r="C490" s="32">
        <f>VLOOKUP(B490,'area in m2'!B$2:C$10,2,FALSE)</f>
        <v>188</v>
      </c>
      <c r="D490" s="5" t="s">
        <v>11</v>
      </c>
      <c r="E490" s="6">
        <v>533.72761103206631</v>
      </c>
      <c r="F490" s="33" t="str">
        <f t="shared" si="14"/>
        <v>Over 530</v>
      </c>
      <c r="G490" s="33">
        <f t="shared" si="15"/>
        <v>560.4139915836696</v>
      </c>
      <c r="H490" s="7">
        <v>0</v>
      </c>
      <c r="I490" s="5" t="s">
        <v>14</v>
      </c>
      <c r="J490" s="5">
        <v>37</v>
      </c>
      <c r="K490" s="2"/>
      <c r="L490" s="2"/>
      <c r="M490" s="1"/>
    </row>
    <row r="491" spans="1:13" ht="14.4" x14ac:dyDescent="0.3">
      <c r="A491" s="14">
        <v>44609</v>
      </c>
      <c r="B491" s="5">
        <v>9</v>
      </c>
      <c r="C491" s="32">
        <f>VLOOKUP(B491,'area in m2'!B$2:C$10,2,FALSE)</f>
        <v>140</v>
      </c>
      <c r="D491" s="5" t="s">
        <v>12</v>
      </c>
      <c r="E491" s="6">
        <v>539.52473744919007</v>
      </c>
      <c r="F491" s="33" t="str">
        <f t="shared" si="14"/>
        <v>Over 530</v>
      </c>
      <c r="G491" s="33">
        <f t="shared" si="15"/>
        <v>566.50097432164955</v>
      </c>
      <c r="H491" s="7">
        <v>0</v>
      </c>
      <c r="I491" s="5" t="s">
        <v>14</v>
      </c>
      <c r="J491" s="5">
        <v>33</v>
      </c>
      <c r="K491" s="2"/>
      <c r="L491" s="2"/>
      <c r="M491" s="1"/>
    </row>
    <row r="492" spans="1:13" ht="14.4" x14ac:dyDescent="0.3">
      <c r="A492" s="14">
        <v>44687</v>
      </c>
      <c r="B492" s="5">
        <v>7</v>
      </c>
      <c r="C492" s="32">
        <f>VLOOKUP(B492,'area in m2'!B$2:C$10,2,FALSE)</f>
        <v>166</v>
      </c>
      <c r="D492" s="5" t="s">
        <v>12</v>
      </c>
      <c r="E492" s="6">
        <v>504.80356256091454</v>
      </c>
      <c r="F492" s="33" t="str">
        <f t="shared" si="14"/>
        <v>Below 530</v>
      </c>
      <c r="G492" s="33">
        <f t="shared" si="15"/>
        <v>530.04374068896027</v>
      </c>
      <c r="H492" s="7">
        <v>0.01</v>
      </c>
      <c r="I492" s="5" t="s">
        <v>15</v>
      </c>
      <c r="J492" s="5">
        <v>65</v>
      </c>
      <c r="K492" s="2"/>
      <c r="L492" s="2"/>
      <c r="M492" s="1"/>
    </row>
    <row r="493" spans="1:13" ht="14.4" x14ac:dyDescent="0.3">
      <c r="A493" s="14">
        <v>44824</v>
      </c>
      <c r="B493" s="5">
        <v>8</v>
      </c>
      <c r="C493" s="32">
        <f>VLOOKUP(B493,'area in m2'!B$2:C$10,2,FALSE)</f>
        <v>142</v>
      </c>
      <c r="D493" s="5" t="s">
        <v>12</v>
      </c>
      <c r="E493" s="6">
        <v>510.99614338026549</v>
      </c>
      <c r="F493" s="33" t="str">
        <f t="shared" si="14"/>
        <v>Below 530</v>
      </c>
      <c r="G493" s="33">
        <f t="shared" si="15"/>
        <v>536.54595054927881</v>
      </c>
      <c r="H493" s="7">
        <v>0.02</v>
      </c>
      <c r="I493" s="5" t="s">
        <v>14</v>
      </c>
      <c r="J493" s="5">
        <v>44</v>
      </c>
      <c r="K493" s="2"/>
      <c r="L493" s="2"/>
      <c r="M493" s="1"/>
    </row>
    <row r="494" spans="1:13" ht="14.4" x14ac:dyDescent="0.3">
      <c r="A494" s="14">
        <v>44747</v>
      </c>
      <c r="B494" s="5">
        <v>4</v>
      </c>
      <c r="C494" s="32">
        <f>VLOOKUP(B494,'area in m2'!B$2:C$10,2,FALSE)</f>
        <v>188</v>
      </c>
      <c r="D494" s="5" t="s">
        <v>11</v>
      </c>
      <c r="E494" s="6">
        <v>549.35417348039846</v>
      </c>
      <c r="F494" s="33" t="str">
        <f t="shared" si="14"/>
        <v>Over 530</v>
      </c>
      <c r="G494" s="33">
        <f t="shared" si="15"/>
        <v>576.8218821544184</v>
      </c>
      <c r="H494" s="7">
        <v>0.02</v>
      </c>
      <c r="I494" s="5" t="s">
        <v>14</v>
      </c>
      <c r="J494" s="5">
        <v>39</v>
      </c>
      <c r="K494" s="2"/>
      <c r="L494" s="2"/>
      <c r="M494" s="1"/>
    </row>
    <row r="495" spans="1:13" ht="14.4" x14ac:dyDescent="0.3">
      <c r="A495" s="14">
        <v>44598</v>
      </c>
      <c r="B495" s="5">
        <v>7</v>
      </c>
      <c r="C495" s="32">
        <f>VLOOKUP(B495,'area in m2'!B$2:C$10,2,FALSE)</f>
        <v>166</v>
      </c>
      <c r="D495" s="5" t="s">
        <v>12</v>
      </c>
      <c r="E495" s="6">
        <v>509.06292636335183</v>
      </c>
      <c r="F495" s="33" t="str">
        <f t="shared" si="14"/>
        <v>Below 530</v>
      </c>
      <c r="G495" s="33">
        <f t="shared" si="15"/>
        <v>534.5160726815194</v>
      </c>
      <c r="H495" s="7">
        <v>0</v>
      </c>
      <c r="I495" s="5" t="s">
        <v>14</v>
      </c>
      <c r="J495" s="5">
        <v>40</v>
      </c>
      <c r="K495" s="2"/>
      <c r="L495" s="2"/>
      <c r="M495" s="1"/>
    </row>
    <row r="496" spans="1:13" ht="14.4" x14ac:dyDescent="0.3">
      <c r="A496" s="14">
        <v>44795</v>
      </c>
      <c r="B496" s="5">
        <v>4</v>
      </c>
      <c r="C496" s="32">
        <f>VLOOKUP(B496,'area in m2'!B$2:C$10,2,FALSE)</f>
        <v>188</v>
      </c>
      <c r="D496" s="5" t="s">
        <v>11</v>
      </c>
      <c r="E496" s="6">
        <v>524.42804802667615</v>
      </c>
      <c r="F496" s="33" t="str">
        <f t="shared" si="14"/>
        <v>Below 530</v>
      </c>
      <c r="G496" s="33">
        <f t="shared" si="15"/>
        <v>550.64945042801003</v>
      </c>
      <c r="H496" s="7">
        <v>0</v>
      </c>
      <c r="I496" s="5" t="s">
        <v>14</v>
      </c>
      <c r="J496" s="5">
        <v>21</v>
      </c>
      <c r="K496" s="2"/>
      <c r="L496" s="2"/>
      <c r="M496" s="1"/>
    </row>
    <row r="497" spans="1:13" ht="14.4" x14ac:dyDescent="0.3">
      <c r="A497" s="14">
        <v>44905</v>
      </c>
      <c r="B497" s="5">
        <v>7</v>
      </c>
      <c r="C497" s="32">
        <f>VLOOKUP(B497,'area in m2'!B$2:C$10,2,FALSE)</f>
        <v>166</v>
      </c>
      <c r="D497" s="5" t="s">
        <v>12</v>
      </c>
      <c r="E497" s="6">
        <v>521.23525429116671</v>
      </c>
      <c r="F497" s="33" t="str">
        <f t="shared" si="14"/>
        <v>Below 530</v>
      </c>
      <c r="G497" s="33">
        <f t="shared" si="15"/>
        <v>547.29701700572502</v>
      </c>
      <c r="H497" s="7">
        <v>0.01</v>
      </c>
      <c r="I497" s="5" t="s">
        <v>14</v>
      </c>
      <c r="J497" s="5">
        <v>40</v>
      </c>
      <c r="K497" s="2"/>
      <c r="L497" s="2"/>
      <c r="M497" s="1"/>
    </row>
    <row r="498" spans="1:13" ht="14.4" x14ac:dyDescent="0.3">
      <c r="A498" s="14">
        <v>44827</v>
      </c>
      <c r="B498" s="5">
        <v>7</v>
      </c>
      <c r="C498" s="32">
        <f>VLOOKUP(B498,'area in m2'!B$2:C$10,2,FALSE)</f>
        <v>166</v>
      </c>
      <c r="D498" s="5" t="s">
        <v>12</v>
      </c>
      <c r="E498" s="6">
        <v>523.4082054203127</v>
      </c>
      <c r="F498" s="33" t="str">
        <f t="shared" si="14"/>
        <v>Below 530</v>
      </c>
      <c r="G498" s="33">
        <f t="shared" si="15"/>
        <v>549.57861569132831</v>
      </c>
      <c r="H498" s="7">
        <v>0.02</v>
      </c>
      <c r="I498" s="5" t="s">
        <v>15</v>
      </c>
      <c r="J498" s="5">
        <v>57</v>
      </c>
      <c r="K498" s="2"/>
      <c r="L498" s="2"/>
      <c r="M498" s="1"/>
    </row>
    <row r="499" spans="1:13" ht="14.4" x14ac:dyDescent="0.3">
      <c r="A499" s="14">
        <v>44696</v>
      </c>
      <c r="B499" s="5">
        <v>8</v>
      </c>
      <c r="C499" s="32">
        <f>VLOOKUP(B499,'area in m2'!B$2:C$10,2,FALSE)</f>
        <v>142</v>
      </c>
      <c r="D499" s="5" t="s">
        <v>12</v>
      </c>
      <c r="E499" s="6">
        <v>523.81069784908686</v>
      </c>
      <c r="F499" s="33" t="str">
        <f t="shared" si="14"/>
        <v>Below 530</v>
      </c>
      <c r="G499" s="33">
        <f t="shared" si="15"/>
        <v>550.00123274154123</v>
      </c>
      <c r="H499" s="7">
        <v>0.01</v>
      </c>
      <c r="I499" s="5" t="s">
        <v>15</v>
      </c>
      <c r="J499" s="5">
        <v>35</v>
      </c>
      <c r="K499" s="2"/>
      <c r="L499" s="2"/>
      <c r="M499" s="1"/>
    </row>
    <row r="500" spans="1:13" ht="14.4" x14ac:dyDescent="0.3">
      <c r="A500" s="14">
        <v>44734</v>
      </c>
      <c r="B500" s="5">
        <v>9</v>
      </c>
      <c r="C500" s="32">
        <f>VLOOKUP(B500,'area in m2'!B$2:C$10,2,FALSE)</f>
        <v>140</v>
      </c>
      <c r="D500" s="5" t="s">
        <v>12</v>
      </c>
      <c r="E500" s="6">
        <v>540.28924067213029</v>
      </c>
      <c r="F500" s="33" t="str">
        <f t="shared" si="14"/>
        <v>Over 530</v>
      </c>
      <c r="G500" s="33">
        <f t="shared" si="15"/>
        <v>567.30370270573678</v>
      </c>
      <c r="H500" s="7">
        <v>0</v>
      </c>
      <c r="I500" s="5" t="s">
        <v>14</v>
      </c>
      <c r="J500" s="5">
        <v>43</v>
      </c>
      <c r="K500" s="2"/>
      <c r="L500" s="2"/>
      <c r="M500" s="1"/>
    </row>
    <row r="501" spans="1:13" ht="14.4" x14ac:dyDescent="0.3">
      <c r="A501" s="14">
        <v>44590</v>
      </c>
      <c r="B501" s="5">
        <v>2</v>
      </c>
      <c r="C501" s="32">
        <f>VLOOKUP(B501,'area in m2'!B$2:C$10,2,FALSE)</f>
        <v>250</v>
      </c>
      <c r="D501" s="5" t="s">
        <v>11</v>
      </c>
      <c r="E501" s="6">
        <v>537.67503914547706</v>
      </c>
      <c r="F501" s="33" t="str">
        <f t="shared" si="14"/>
        <v>Over 530</v>
      </c>
      <c r="G501" s="33">
        <f t="shared" si="15"/>
        <v>564.55879110275089</v>
      </c>
      <c r="H501" s="7">
        <v>0</v>
      </c>
      <c r="I501" s="5" t="s">
        <v>15</v>
      </c>
      <c r="J501" s="5">
        <v>49</v>
      </c>
      <c r="K501" s="2"/>
      <c r="L501" s="2"/>
      <c r="M501" s="1"/>
    </row>
    <row r="502" spans="1:13" ht="14.4" x14ac:dyDescent="0.3">
      <c r="A502" s="14">
        <v>44887</v>
      </c>
      <c r="B502" s="5">
        <v>7</v>
      </c>
      <c r="C502" s="32">
        <f>VLOOKUP(B502,'area in m2'!B$2:C$10,2,FALSE)</f>
        <v>166</v>
      </c>
      <c r="D502" s="5" t="s">
        <v>12</v>
      </c>
      <c r="E502" s="6">
        <v>503.20694533604728</v>
      </c>
      <c r="F502" s="33" t="str">
        <f t="shared" si="14"/>
        <v>Below 530</v>
      </c>
      <c r="G502" s="33">
        <f t="shared" si="15"/>
        <v>528.36729260284972</v>
      </c>
      <c r="H502" s="7">
        <v>0.03</v>
      </c>
      <c r="I502" s="5" t="s">
        <v>15</v>
      </c>
      <c r="J502" s="5">
        <v>64</v>
      </c>
      <c r="K502" s="2"/>
      <c r="L502" s="2"/>
      <c r="M502" s="1"/>
    </row>
    <row r="503" spans="1:13" ht="14.4" x14ac:dyDescent="0.3">
      <c r="A503" s="14">
        <v>44690</v>
      </c>
      <c r="B503" s="5">
        <v>7</v>
      </c>
      <c r="C503" s="32">
        <f>VLOOKUP(B503,'area in m2'!B$2:C$10,2,FALSE)</f>
        <v>166</v>
      </c>
      <c r="D503" s="5" t="s">
        <v>12</v>
      </c>
      <c r="E503" s="6">
        <v>502.62361863034988</v>
      </c>
      <c r="F503" s="33" t="str">
        <f t="shared" si="14"/>
        <v>Below 530</v>
      </c>
      <c r="G503" s="33">
        <f t="shared" si="15"/>
        <v>527.75479956186734</v>
      </c>
      <c r="H503" s="7">
        <v>0</v>
      </c>
      <c r="I503" s="5" t="s">
        <v>15</v>
      </c>
      <c r="J503" s="5">
        <v>20</v>
      </c>
      <c r="K503" s="2"/>
      <c r="L503" s="2"/>
      <c r="M503" s="1"/>
    </row>
    <row r="504" spans="1:13" ht="14.4" x14ac:dyDescent="0.3">
      <c r="A504" s="14">
        <v>44620</v>
      </c>
      <c r="B504" s="5">
        <v>6</v>
      </c>
      <c r="C504" s="32">
        <f>VLOOKUP(B504,'area in m2'!B$2:C$10,2,FALSE)</f>
        <v>175</v>
      </c>
      <c r="D504" s="5" t="s">
        <v>13</v>
      </c>
      <c r="E504" s="6">
        <v>503.8324133865035</v>
      </c>
      <c r="F504" s="33" t="str">
        <f t="shared" si="14"/>
        <v>Below 530</v>
      </c>
      <c r="G504" s="33">
        <f t="shared" si="15"/>
        <v>529.02403405582868</v>
      </c>
      <c r="H504" s="7">
        <v>0</v>
      </c>
      <c r="I504" s="5" t="s">
        <v>15</v>
      </c>
      <c r="J504" s="5">
        <v>28</v>
      </c>
      <c r="K504" s="2"/>
      <c r="L504" s="2"/>
      <c r="M504" s="1"/>
    </row>
    <row r="505" spans="1:13" ht="14.4" x14ac:dyDescent="0.3">
      <c r="A505" s="14">
        <v>44680</v>
      </c>
      <c r="B505" s="5">
        <v>1</v>
      </c>
      <c r="C505" s="32">
        <f>VLOOKUP(B505,'area in m2'!B$2:C$10,2,FALSE)</f>
        <v>280</v>
      </c>
      <c r="D505" s="5" t="s">
        <v>11</v>
      </c>
      <c r="E505" s="6">
        <v>512.37855653956285</v>
      </c>
      <c r="F505" s="33" t="str">
        <f t="shared" si="14"/>
        <v>Below 530</v>
      </c>
      <c r="G505" s="33">
        <f t="shared" si="15"/>
        <v>537.99748436654102</v>
      </c>
      <c r="H505" s="7">
        <v>0</v>
      </c>
      <c r="I505" s="5" t="s">
        <v>14</v>
      </c>
      <c r="J505" s="5">
        <v>26</v>
      </c>
      <c r="K505" s="2"/>
      <c r="L505" s="2"/>
      <c r="M505" s="1"/>
    </row>
    <row r="506" spans="1:13" ht="14.4" x14ac:dyDescent="0.3">
      <c r="A506" s="14">
        <v>44679</v>
      </c>
      <c r="B506" s="5">
        <v>7</v>
      </c>
      <c r="C506" s="32">
        <f>VLOOKUP(B506,'area in m2'!B$2:C$10,2,FALSE)</f>
        <v>166</v>
      </c>
      <c r="D506" s="5" t="s">
        <v>12</v>
      </c>
      <c r="E506" s="6">
        <v>535.40147563129995</v>
      </c>
      <c r="F506" s="33" t="str">
        <f t="shared" si="14"/>
        <v>Over 530</v>
      </c>
      <c r="G506" s="33">
        <f t="shared" si="15"/>
        <v>562.17154941286492</v>
      </c>
      <c r="H506" s="7">
        <v>0</v>
      </c>
      <c r="I506" s="5" t="s">
        <v>15</v>
      </c>
      <c r="J506" s="5">
        <v>54</v>
      </c>
      <c r="K506" s="2"/>
      <c r="L506" s="2"/>
      <c r="M506" s="1"/>
    </row>
    <row r="507" spans="1:13" ht="14.4" x14ac:dyDescent="0.3">
      <c r="A507" s="14">
        <v>44655</v>
      </c>
      <c r="B507" s="5">
        <v>1</v>
      </c>
      <c r="C507" s="32">
        <f>VLOOKUP(B507,'area in m2'!B$2:C$10,2,FALSE)</f>
        <v>280</v>
      </c>
      <c r="D507" s="5" t="s">
        <v>11</v>
      </c>
      <c r="E507" s="6">
        <v>545.19890935209878</v>
      </c>
      <c r="F507" s="33" t="str">
        <f t="shared" si="14"/>
        <v>Over 530</v>
      </c>
      <c r="G507" s="33">
        <f t="shared" si="15"/>
        <v>572.45885481970379</v>
      </c>
      <c r="H507" s="7">
        <v>0.02</v>
      </c>
      <c r="I507" s="5" t="s">
        <v>14</v>
      </c>
      <c r="J507" s="5">
        <v>33</v>
      </c>
      <c r="K507" s="2"/>
      <c r="L507" s="2"/>
      <c r="M507" s="1"/>
    </row>
    <row r="508" spans="1:13" ht="14.4" x14ac:dyDescent="0.3">
      <c r="A508" s="14">
        <v>44871</v>
      </c>
      <c r="B508" s="5">
        <v>5</v>
      </c>
      <c r="C508" s="32">
        <f>VLOOKUP(B508,'area in m2'!B$2:C$10,2,FALSE)</f>
        <v>200</v>
      </c>
      <c r="D508" s="5" t="s">
        <v>13</v>
      </c>
      <c r="E508" s="6">
        <v>544.6696087523087</v>
      </c>
      <c r="F508" s="33" t="str">
        <f t="shared" si="14"/>
        <v>Over 530</v>
      </c>
      <c r="G508" s="33">
        <f t="shared" si="15"/>
        <v>571.90308918992412</v>
      </c>
      <c r="H508" s="7">
        <v>0</v>
      </c>
      <c r="I508" s="5" t="s">
        <v>14</v>
      </c>
      <c r="J508" s="5">
        <v>30</v>
      </c>
      <c r="K508" s="2"/>
      <c r="L508" s="2"/>
      <c r="M508" s="1"/>
    </row>
    <row r="509" spans="1:13" ht="14.4" x14ac:dyDescent="0.3">
      <c r="A509" s="14">
        <v>44798</v>
      </c>
      <c r="B509" s="5">
        <v>7</v>
      </c>
      <c r="C509" s="32">
        <f>VLOOKUP(B509,'area in m2'!B$2:C$10,2,FALSE)</f>
        <v>166</v>
      </c>
      <c r="D509" s="5" t="s">
        <v>12</v>
      </c>
      <c r="E509" s="6">
        <v>516.60459942036778</v>
      </c>
      <c r="F509" s="33" t="str">
        <f t="shared" si="14"/>
        <v>Below 530</v>
      </c>
      <c r="G509" s="33">
        <f t="shared" si="15"/>
        <v>542.43482939138619</v>
      </c>
      <c r="H509" s="7">
        <v>0.01</v>
      </c>
      <c r="I509" s="5" t="s">
        <v>15</v>
      </c>
      <c r="J509" s="5">
        <v>29</v>
      </c>
      <c r="K509" s="2"/>
      <c r="L509" s="2"/>
      <c r="M509" s="1"/>
    </row>
    <row r="510" spans="1:13" ht="14.4" x14ac:dyDescent="0.3">
      <c r="A510" s="14">
        <v>44873</v>
      </c>
      <c r="B510" s="5">
        <v>3</v>
      </c>
      <c r="C510" s="32">
        <f>VLOOKUP(B510,'area in m2'!B$2:C$10,2,FALSE)</f>
        <v>195</v>
      </c>
      <c r="D510" s="5" t="s">
        <v>11</v>
      </c>
      <c r="E510" s="6">
        <v>522.82570096529707</v>
      </c>
      <c r="F510" s="33" t="str">
        <f t="shared" si="14"/>
        <v>Below 530</v>
      </c>
      <c r="G510" s="33">
        <f t="shared" si="15"/>
        <v>548.96698601356195</v>
      </c>
      <c r="H510" s="7">
        <v>0.01</v>
      </c>
      <c r="I510" s="5" t="s">
        <v>14</v>
      </c>
      <c r="J510" s="5">
        <v>50</v>
      </c>
      <c r="K510" s="2"/>
      <c r="L510" s="2"/>
      <c r="M510" s="1"/>
    </row>
    <row r="511" spans="1:13" ht="14.4" x14ac:dyDescent="0.3">
      <c r="A511" s="14">
        <v>44809</v>
      </c>
      <c r="B511" s="5">
        <v>4</v>
      </c>
      <c r="C511" s="32">
        <f>VLOOKUP(B511,'area in m2'!B$2:C$10,2,FALSE)</f>
        <v>188</v>
      </c>
      <c r="D511" s="5" t="s">
        <v>11</v>
      </c>
      <c r="E511" s="6">
        <v>546.55517356210476</v>
      </c>
      <c r="F511" s="33" t="str">
        <f t="shared" si="14"/>
        <v>Over 530</v>
      </c>
      <c r="G511" s="33">
        <f t="shared" si="15"/>
        <v>573.88293224021004</v>
      </c>
      <c r="H511" s="7">
        <v>0.01</v>
      </c>
      <c r="I511" s="5" t="s">
        <v>14</v>
      </c>
      <c r="J511" s="5">
        <v>47</v>
      </c>
      <c r="K511" s="2"/>
      <c r="L511" s="2"/>
      <c r="M511" s="1"/>
    </row>
    <row r="512" spans="1:13" ht="14.4" x14ac:dyDescent="0.3">
      <c r="A512" s="14">
        <v>44874</v>
      </c>
      <c r="B512" s="5">
        <v>2</v>
      </c>
      <c r="C512" s="32">
        <f>VLOOKUP(B512,'area in m2'!B$2:C$10,2,FALSE)</f>
        <v>250</v>
      </c>
      <c r="D512" s="5" t="s">
        <v>11</v>
      </c>
      <c r="E512" s="6">
        <v>539.62489464655027</v>
      </c>
      <c r="F512" s="33" t="str">
        <f t="shared" si="14"/>
        <v>Over 530</v>
      </c>
      <c r="G512" s="33">
        <f t="shared" si="15"/>
        <v>566.60613937887786</v>
      </c>
      <c r="H512" s="7">
        <v>0</v>
      </c>
      <c r="I512" s="5" t="s">
        <v>14</v>
      </c>
      <c r="J512" s="5">
        <v>26</v>
      </c>
      <c r="K512" s="2"/>
      <c r="L512" s="2"/>
      <c r="M512" s="1"/>
    </row>
    <row r="513" spans="1:13" ht="14.4" x14ac:dyDescent="0.3">
      <c r="A513" s="14">
        <v>44655</v>
      </c>
      <c r="B513" s="5">
        <v>1</v>
      </c>
      <c r="C513" s="32">
        <f>VLOOKUP(B513,'area in m2'!B$2:C$10,2,FALSE)</f>
        <v>280</v>
      </c>
      <c r="D513" s="5" t="s">
        <v>11</v>
      </c>
      <c r="E513" s="6">
        <v>537.21471381050469</v>
      </c>
      <c r="F513" s="33" t="str">
        <f t="shared" si="14"/>
        <v>Over 530</v>
      </c>
      <c r="G513" s="33">
        <f t="shared" si="15"/>
        <v>564.07544950102999</v>
      </c>
      <c r="H513" s="7">
        <v>0.01</v>
      </c>
      <c r="I513" s="5" t="s">
        <v>14</v>
      </c>
      <c r="J513" s="5">
        <v>32</v>
      </c>
      <c r="K513" s="2"/>
      <c r="L513" s="2"/>
      <c r="M513" s="1"/>
    </row>
    <row r="514" spans="1:13" ht="14.4" x14ac:dyDescent="0.3">
      <c r="A514" s="14">
        <v>44685</v>
      </c>
      <c r="B514" s="5">
        <v>3</v>
      </c>
      <c r="C514" s="32">
        <f>VLOOKUP(B514,'area in m2'!B$2:C$10,2,FALSE)</f>
        <v>195</v>
      </c>
      <c r="D514" s="5" t="s">
        <v>11</v>
      </c>
      <c r="E514" s="6">
        <v>500.88839893969543</v>
      </c>
      <c r="F514" s="33" t="str">
        <f t="shared" si="14"/>
        <v>Below 530</v>
      </c>
      <c r="G514" s="33">
        <f t="shared" si="15"/>
        <v>525.93281888668025</v>
      </c>
      <c r="H514" s="7">
        <v>0</v>
      </c>
      <c r="I514" s="5" t="s">
        <v>14</v>
      </c>
      <c r="J514" s="5">
        <v>32</v>
      </c>
      <c r="K514" s="2"/>
      <c r="L514" s="2"/>
      <c r="M514" s="1"/>
    </row>
    <row r="515" spans="1:13" ht="14.4" x14ac:dyDescent="0.3">
      <c r="A515" s="14">
        <v>44871</v>
      </c>
      <c r="B515" s="5">
        <v>5</v>
      </c>
      <c r="C515" s="32">
        <f>VLOOKUP(B515,'area in m2'!B$2:C$10,2,FALSE)</f>
        <v>200</v>
      </c>
      <c r="D515" s="5" t="s">
        <v>13</v>
      </c>
      <c r="E515" s="6">
        <v>552.05773254976793</v>
      </c>
      <c r="F515" s="33" t="str">
        <f t="shared" si="14"/>
        <v>Over 530</v>
      </c>
      <c r="G515" s="33">
        <f t="shared" si="15"/>
        <v>579.66061917725631</v>
      </c>
      <c r="H515" s="7">
        <v>0.01</v>
      </c>
      <c r="I515" s="5" t="s">
        <v>14</v>
      </c>
      <c r="J515" s="5">
        <v>41</v>
      </c>
      <c r="K515" s="2"/>
      <c r="L515" s="2"/>
      <c r="M515" s="1"/>
    </row>
    <row r="516" spans="1:13" ht="14.4" x14ac:dyDescent="0.3">
      <c r="A516" s="14">
        <v>44606</v>
      </c>
      <c r="B516" s="5">
        <v>6</v>
      </c>
      <c r="C516" s="32">
        <f>VLOOKUP(B516,'area in m2'!B$2:C$10,2,FALSE)</f>
        <v>175</v>
      </c>
      <c r="D516" s="5" t="s">
        <v>13</v>
      </c>
      <c r="E516" s="6">
        <v>507.89616855035911</v>
      </c>
      <c r="F516" s="33" t="str">
        <f t="shared" si="14"/>
        <v>Below 530</v>
      </c>
      <c r="G516" s="33">
        <f t="shared" si="15"/>
        <v>533.29097697787711</v>
      </c>
      <c r="H516" s="7">
        <v>0.02</v>
      </c>
      <c r="I516" s="5" t="s">
        <v>14</v>
      </c>
      <c r="J516" s="5">
        <v>50</v>
      </c>
      <c r="K516" s="2"/>
      <c r="L516" s="2"/>
      <c r="M516" s="1"/>
    </row>
    <row r="517" spans="1:13" ht="14.4" x14ac:dyDescent="0.3">
      <c r="A517" s="14">
        <v>44796</v>
      </c>
      <c r="B517" s="5">
        <v>5</v>
      </c>
      <c r="C517" s="32">
        <f>VLOOKUP(B517,'area in m2'!B$2:C$10,2,FALSE)</f>
        <v>200</v>
      </c>
      <c r="D517" s="5" t="s">
        <v>13</v>
      </c>
      <c r="E517" s="6">
        <v>525.93689880134571</v>
      </c>
      <c r="F517" s="33" t="str">
        <f t="shared" ref="F517:F580" si="16">IF(E517&gt;530,"Over 530","Below 530")</f>
        <v>Below 530</v>
      </c>
      <c r="G517" s="33">
        <f t="shared" ref="G517:G580" si="17">+E517*1.05</f>
        <v>552.23374374141304</v>
      </c>
      <c r="H517" s="7">
        <v>0.03</v>
      </c>
      <c r="I517" s="5" t="s">
        <v>14</v>
      </c>
      <c r="J517" s="5">
        <v>41</v>
      </c>
      <c r="K517" s="2"/>
      <c r="L517" s="2"/>
      <c r="M517" s="1"/>
    </row>
    <row r="518" spans="1:13" ht="14.4" x14ac:dyDescent="0.3">
      <c r="A518" s="14">
        <v>44606</v>
      </c>
      <c r="B518" s="5">
        <v>8</v>
      </c>
      <c r="C518" s="32">
        <f>VLOOKUP(B518,'area in m2'!B$2:C$10,2,FALSE)</f>
        <v>142</v>
      </c>
      <c r="D518" s="5" t="s">
        <v>12</v>
      </c>
      <c r="E518" s="6">
        <v>529.79297609250352</v>
      </c>
      <c r="F518" s="33" t="str">
        <f t="shared" si="16"/>
        <v>Below 530</v>
      </c>
      <c r="G518" s="33">
        <f t="shared" si="17"/>
        <v>556.2826248971287</v>
      </c>
      <c r="H518" s="7">
        <v>0.01</v>
      </c>
      <c r="I518" s="5" t="s">
        <v>14</v>
      </c>
      <c r="J518" s="5">
        <v>44</v>
      </c>
      <c r="K518" s="2"/>
      <c r="L518" s="2"/>
      <c r="M518" s="1"/>
    </row>
    <row r="519" spans="1:13" ht="14.4" x14ac:dyDescent="0.3">
      <c r="A519" s="14">
        <v>44590</v>
      </c>
      <c r="B519" s="5">
        <v>1</v>
      </c>
      <c r="C519" s="32">
        <f>VLOOKUP(B519,'area in m2'!B$2:C$10,2,FALSE)</f>
        <v>280</v>
      </c>
      <c r="D519" s="5" t="s">
        <v>11</v>
      </c>
      <c r="E519" s="6">
        <v>526.41915784573303</v>
      </c>
      <c r="F519" s="33" t="str">
        <f t="shared" si="16"/>
        <v>Below 530</v>
      </c>
      <c r="G519" s="33">
        <f t="shared" si="17"/>
        <v>552.74011573801965</v>
      </c>
      <c r="H519" s="7">
        <v>0.03</v>
      </c>
      <c r="I519" s="5" t="s">
        <v>14</v>
      </c>
      <c r="J519" s="5">
        <v>43</v>
      </c>
      <c r="K519" s="2"/>
      <c r="L519" s="2"/>
      <c r="M519" s="1"/>
    </row>
    <row r="520" spans="1:13" ht="14.4" x14ac:dyDescent="0.3">
      <c r="A520" s="14">
        <v>44910</v>
      </c>
      <c r="B520" s="5">
        <v>2</v>
      </c>
      <c r="C520" s="32">
        <f>VLOOKUP(B520,'area in m2'!B$2:C$10,2,FALSE)</f>
        <v>250</v>
      </c>
      <c r="D520" s="5" t="s">
        <v>11</v>
      </c>
      <c r="E520" s="6">
        <v>532.78790233959444</v>
      </c>
      <c r="F520" s="33" t="str">
        <f t="shared" si="16"/>
        <v>Over 530</v>
      </c>
      <c r="G520" s="33">
        <f t="shared" si="17"/>
        <v>559.42729745657414</v>
      </c>
      <c r="H520" s="7">
        <v>0.01</v>
      </c>
      <c r="I520" s="5" t="s">
        <v>15</v>
      </c>
      <c r="J520" s="5">
        <v>16</v>
      </c>
      <c r="K520" s="2"/>
      <c r="L520" s="2"/>
      <c r="M520" s="1"/>
    </row>
    <row r="521" spans="1:13" ht="14.4" x14ac:dyDescent="0.3">
      <c r="A521" s="14">
        <v>44733</v>
      </c>
      <c r="B521" s="5">
        <v>4</v>
      </c>
      <c r="C521" s="32">
        <f>VLOOKUP(B521,'area in m2'!B$2:C$10,2,FALSE)</f>
        <v>188</v>
      </c>
      <c r="D521" s="5" t="s">
        <v>11</v>
      </c>
      <c r="E521" s="6">
        <v>519.82835447961861</v>
      </c>
      <c r="F521" s="33" t="str">
        <f t="shared" si="16"/>
        <v>Below 530</v>
      </c>
      <c r="G521" s="33">
        <f t="shared" si="17"/>
        <v>545.81977220359954</v>
      </c>
      <c r="H521" s="7">
        <v>0.03</v>
      </c>
      <c r="I521" s="5" t="s">
        <v>14</v>
      </c>
      <c r="J521" s="5">
        <v>21</v>
      </c>
      <c r="K521" s="2"/>
      <c r="L521" s="2"/>
      <c r="M521" s="1"/>
    </row>
    <row r="522" spans="1:13" ht="14.4" x14ac:dyDescent="0.3">
      <c r="A522" s="14">
        <v>44567</v>
      </c>
      <c r="B522" s="5">
        <v>2</v>
      </c>
      <c r="C522" s="32">
        <f>VLOOKUP(B522,'area in m2'!B$2:C$10,2,FALSE)</f>
        <v>250</v>
      </c>
      <c r="D522" s="5" t="s">
        <v>11</v>
      </c>
      <c r="E522" s="6">
        <v>511.97867147885881</v>
      </c>
      <c r="F522" s="33" t="str">
        <f t="shared" si="16"/>
        <v>Below 530</v>
      </c>
      <c r="G522" s="33">
        <f t="shared" si="17"/>
        <v>537.5776050528018</v>
      </c>
      <c r="H522" s="7">
        <v>0.01</v>
      </c>
      <c r="I522" s="5" t="s">
        <v>14</v>
      </c>
      <c r="J522" s="5">
        <v>38</v>
      </c>
      <c r="K522" s="2"/>
      <c r="L522" s="2"/>
      <c r="M522" s="1"/>
    </row>
    <row r="523" spans="1:13" ht="14.4" x14ac:dyDescent="0.3">
      <c r="A523" s="14">
        <v>44920</v>
      </c>
      <c r="B523" s="5">
        <v>4</v>
      </c>
      <c r="C523" s="32">
        <f>VLOOKUP(B523,'area in m2'!B$2:C$10,2,FALSE)</f>
        <v>188</v>
      </c>
      <c r="D523" s="5" t="s">
        <v>11</v>
      </c>
      <c r="E523" s="6">
        <v>518.3390398569627</v>
      </c>
      <c r="F523" s="33" t="str">
        <f t="shared" si="16"/>
        <v>Below 530</v>
      </c>
      <c r="G523" s="33">
        <f t="shared" si="17"/>
        <v>544.25599184981081</v>
      </c>
      <c r="H523" s="7">
        <v>0.02</v>
      </c>
      <c r="I523" s="5" t="s">
        <v>14</v>
      </c>
      <c r="J523" s="5">
        <v>48</v>
      </c>
      <c r="K523" s="2"/>
      <c r="L523" s="2"/>
      <c r="M523" s="1"/>
    </row>
    <row r="524" spans="1:13" ht="14.4" x14ac:dyDescent="0.3">
      <c r="A524" s="14">
        <v>44918</v>
      </c>
      <c r="B524" s="5">
        <v>3</v>
      </c>
      <c r="C524" s="32">
        <f>VLOOKUP(B524,'area in m2'!B$2:C$10,2,FALSE)</f>
        <v>195</v>
      </c>
      <c r="D524" s="5" t="s">
        <v>11</v>
      </c>
      <c r="E524" s="6">
        <v>517.02772779663701</v>
      </c>
      <c r="F524" s="33" t="str">
        <f t="shared" si="16"/>
        <v>Below 530</v>
      </c>
      <c r="G524" s="33">
        <f t="shared" si="17"/>
        <v>542.87911418646888</v>
      </c>
      <c r="H524" s="7">
        <v>0.03</v>
      </c>
      <c r="I524" s="5" t="s">
        <v>14</v>
      </c>
      <c r="J524" s="5">
        <v>34</v>
      </c>
      <c r="K524" s="2"/>
      <c r="L524" s="2"/>
      <c r="M524" s="1"/>
    </row>
    <row r="525" spans="1:13" ht="14.4" x14ac:dyDescent="0.3">
      <c r="A525" s="14">
        <v>44625</v>
      </c>
      <c r="B525" s="5">
        <v>7</v>
      </c>
      <c r="C525" s="32">
        <f>VLOOKUP(B525,'area in m2'!B$2:C$10,2,FALSE)</f>
        <v>166</v>
      </c>
      <c r="D525" s="5" t="s">
        <v>12</v>
      </c>
      <c r="E525" s="6">
        <v>541.94244498178068</v>
      </c>
      <c r="F525" s="33" t="str">
        <f t="shared" si="16"/>
        <v>Over 530</v>
      </c>
      <c r="G525" s="33">
        <f t="shared" si="17"/>
        <v>569.03956723086969</v>
      </c>
      <c r="H525" s="7">
        <v>0.02</v>
      </c>
      <c r="I525" s="5" t="s">
        <v>14</v>
      </c>
      <c r="J525" s="5">
        <v>42</v>
      </c>
      <c r="K525" s="2"/>
      <c r="L525" s="2"/>
      <c r="M525" s="1"/>
    </row>
    <row r="526" spans="1:13" ht="14.4" x14ac:dyDescent="0.3">
      <c r="A526" s="14">
        <v>44708</v>
      </c>
      <c r="B526" s="5">
        <v>2</v>
      </c>
      <c r="C526" s="32">
        <f>VLOOKUP(B526,'area in m2'!B$2:C$10,2,FALSE)</f>
        <v>250</v>
      </c>
      <c r="D526" s="5" t="s">
        <v>11</v>
      </c>
      <c r="E526" s="6">
        <v>537.21503821484112</v>
      </c>
      <c r="F526" s="33" t="str">
        <f t="shared" si="16"/>
        <v>Over 530</v>
      </c>
      <c r="G526" s="33">
        <f t="shared" si="17"/>
        <v>564.07579012558324</v>
      </c>
      <c r="H526" s="7">
        <v>0</v>
      </c>
      <c r="I526" s="5" t="s">
        <v>14</v>
      </c>
      <c r="J526" s="5">
        <v>28</v>
      </c>
      <c r="K526" s="2"/>
      <c r="L526" s="2"/>
      <c r="M526" s="1"/>
    </row>
    <row r="527" spans="1:13" ht="14.4" x14ac:dyDescent="0.3">
      <c r="A527" s="14">
        <v>44647</v>
      </c>
      <c r="B527" s="5">
        <v>2</v>
      </c>
      <c r="C527" s="32">
        <f>VLOOKUP(B527,'area in m2'!B$2:C$10,2,FALSE)</f>
        <v>250</v>
      </c>
      <c r="D527" s="5" t="s">
        <v>11</v>
      </c>
      <c r="E527" s="6">
        <v>517.41843785104902</v>
      </c>
      <c r="F527" s="33" t="str">
        <f t="shared" si="16"/>
        <v>Below 530</v>
      </c>
      <c r="G527" s="33">
        <f t="shared" si="17"/>
        <v>543.28935974360149</v>
      </c>
      <c r="H527" s="7">
        <v>0.03</v>
      </c>
      <c r="I527" s="5" t="s">
        <v>14</v>
      </c>
      <c r="J527" s="5">
        <v>23</v>
      </c>
      <c r="K527" s="2"/>
      <c r="L527" s="2"/>
      <c r="M527" s="1"/>
    </row>
    <row r="528" spans="1:13" ht="14.4" x14ac:dyDescent="0.3">
      <c r="A528" s="14">
        <v>44826</v>
      </c>
      <c r="B528" s="5">
        <v>5</v>
      </c>
      <c r="C528" s="32">
        <f>VLOOKUP(B528,'area in m2'!B$2:C$10,2,FALSE)</f>
        <v>200</v>
      </c>
      <c r="D528" s="5" t="s">
        <v>13</v>
      </c>
      <c r="E528" s="6">
        <v>550.65</v>
      </c>
      <c r="F528" s="33" t="str">
        <f t="shared" si="16"/>
        <v>Over 530</v>
      </c>
      <c r="G528" s="33">
        <f t="shared" si="17"/>
        <v>578.1825</v>
      </c>
      <c r="H528" s="7">
        <v>0.01</v>
      </c>
      <c r="I528" s="5" t="s">
        <v>14</v>
      </c>
      <c r="J528" s="5">
        <v>38</v>
      </c>
      <c r="K528" s="2"/>
      <c r="L528" s="2"/>
      <c r="M528" s="1"/>
    </row>
    <row r="529" spans="1:13" ht="14.4" x14ac:dyDescent="0.3">
      <c r="A529" s="14">
        <v>44880</v>
      </c>
      <c r="B529" s="5">
        <v>4</v>
      </c>
      <c r="C529" s="32">
        <f>VLOOKUP(B529,'area in m2'!B$2:C$10,2,FALSE)</f>
        <v>188</v>
      </c>
      <c r="D529" s="5" t="s">
        <v>11</v>
      </c>
      <c r="E529" s="6">
        <v>523.28121813739563</v>
      </c>
      <c r="F529" s="33" t="str">
        <f t="shared" si="16"/>
        <v>Below 530</v>
      </c>
      <c r="G529" s="33">
        <f t="shared" si="17"/>
        <v>549.44527904426548</v>
      </c>
      <c r="H529" s="7">
        <v>0.01</v>
      </c>
      <c r="I529" s="5" t="s">
        <v>14</v>
      </c>
      <c r="J529" s="5">
        <v>33</v>
      </c>
      <c r="K529" s="2"/>
      <c r="L529" s="2"/>
      <c r="M529" s="1"/>
    </row>
    <row r="530" spans="1:13" ht="14.4" x14ac:dyDescent="0.3">
      <c r="A530" s="14">
        <v>44596</v>
      </c>
      <c r="B530" s="5">
        <v>5</v>
      </c>
      <c r="C530" s="32">
        <f>VLOOKUP(B530,'area in m2'!B$2:C$10,2,FALSE)</f>
        <v>200</v>
      </c>
      <c r="D530" s="5" t="s">
        <v>13</v>
      </c>
      <c r="E530" s="6">
        <v>528.58633978958187</v>
      </c>
      <c r="F530" s="33" t="str">
        <f t="shared" si="16"/>
        <v>Below 530</v>
      </c>
      <c r="G530" s="33">
        <f t="shared" si="17"/>
        <v>555.01565677906103</v>
      </c>
      <c r="H530" s="7">
        <v>0</v>
      </c>
      <c r="I530" s="5" t="s">
        <v>14</v>
      </c>
      <c r="J530" s="5">
        <v>29</v>
      </c>
      <c r="K530" s="2"/>
      <c r="L530" s="2"/>
      <c r="M530" s="1"/>
    </row>
    <row r="531" spans="1:13" ht="14.4" x14ac:dyDescent="0.3">
      <c r="A531" s="14">
        <v>44895</v>
      </c>
      <c r="B531" s="5">
        <v>4</v>
      </c>
      <c r="C531" s="32">
        <f>VLOOKUP(B531,'area in m2'!B$2:C$10,2,FALSE)</f>
        <v>188</v>
      </c>
      <c r="D531" s="5" t="s">
        <v>11</v>
      </c>
      <c r="E531" s="6">
        <v>544.71540532719519</v>
      </c>
      <c r="F531" s="33" t="str">
        <f t="shared" si="16"/>
        <v>Over 530</v>
      </c>
      <c r="G531" s="33">
        <f t="shared" si="17"/>
        <v>571.95117559355492</v>
      </c>
      <c r="H531" s="7">
        <v>0.02</v>
      </c>
      <c r="I531" s="5" t="s">
        <v>15</v>
      </c>
      <c r="J531" s="5">
        <v>23</v>
      </c>
      <c r="K531" s="2"/>
      <c r="L531" s="2"/>
      <c r="M531" s="1"/>
    </row>
    <row r="532" spans="1:13" ht="14.4" x14ac:dyDescent="0.3">
      <c r="A532" s="14">
        <v>44680</v>
      </c>
      <c r="B532" s="5">
        <v>8</v>
      </c>
      <c r="C532" s="32">
        <f>VLOOKUP(B532,'area in m2'!B$2:C$10,2,FALSE)</f>
        <v>142</v>
      </c>
      <c r="D532" s="5" t="s">
        <v>12</v>
      </c>
      <c r="E532" s="6">
        <v>546.28000571486155</v>
      </c>
      <c r="F532" s="33" t="str">
        <f t="shared" si="16"/>
        <v>Over 530</v>
      </c>
      <c r="G532" s="33">
        <f t="shared" si="17"/>
        <v>573.59400600060462</v>
      </c>
      <c r="H532" s="7">
        <v>0.03</v>
      </c>
      <c r="I532" s="5" t="s">
        <v>14</v>
      </c>
      <c r="J532" s="5">
        <v>42</v>
      </c>
      <c r="K532" s="2"/>
      <c r="L532" s="2"/>
      <c r="M532" s="1"/>
    </row>
    <row r="533" spans="1:13" ht="14.4" x14ac:dyDescent="0.3">
      <c r="A533" s="14">
        <v>44863</v>
      </c>
      <c r="B533" s="5">
        <v>5</v>
      </c>
      <c r="C533" s="32">
        <f>VLOOKUP(B533,'area in m2'!B$2:C$10,2,FALSE)</f>
        <v>200</v>
      </c>
      <c r="D533" s="5" t="s">
        <v>13</v>
      </c>
      <c r="E533" s="6">
        <v>543.4782464670734</v>
      </c>
      <c r="F533" s="33" t="str">
        <f t="shared" si="16"/>
        <v>Over 530</v>
      </c>
      <c r="G533" s="33">
        <f t="shared" si="17"/>
        <v>570.65215879042705</v>
      </c>
      <c r="H533" s="7">
        <v>0.02</v>
      </c>
      <c r="I533" s="5" t="s">
        <v>14</v>
      </c>
      <c r="J533" s="5">
        <v>49</v>
      </c>
      <c r="K533" s="2"/>
      <c r="L533" s="2"/>
      <c r="M533" s="1"/>
    </row>
    <row r="534" spans="1:13" ht="14.4" x14ac:dyDescent="0.3">
      <c r="A534" s="14">
        <v>44879</v>
      </c>
      <c r="B534" s="5">
        <v>2</v>
      </c>
      <c r="C534" s="32">
        <f>VLOOKUP(B534,'area in m2'!B$2:C$10,2,FALSE)</f>
        <v>250</v>
      </c>
      <c r="D534" s="5" t="s">
        <v>11</v>
      </c>
      <c r="E534" s="6">
        <v>525.40798329514655</v>
      </c>
      <c r="F534" s="33" t="str">
        <f t="shared" si="16"/>
        <v>Below 530</v>
      </c>
      <c r="G534" s="33">
        <f t="shared" si="17"/>
        <v>551.6783824599039</v>
      </c>
      <c r="H534" s="7">
        <v>0</v>
      </c>
      <c r="I534" s="5" t="s">
        <v>14</v>
      </c>
      <c r="J534" s="5">
        <v>28</v>
      </c>
      <c r="K534" s="2"/>
      <c r="L534" s="2"/>
      <c r="M534" s="1"/>
    </row>
    <row r="535" spans="1:13" ht="14.4" x14ac:dyDescent="0.3">
      <c r="A535" s="14">
        <v>44780</v>
      </c>
      <c r="B535" s="5">
        <v>3</v>
      </c>
      <c r="C535" s="32">
        <f>VLOOKUP(B535,'area in m2'!B$2:C$10,2,FALSE)</f>
        <v>195</v>
      </c>
      <c r="D535" s="5" t="s">
        <v>11</v>
      </c>
      <c r="E535" s="6">
        <v>518.34523330012144</v>
      </c>
      <c r="F535" s="33" t="str">
        <f t="shared" si="16"/>
        <v>Below 530</v>
      </c>
      <c r="G535" s="33">
        <f t="shared" si="17"/>
        <v>544.26249496512753</v>
      </c>
      <c r="H535" s="7">
        <v>0</v>
      </c>
      <c r="I535" s="5" t="s">
        <v>15</v>
      </c>
      <c r="J535" s="5">
        <v>43</v>
      </c>
      <c r="K535" s="2"/>
      <c r="L535" s="2"/>
      <c r="M535" s="1"/>
    </row>
    <row r="536" spans="1:13" ht="14.4" x14ac:dyDescent="0.3">
      <c r="A536" s="14">
        <v>44832</v>
      </c>
      <c r="B536" s="5">
        <v>6</v>
      </c>
      <c r="C536" s="32">
        <f>VLOOKUP(B536,'area in m2'!B$2:C$10,2,FALSE)</f>
        <v>175</v>
      </c>
      <c r="D536" s="5" t="s">
        <v>13</v>
      </c>
      <c r="E536" s="6">
        <v>501.3169569298534</v>
      </c>
      <c r="F536" s="33" t="str">
        <f t="shared" si="16"/>
        <v>Below 530</v>
      </c>
      <c r="G536" s="33">
        <f t="shared" si="17"/>
        <v>526.38280477634612</v>
      </c>
      <c r="H536" s="7">
        <v>0</v>
      </c>
      <c r="I536" s="5" t="s">
        <v>14</v>
      </c>
      <c r="J536" s="5">
        <v>24</v>
      </c>
      <c r="K536" s="2"/>
      <c r="L536" s="2"/>
      <c r="M536" s="1"/>
    </row>
    <row r="537" spans="1:13" ht="14.4" x14ac:dyDescent="0.3">
      <c r="A537" s="14">
        <v>44814</v>
      </c>
      <c r="B537" s="5">
        <v>1</v>
      </c>
      <c r="C537" s="32">
        <f>VLOOKUP(B537,'area in m2'!B$2:C$10,2,FALSE)</f>
        <v>280</v>
      </c>
      <c r="D537" s="5" t="s">
        <v>11</v>
      </c>
      <c r="E537" s="6">
        <v>542.1899344729718</v>
      </c>
      <c r="F537" s="33" t="str">
        <f t="shared" si="16"/>
        <v>Over 530</v>
      </c>
      <c r="G537" s="33">
        <f t="shared" si="17"/>
        <v>569.29943119662039</v>
      </c>
      <c r="H537" s="7">
        <v>0.01</v>
      </c>
      <c r="I537" s="5" t="s">
        <v>15</v>
      </c>
      <c r="J537" s="5">
        <v>33</v>
      </c>
      <c r="K537" s="2"/>
      <c r="L537" s="2"/>
      <c r="M537" s="1"/>
    </row>
    <row r="538" spans="1:13" ht="14.4" x14ac:dyDescent="0.3">
      <c r="A538" s="14">
        <v>44684</v>
      </c>
      <c r="B538" s="5">
        <v>5</v>
      </c>
      <c r="C538" s="32">
        <f>VLOOKUP(B538,'area in m2'!B$2:C$10,2,FALSE)</f>
        <v>200</v>
      </c>
      <c r="D538" s="5" t="s">
        <v>13</v>
      </c>
      <c r="E538" s="6">
        <v>530.39353243736241</v>
      </c>
      <c r="F538" s="33" t="str">
        <f t="shared" si="16"/>
        <v>Over 530</v>
      </c>
      <c r="G538" s="33">
        <f t="shared" si="17"/>
        <v>556.91320905923055</v>
      </c>
      <c r="H538" s="7">
        <v>0.03</v>
      </c>
      <c r="I538" s="5" t="s">
        <v>14</v>
      </c>
      <c r="J538" s="5">
        <v>31</v>
      </c>
      <c r="K538" s="2"/>
      <c r="L538" s="2"/>
      <c r="M538" s="1"/>
    </row>
    <row r="539" spans="1:13" ht="14.4" x14ac:dyDescent="0.3">
      <c r="A539" s="14">
        <v>44681</v>
      </c>
      <c r="B539" s="5">
        <v>6</v>
      </c>
      <c r="C539" s="32">
        <f>VLOOKUP(B539,'area in m2'!B$2:C$10,2,FALSE)</f>
        <v>175</v>
      </c>
      <c r="D539" s="5" t="s">
        <v>13</v>
      </c>
      <c r="E539" s="6">
        <v>532.25552371509912</v>
      </c>
      <c r="F539" s="33" t="str">
        <f t="shared" si="16"/>
        <v>Over 530</v>
      </c>
      <c r="G539" s="33">
        <f t="shared" si="17"/>
        <v>558.86829990085414</v>
      </c>
      <c r="H539" s="7">
        <v>0.03</v>
      </c>
      <c r="I539" s="5" t="s">
        <v>15</v>
      </c>
      <c r="J539" s="5">
        <v>45</v>
      </c>
      <c r="K539" s="2"/>
      <c r="L539" s="2"/>
      <c r="M539" s="1"/>
    </row>
    <row r="540" spans="1:13" ht="14.4" x14ac:dyDescent="0.3">
      <c r="A540" s="14">
        <v>44689</v>
      </c>
      <c r="B540" s="5">
        <v>9</v>
      </c>
      <c r="C540" s="32">
        <f>VLOOKUP(B540,'area in m2'!B$2:C$10,2,FALSE)</f>
        <v>140</v>
      </c>
      <c r="D540" s="5" t="s">
        <v>12</v>
      </c>
      <c r="E540" s="6">
        <v>544.81650924966016</v>
      </c>
      <c r="F540" s="33" t="str">
        <f t="shared" si="16"/>
        <v>Over 530</v>
      </c>
      <c r="G540" s="33">
        <f t="shared" si="17"/>
        <v>572.05733471214319</v>
      </c>
      <c r="H540" s="7">
        <v>0.01</v>
      </c>
      <c r="I540" s="5" t="s">
        <v>15</v>
      </c>
      <c r="J540" s="5">
        <v>18</v>
      </c>
      <c r="K540" s="2"/>
      <c r="L540" s="2"/>
      <c r="M540" s="1"/>
    </row>
    <row r="541" spans="1:13" ht="14.4" x14ac:dyDescent="0.3">
      <c r="A541" s="14">
        <v>44762</v>
      </c>
      <c r="B541" s="5">
        <v>2</v>
      </c>
      <c r="C541" s="32">
        <f>VLOOKUP(B541,'area in m2'!B$2:C$10,2,FALSE)</f>
        <v>250</v>
      </c>
      <c r="D541" s="5" t="s">
        <v>11</v>
      </c>
      <c r="E541" s="6">
        <v>532.6538947894278</v>
      </c>
      <c r="F541" s="33" t="str">
        <f t="shared" si="16"/>
        <v>Over 530</v>
      </c>
      <c r="G541" s="33">
        <f t="shared" si="17"/>
        <v>559.28658952889919</v>
      </c>
      <c r="H541" s="7">
        <v>0.03</v>
      </c>
      <c r="I541" s="5" t="s">
        <v>15</v>
      </c>
      <c r="J541" s="5">
        <v>29</v>
      </c>
      <c r="K541" s="2"/>
      <c r="L541" s="2"/>
      <c r="M541" s="1"/>
    </row>
    <row r="542" spans="1:13" ht="14.4" x14ac:dyDescent="0.3">
      <c r="A542" s="14">
        <v>44817</v>
      </c>
      <c r="B542" s="5">
        <v>5</v>
      </c>
      <c r="C542" s="32">
        <f>VLOOKUP(B542,'area in m2'!B$2:C$10,2,FALSE)</f>
        <v>200</v>
      </c>
      <c r="D542" s="5" t="s">
        <v>13</v>
      </c>
      <c r="E542" s="6">
        <v>535.85293610820554</v>
      </c>
      <c r="F542" s="33" t="str">
        <f t="shared" si="16"/>
        <v>Over 530</v>
      </c>
      <c r="G542" s="33">
        <f t="shared" si="17"/>
        <v>562.64558291361584</v>
      </c>
      <c r="H542" s="7">
        <v>0</v>
      </c>
      <c r="I542" s="5" t="s">
        <v>15</v>
      </c>
      <c r="J542" s="5">
        <v>38</v>
      </c>
      <c r="K542" s="2"/>
      <c r="L542" s="2"/>
      <c r="M542" s="1"/>
    </row>
    <row r="543" spans="1:13" ht="14.4" x14ac:dyDescent="0.3">
      <c r="A543" s="14">
        <v>44777</v>
      </c>
      <c r="B543" s="5">
        <v>1</v>
      </c>
      <c r="C543" s="32">
        <f>VLOOKUP(B543,'area in m2'!B$2:C$10,2,FALSE)</f>
        <v>280</v>
      </c>
      <c r="D543" s="5" t="s">
        <v>11</v>
      </c>
      <c r="E543" s="6">
        <v>530.87245290978535</v>
      </c>
      <c r="F543" s="33" t="str">
        <f t="shared" si="16"/>
        <v>Over 530</v>
      </c>
      <c r="G543" s="33">
        <f t="shared" si="17"/>
        <v>557.41607555527469</v>
      </c>
      <c r="H543" s="7">
        <v>0.03</v>
      </c>
      <c r="I543" s="5" t="s">
        <v>14</v>
      </c>
      <c r="J543" s="5">
        <v>38</v>
      </c>
      <c r="K543" s="2"/>
      <c r="L543" s="2"/>
      <c r="M543" s="1"/>
    </row>
    <row r="544" spans="1:13" ht="14.4" x14ac:dyDescent="0.3">
      <c r="A544" s="14">
        <v>44780</v>
      </c>
      <c r="B544" s="5">
        <v>4</v>
      </c>
      <c r="C544" s="32">
        <f>VLOOKUP(B544,'area in m2'!B$2:C$10,2,FALSE)</f>
        <v>188</v>
      </c>
      <c r="D544" s="5" t="s">
        <v>11</v>
      </c>
      <c r="E544" s="6">
        <v>522.19953968751906</v>
      </c>
      <c r="F544" s="33" t="str">
        <f t="shared" si="16"/>
        <v>Below 530</v>
      </c>
      <c r="G544" s="33">
        <f t="shared" si="17"/>
        <v>548.30951667189504</v>
      </c>
      <c r="H544" s="7">
        <v>0.01</v>
      </c>
      <c r="I544" s="5" t="s">
        <v>14</v>
      </c>
      <c r="J544" s="5">
        <v>44</v>
      </c>
      <c r="K544" s="2"/>
      <c r="L544" s="2"/>
      <c r="M544" s="1"/>
    </row>
    <row r="545" spans="1:13" ht="14.4" x14ac:dyDescent="0.3">
      <c r="A545" s="14">
        <v>44621</v>
      </c>
      <c r="B545" s="5">
        <v>5</v>
      </c>
      <c r="C545" s="32">
        <f>VLOOKUP(B545,'area in m2'!B$2:C$10,2,FALSE)</f>
        <v>200</v>
      </c>
      <c r="D545" s="5" t="s">
        <v>13</v>
      </c>
      <c r="E545" s="6">
        <v>547.83463978413965</v>
      </c>
      <c r="F545" s="33" t="str">
        <f t="shared" si="16"/>
        <v>Over 530</v>
      </c>
      <c r="G545" s="33">
        <f t="shared" si="17"/>
        <v>575.22637177334661</v>
      </c>
      <c r="H545" s="7">
        <v>0.01</v>
      </c>
      <c r="I545" s="5" t="s">
        <v>14</v>
      </c>
      <c r="J545" s="5">
        <v>34</v>
      </c>
      <c r="K545" s="2"/>
      <c r="L545" s="2"/>
      <c r="M545" s="1"/>
    </row>
    <row r="546" spans="1:13" ht="14.4" x14ac:dyDescent="0.3">
      <c r="A546" s="14">
        <v>44729</v>
      </c>
      <c r="B546" s="5">
        <v>5</v>
      </c>
      <c r="C546" s="32">
        <f>VLOOKUP(B546,'area in m2'!B$2:C$10,2,FALSE)</f>
        <v>200</v>
      </c>
      <c r="D546" s="5" t="s">
        <v>13</v>
      </c>
      <c r="E546" s="6">
        <v>522.16015480231908</v>
      </c>
      <c r="F546" s="33" t="str">
        <f t="shared" si="16"/>
        <v>Below 530</v>
      </c>
      <c r="G546" s="33">
        <f t="shared" si="17"/>
        <v>548.26816254243511</v>
      </c>
      <c r="H546" s="7">
        <v>0.02</v>
      </c>
      <c r="I546" s="5" t="s">
        <v>14</v>
      </c>
      <c r="J546" s="5">
        <v>45</v>
      </c>
      <c r="K546" s="2"/>
      <c r="L546" s="2"/>
      <c r="M546" s="1"/>
    </row>
    <row r="547" spans="1:13" ht="14.4" x14ac:dyDescent="0.3">
      <c r="A547" s="14">
        <v>44806</v>
      </c>
      <c r="B547" s="5">
        <v>8</v>
      </c>
      <c r="C547" s="32">
        <f>VLOOKUP(B547,'area in m2'!B$2:C$10,2,FALSE)</f>
        <v>142</v>
      </c>
      <c r="D547" s="5" t="s">
        <v>11</v>
      </c>
      <c r="E547" s="6">
        <v>531.95491614083312</v>
      </c>
      <c r="F547" s="33" t="str">
        <f t="shared" si="16"/>
        <v>Over 530</v>
      </c>
      <c r="G547" s="33">
        <f t="shared" si="17"/>
        <v>558.55266194787475</v>
      </c>
      <c r="H547" s="7">
        <v>0</v>
      </c>
      <c r="I547" s="5" t="s">
        <v>14</v>
      </c>
      <c r="J547" s="5">
        <v>23</v>
      </c>
      <c r="K547" s="2"/>
      <c r="L547" s="2"/>
      <c r="M547" s="1"/>
    </row>
    <row r="548" spans="1:13" ht="14.4" x14ac:dyDescent="0.3">
      <c r="A548" s="14">
        <v>44817</v>
      </c>
      <c r="B548" s="5">
        <v>1</v>
      </c>
      <c r="C548" s="32">
        <f>VLOOKUP(B548,'area in m2'!B$2:C$10,2,FALSE)</f>
        <v>280</v>
      </c>
      <c r="D548" s="5" t="s">
        <v>11</v>
      </c>
      <c r="E548" s="6">
        <v>530.23830202840963</v>
      </c>
      <c r="F548" s="33" t="str">
        <f t="shared" si="16"/>
        <v>Over 530</v>
      </c>
      <c r="G548" s="33">
        <f t="shared" si="17"/>
        <v>556.75021712983016</v>
      </c>
      <c r="H548" s="7">
        <v>0.01</v>
      </c>
      <c r="I548" s="5" t="s">
        <v>15</v>
      </c>
      <c r="J548" s="5">
        <v>52</v>
      </c>
      <c r="K548" s="2"/>
      <c r="L548" s="2"/>
      <c r="M548" s="1"/>
    </row>
    <row r="549" spans="1:13" ht="14.4" x14ac:dyDescent="0.3">
      <c r="A549" s="14">
        <v>44606</v>
      </c>
      <c r="B549" s="5">
        <v>2</v>
      </c>
      <c r="C549" s="32">
        <f>VLOOKUP(B549,'area in m2'!B$2:C$10,2,FALSE)</f>
        <v>250</v>
      </c>
      <c r="D549" s="5" t="s">
        <v>11</v>
      </c>
      <c r="E549" s="6">
        <v>529.6683432467189</v>
      </c>
      <c r="F549" s="33" t="str">
        <f t="shared" si="16"/>
        <v>Below 530</v>
      </c>
      <c r="G549" s="33">
        <f t="shared" si="17"/>
        <v>556.15176040905487</v>
      </c>
      <c r="H549" s="7">
        <v>0.03</v>
      </c>
      <c r="I549" s="5" t="s">
        <v>14</v>
      </c>
      <c r="J549" s="5">
        <v>22</v>
      </c>
      <c r="K549" s="2"/>
      <c r="L549" s="2"/>
      <c r="M549" s="1"/>
    </row>
    <row r="550" spans="1:13" ht="14.4" x14ac:dyDescent="0.3">
      <c r="A550" s="14">
        <v>44808</v>
      </c>
      <c r="B550" s="5">
        <v>6</v>
      </c>
      <c r="C550" s="32">
        <f>VLOOKUP(B550,'area in m2'!B$2:C$10,2,FALSE)</f>
        <v>175</v>
      </c>
      <c r="D550" s="5" t="s">
        <v>13</v>
      </c>
      <c r="E550" s="6">
        <v>527.64822887822265</v>
      </c>
      <c r="F550" s="33" t="str">
        <f t="shared" si="16"/>
        <v>Below 530</v>
      </c>
      <c r="G550" s="33">
        <f t="shared" si="17"/>
        <v>554.03064032213376</v>
      </c>
      <c r="H550" s="7">
        <v>0</v>
      </c>
      <c r="I550" s="5" t="s">
        <v>14</v>
      </c>
      <c r="J550" s="5">
        <v>28</v>
      </c>
      <c r="K550" s="2"/>
      <c r="L550" s="2"/>
      <c r="M550" s="1"/>
    </row>
    <row r="551" spans="1:13" ht="14.4" x14ac:dyDescent="0.3">
      <c r="A551" s="14">
        <v>44583</v>
      </c>
      <c r="B551" s="5">
        <v>3</v>
      </c>
      <c r="C551" s="32">
        <f>VLOOKUP(B551,'area in m2'!B$2:C$10,2,FALSE)</f>
        <v>195</v>
      </c>
      <c r="D551" s="5" t="s">
        <v>11</v>
      </c>
      <c r="E551" s="6">
        <v>518.1746492595812</v>
      </c>
      <c r="F551" s="33" t="str">
        <f t="shared" si="16"/>
        <v>Below 530</v>
      </c>
      <c r="G551" s="33">
        <f t="shared" si="17"/>
        <v>544.08338172256026</v>
      </c>
      <c r="H551" s="7">
        <v>0.03</v>
      </c>
      <c r="I551" s="5" t="s">
        <v>14</v>
      </c>
      <c r="J551" s="5">
        <v>44</v>
      </c>
      <c r="K551" s="2"/>
      <c r="L551" s="2"/>
      <c r="M551" s="1"/>
    </row>
    <row r="552" spans="1:13" ht="14.4" x14ac:dyDescent="0.3">
      <c r="A552" s="14">
        <v>44817</v>
      </c>
      <c r="B552" s="5">
        <v>5</v>
      </c>
      <c r="C552" s="32">
        <f>VLOOKUP(B552,'area in m2'!B$2:C$10,2,FALSE)</f>
        <v>200</v>
      </c>
      <c r="D552" s="5" t="s">
        <v>13</v>
      </c>
      <c r="E552" s="6">
        <v>554.68648786791528</v>
      </c>
      <c r="F552" s="33" t="str">
        <f t="shared" si="16"/>
        <v>Over 530</v>
      </c>
      <c r="G552" s="33">
        <f t="shared" si="17"/>
        <v>582.42081226131108</v>
      </c>
      <c r="H552" s="7">
        <v>0.03</v>
      </c>
      <c r="I552" s="5" t="s">
        <v>14</v>
      </c>
      <c r="J552" s="5">
        <v>30</v>
      </c>
      <c r="K552" s="2"/>
      <c r="L552" s="2"/>
      <c r="M552" s="1"/>
    </row>
    <row r="553" spans="1:13" ht="14.4" x14ac:dyDescent="0.3">
      <c r="A553" s="14">
        <v>44616</v>
      </c>
      <c r="B553" s="5">
        <v>6</v>
      </c>
      <c r="C553" s="32">
        <f>VLOOKUP(B553,'area in m2'!B$2:C$10,2,FALSE)</f>
        <v>175</v>
      </c>
      <c r="D553" s="5" t="s">
        <v>13</v>
      </c>
      <c r="E553" s="6">
        <v>512.84038113121005</v>
      </c>
      <c r="F553" s="33" t="str">
        <f t="shared" si="16"/>
        <v>Below 530</v>
      </c>
      <c r="G553" s="33">
        <f t="shared" si="17"/>
        <v>538.48240018777062</v>
      </c>
      <c r="H553" s="7">
        <v>0.02</v>
      </c>
      <c r="I553" s="5" t="s">
        <v>14</v>
      </c>
      <c r="J553" s="5">
        <v>27</v>
      </c>
      <c r="K553" s="2"/>
      <c r="L553" s="2"/>
      <c r="M553" s="1"/>
    </row>
    <row r="554" spans="1:13" ht="14.4" x14ac:dyDescent="0.3">
      <c r="A554" s="14">
        <v>44917</v>
      </c>
      <c r="B554" s="5">
        <v>7</v>
      </c>
      <c r="C554" s="32">
        <f>VLOOKUP(B554,'area in m2'!B$2:C$10,2,FALSE)</f>
        <v>166</v>
      </c>
      <c r="D554" s="5" t="s">
        <v>12</v>
      </c>
      <c r="E554" s="6">
        <v>529.47898007613094</v>
      </c>
      <c r="F554" s="33" t="str">
        <f t="shared" si="16"/>
        <v>Below 530</v>
      </c>
      <c r="G554" s="33">
        <f t="shared" si="17"/>
        <v>555.95292907993746</v>
      </c>
      <c r="H554" s="7">
        <v>0.03</v>
      </c>
      <c r="I554" s="5" t="s">
        <v>14</v>
      </c>
      <c r="J554" s="5">
        <v>32</v>
      </c>
      <c r="K554" s="2"/>
      <c r="L554" s="2"/>
      <c r="M554" s="1"/>
    </row>
    <row r="555" spans="1:13" ht="14.4" x14ac:dyDescent="0.3">
      <c r="A555" s="14">
        <v>44778</v>
      </c>
      <c r="B555" s="5">
        <v>8</v>
      </c>
      <c r="C555" s="32">
        <f>VLOOKUP(B555,'area in m2'!B$2:C$10,2,FALSE)</f>
        <v>142</v>
      </c>
      <c r="D555" s="5" t="s">
        <v>12</v>
      </c>
      <c r="E555" s="6">
        <v>524.5844883882246</v>
      </c>
      <c r="F555" s="33" t="str">
        <f t="shared" si="16"/>
        <v>Below 530</v>
      </c>
      <c r="G555" s="33">
        <f t="shared" si="17"/>
        <v>550.81371280763585</v>
      </c>
      <c r="H555" s="7">
        <v>0</v>
      </c>
      <c r="I555" s="5" t="s">
        <v>15</v>
      </c>
      <c r="J555" s="5">
        <v>65</v>
      </c>
      <c r="K555" s="2"/>
      <c r="L555" s="2"/>
      <c r="M555" s="1"/>
    </row>
    <row r="556" spans="1:13" ht="14.4" x14ac:dyDescent="0.3">
      <c r="A556" s="14">
        <v>44801</v>
      </c>
      <c r="B556" s="5">
        <v>1</v>
      </c>
      <c r="C556" s="32">
        <f>VLOOKUP(B556,'area in m2'!B$2:C$10,2,FALSE)</f>
        <v>280</v>
      </c>
      <c r="D556" s="5" t="s">
        <v>11</v>
      </c>
      <c r="E556" s="6">
        <v>548.25877836929794</v>
      </c>
      <c r="F556" s="33" t="str">
        <f t="shared" si="16"/>
        <v>Over 530</v>
      </c>
      <c r="G556" s="33">
        <f t="shared" si="17"/>
        <v>575.67171728776282</v>
      </c>
      <c r="H556" s="7">
        <v>0.02</v>
      </c>
      <c r="I556" s="5" t="s">
        <v>14</v>
      </c>
      <c r="J556" s="5">
        <v>31</v>
      </c>
      <c r="K556" s="2"/>
      <c r="L556" s="2"/>
      <c r="M556" s="1"/>
    </row>
    <row r="557" spans="1:13" ht="14.4" x14ac:dyDescent="0.3">
      <c r="A557" s="14">
        <v>44858</v>
      </c>
      <c r="B557" s="5">
        <v>8</v>
      </c>
      <c r="C557" s="32">
        <f>VLOOKUP(B557,'area in m2'!B$2:C$10,2,FALSE)</f>
        <v>142</v>
      </c>
      <c r="D557" s="5" t="s">
        <v>12</v>
      </c>
      <c r="E557" s="6">
        <v>506.07000668463661</v>
      </c>
      <c r="F557" s="33" t="str">
        <f t="shared" si="16"/>
        <v>Below 530</v>
      </c>
      <c r="G557" s="33">
        <f t="shared" si="17"/>
        <v>531.37350701886851</v>
      </c>
      <c r="H557" s="7">
        <v>0.02</v>
      </c>
      <c r="I557" s="5" t="s">
        <v>14</v>
      </c>
      <c r="J557" s="5">
        <v>42</v>
      </c>
      <c r="K557" s="2"/>
      <c r="L557" s="2"/>
      <c r="M557" s="1"/>
    </row>
    <row r="558" spans="1:13" ht="14.4" x14ac:dyDescent="0.3">
      <c r="A558" s="14">
        <v>44724</v>
      </c>
      <c r="B558" s="5">
        <v>7</v>
      </c>
      <c r="C558" s="32">
        <f>VLOOKUP(B558,'area in m2'!B$2:C$10,2,FALSE)</f>
        <v>166</v>
      </c>
      <c r="D558" s="5" t="s">
        <v>12</v>
      </c>
      <c r="E558" s="6">
        <v>541.12327376568192</v>
      </c>
      <c r="F558" s="33" t="str">
        <f t="shared" si="16"/>
        <v>Over 530</v>
      </c>
      <c r="G558" s="33">
        <f t="shared" si="17"/>
        <v>568.17943745396599</v>
      </c>
      <c r="H558" s="7">
        <v>0.03</v>
      </c>
      <c r="I558" s="5" t="s">
        <v>14</v>
      </c>
      <c r="J558" s="5">
        <v>48</v>
      </c>
      <c r="K558" s="2"/>
      <c r="L558" s="2"/>
      <c r="M558" s="1"/>
    </row>
    <row r="559" spans="1:13" ht="14.4" x14ac:dyDescent="0.3">
      <c r="A559" s="14">
        <v>44890</v>
      </c>
      <c r="B559" s="5">
        <v>9</v>
      </c>
      <c r="C559" s="32">
        <f>VLOOKUP(B559,'area in m2'!B$2:C$10,2,FALSE)</f>
        <v>140</v>
      </c>
      <c r="D559" s="5" t="s">
        <v>12</v>
      </c>
      <c r="E559" s="6">
        <v>517.16408131779644</v>
      </c>
      <c r="F559" s="33" t="str">
        <f t="shared" si="16"/>
        <v>Below 530</v>
      </c>
      <c r="G559" s="33">
        <f t="shared" si="17"/>
        <v>543.02228538368627</v>
      </c>
      <c r="H559" s="7">
        <v>0.01</v>
      </c>
      <c r="I559" s="5" t="s">
        <v>14</v>
      </c>
      <c r="J559" s="5">
        <v>25</v>
      </c>
      <c r="K559" s="2"/>
      <c r="L559" s="2"/>
      <c r="M559" s="1"/>
    </row>
    <row r="560" spans="1:13" ht="14.4" x14ac:dyDescent="0.3">
      <c r="A560" s="14">
        <v>44656</v>
      </c>
      <c r="B560" s="5">
        <v>6</v>
      </c>
      <c r="C560" s="32">
        <f>VLOOKUP(B560,'area in m2'!B$2:C$10,2,FALSE)</f>
        <v>175</v>
      </c>
      <c r="D560" s="5" t="s">
        <v>13</v>
      </c>
      <c r="E560" s="6">
        <v>507.89616855035911</v>
      </c>
      <c r="F560" s="33" t="str">
        <f t="shared" si="16"/>
        <v>Below 530</v>
      </c>
      <c r="G560" s="33">
        <f t="shared" si="17"/>
        <v>533.29097697787711</v>
      </c>
      <c r="H560" s="7">
        <v>0.02</v>
      </c>
      <c r="I560" s="5" t="s">
        <v>15</v>
      </c>
      <c r="J560" s="5">
        <v>57</v>
      </c>
      <c r="K560" s="2"/>
      <c r="L560" s="2"/>
      <c r="M560" s="1"/>
    </row>
    <row r="561" spans="1:13" ht="14.4" x14ac:dyDescent="0.3">
      <c r="A561" s="14">
        <v>44763</v>
      </c>
      <c r="B561" s="5">
        <v>1</v>
      </c>
      <c r="C561" s="32">
        <f>VLOOKUP(B561,'area in m2'!B$2:C$10,2,FALSE)</f>
        <v>280</v>
      </c>
      <c r="D561" s="5" t="s">
        <v>11</v>
      </c>
      <c r="E561" s="6">
        <v>502.64807343433313</v>
      </c>
      <c r="F561" s="33" t="str">
        <f t="shared" si="16"/>
        <v>Below 530</v>
      </c>
      <c r="G561" s="33">
        <f t="shared" si="17"/>
        <v>527.78047710604983</v>
      </c>
      <c r="H561" s="7">
        <v>0</v>
      </c>
      <c r="I561" s="5" t="s">
        <v>15</v>
      </c>
      <c r="J561" s="5">
        <v>50</v>
      </c>
      <c r="K561" s="2"/>
      <c r="L561" s="2"/>
      <c r="M561" s="1"/>
    </row>
    <row r="562" spans="1:13" ht="14.4" x14ac:dyDescent="0.3">
      <c r="A562" s="14">
        <v>44889</v>
      </c>
      <c r="B562" s="5">
        <v>3</v>
      </c>
      <c r="C562" s="32">
        <f>VLOOKUP(B562,'area in m2'!B$2:C$10,2,FALSE)</f>
        <v>195</v>
      </c>
      <c r="D562" s="5" t="s">
        <v>11</v>
      </c>
      <c r="E562" s="6">
        <v>519.59103099940967</v>
      </c>
      <c r="F562" s="33" t="str">
        <f t="shared" si="16"/>
        <v>Below 530</v>
      </c>
      <c r="G562" s="33">
        <f t="shared" si="17"/>
        <v>545.57058254938022</v>
      </c>
      <c r="H562" s="7">
        <v>0.01</v>
      </c>
      <c r="I562" s="5" t="s">
        <v>14</v>
      </c>
      <c r="J562" s="5">
        <v>25</v>
      </c>
      <c r="K562" s="2"/>
      <c r="L562" s="2"/>
      <c r="M562" s="1"/>
    </row>
    <row r="563" spans="1:13" ht="14.4" x14ac:dyDescent="0.3">
      <c r="A563" s="14">
        <v>44726</v>
      </c>
      <c r="B563" s="5">
        <v>7</v>
      </c>
      <c r="C563" s="32">
        <f>VLOOKUP(B563,'area in m2'!B$2:C$10,2,FALSE)</f>
        <v>166</v>
      </c>
      <c r="D563" s="5" t="s">
        <v>12</v>
      </c>
      <c r="E563" s="6">
        <v>543.47029685448979</v>
      </c>
      <c r="F563" s="33" t="str">
        <f t="shared" si="16"/>
        <v>Over 530</v>
      </c>
      <c r="G563" s="33">
        <f t="shared" si="17"/>
        <v>570.64381169721435</v>
      </c>
      <c r="H563" s="7">
        <v>0.01</v>
      </c>
      <c r="I563" s="5" t="s">
        <v>14</v>
      </c>
      <c r="J563" s="5">
        <v>50</v>
      </c>
      <c r="K563" s="2"/>
      <c r="L563" s="2"/>
      <c r="M563" s="1"/>
    </row>
    <row r="564" spans="1:13" ht="14.4" x14ac:dyDescent="0.3">
      <c r="A564" s="14">
        <v>44792</v>
      </c>
      <c r="B564" s="5">
        <v>1</v>
      </c>
      <c r="C564" s="32">
        <f>VLOOKUP(B564,'area in m2'!B$2:C$10,2,FALSE)</f>
        <v>280</v>
      </c>
      <c r="D564" s="5" t="s">
        <v>11</v>
      </c>
      <c r="E564" s="6">
        <v>546.95445596823447</v>
      </c>
      <c r="F564" s="33" t="str">
        <f t="shared" si="16"/>
        <v>Over 530</v>
      </c>
      <c r="G564" s="33">
        <f t="shared" si="17"/>
        <v>574.30217876664619</v>
      </c>
      <c r="H564" s="7">
        <v>0.01</v>
      </c>
      <c r="I564" s="5" t="s">
        <v>14</v>
      </c>
      <c r="J564" s="5">
        <v>46</v>
      </c>
      <c r="K564" s="2"/>
      <c r="L564" s="2"/>
      <c r="M564" s="1"/>
    </row>
    <row r="565" spans="1:13" ht="14.4" x14ac:dyDescent="0.3">
      <c r="A565" s="14">
        <v>44582</v>
      </c>
      <c r="B565" s="5">
        <v>4</v>
      </c>
      <c r="C565" s="32">
        <f>VLOOKUP(B565,'area in m2'!B$2:C$10,2,FALSE)</f>
        <v>188</v>
      </c>
      <c r="D565" s="5" t="s">
        <v>11</v>
      </c>
      <c r="E565" s="6">
        <v>544.36848335437207</v>
      </c>
      <c r="F565" s="33" t="str">
        <f t="shared" si="16"/>
        <v>Over 530</v>
      </c>
      <c r="G565" s="33">
        <f t="shared" si="17"/>
        <v>571.58690752209066</v>
      </c>
      <c r="H565" s="7">
        <v>0</v>
      </c>
      <c r="I565" s="5" t="s">
        <v>14</v>
      </c>
      <c r="J565" s="5">
        <v>47</v>
      </c>
      <c r="K565" s="2"/>
      <c r="L565" s="2"/>
      <c r="M565" s="1"/>
    </row>
    <row r="566" spans="1:13" ht="14.4" x14ac:dyDescent="0.3">
      <c r="A566" s="14">
        <v>44846</v>
      </c>
      <c r="B566" s="5">
        <v>3</v>
      </c>
      <c r="C566" s="32">
        <f>VLOOKUP(B566,'area in m2'!B$2:C$10,2,FALSE)</f>
        <v>195</v>
      </c>
      <c r="D566" s="5" t="s">
        <v>11</v>
      </c>
      <c r="E566" s="6">
        <v>523.08713907648325</v>
      </c>
      <c r="F566" s="33" t="str">
        <f t="shared" si="16"/>
        <v>Below 530</v>
      </c>
      <c r="G566" s="33">
        <f t="shared" si="17"/>
        <v>549.24149603030742</v>
      </c>
      <c r="H566" s="7">
        <v>0.01</v>
      </c>
      <c r="I566" s="5" t="s">
        <v>14</v>
      </c>
      <c r="J566" s="5">
        <v>41</v>
      </c>
      <c r="K566" s="2"/>
      <c r="L566" s="2"/>
      <c r="M566" s="1"/>
    </row>
    <row r="567" spans="1:13" ht="14.4" x14ac:dyDescent="0.3">
      <c r="A567" s="14">
        <v>44563</v>
      </c>
      <c r="B567" s="5">
        <v>8</v>
      </c>
      <c r="C567" s="32">
        <f>VLOOKUP(B567,'area in m2'!B$2:C$10,2,FALSE)</f>
        <v>142</v>
      </c>
      <c r="D567" s="5" t="s">
        <v>12</v>
      </c>
      <c r="E567" s="6">
        <v>530.94573189117546</v>
      </c>
      <c r="F567" s="33" t="str">
        <f t="shared" si="16"/>
        <v>Over 530</v>
      </c>
      <c r="G567" s="33">
        <f t="shared" si="17"/>
        <v>557.4930184857343</v>
      </c>
      <c r="H567" s="7">
        <v>0.03</v>
      </c>
      <c r="I567" s="5" t="s">
        <v>14</v>
      </c>
      <c r="J567" s="5">
        <v>45</v>
      </c>
      <c r="K567" s="2"/>
      <c r="L567" s="2"/>
      <c r="M567" s="1"/>
    </row>
    <row r="568" spans="1:13" ht="14.4" x14ac:dyDescent="0.3">
      <c r="A568" s="14">
        <v>44632</v>
      </c>
      <c r="B568" s="5">
        <v>2</v>
      </c>
      <c r="C568" s="32">
        <f>VLOOKUP(B568,'area in m2'!B$2:C$10,2,FALSE)</f>
        <v>250</v>
      </c>
      <c r="D568" s="5" t="s">
        <v>11</v>
      </c>
      <c r="E568" s="6">
        <v>510.63596071507163</v>
      </c>
      <c r="F568" s="33" t="str">
        <f t="shared" si="16"/>
        <v>Below 530</v>
      </c>
      <c r="G568" s="33">
        <f t="shared" si="17"/>
        <v>536.16775875082521</v>
      </c>
      <c r="H568" s="7">
        <v>0.02</v>
      </c>
      <c r="I568" s="5" t="s">
        <v>15</v>
      </c>
      <c r="J568" s="5">
        <v>55</v>
      </c>
      <c r="K568" s="2"/>
      <c r="L568" s="2"/>
      <c r="M568" s="1"/>
    </row>
    <row r="569" spans="1:13" ht="14.4" x14ac:dyDescent="0.3">
      <c r="A569" s="14">
        <v>44685</v>
      </c>
      <c r="B569" s="5">
        <v>2</v>
      </c>
      <c r="C569" s="32">
        <f>VLOOKUP(B569,'area in m2'!B$2:C$10,2,FALSE)</f>
        <v>250</v>
      </c>
      <c r="D569" s="5" t="s">
        <v>11</v>
      </c>
      <c r="E569" s="6">
        <v>508.44836504062823</v>
      </c>
      <c r="F569" s="33" t="str">
        <f t="shared" si="16"/>
        <v>Below 530</v>
      </c>
      <c r="G569" s="33">
        <f t="shared" si="17"/>
        <v>533.87078329265967</v>
      </c>
      <c r="H569" s="7">
        <v>0.01</v>
      </c>
      <c r="I569" s="5" t="s">
        <v>14</v>
      </c>
      <c r="J569" s="5">
        <v>38</v>
      </c>
      <c r="K569" s="2"/>
      <c r="L569" s="2"/>
      <c r="M569" s="1"/>
    </row>
    <row r="570" spans="1:13" ht="14.4" x14ac:dyDescent="0.3">
      <c r="A570" s="14">
        <v>44764</v>
      </c>
      <c r="B570" s="5">
        <v>6</v>
      </c>
      <c r="C570" s="32">
        <f>VLOOKUP(B570,'area in m2'!B$2:C$10,2,FALSE)</f>
        <v>175</v>
      </c>
      <c r="D570" s="5" t="s">
        <v>13</v>
      </c>
      <c r="E570" s="6">
        <v>511.76260125348745</v>
      </c>
      <c r="F570" s="33" t="str">
        <f t="shared" si="16"/>
        <v>Below 530</v>
      </c>
      <c r="G570" s="33">
        <f t="shared" si="17"/>
        <v>537.35073131616184</v>
      </c>
      <c r="H570" s="7">
        <v>0.01</v>
      </c>
      <c r="I570" s="5" t="s">
        <v>15</v>
      </c>
      <c r="J570" s="5">
        <v>33</v>
      </c>
      <c r="K570" s="2"/>
      <c r="L570" s="2"/>
      <c r="M570" s="1"/>
    </row>
    <row r="571" spans="1:13" ht="14.4" x14ac:dyDescent="0.3">
      <c r="A571" s="14">
        <v>44734</v>
      </c>
      <c r="B571" s="5">
        <v>8</v>
      </c>
      <c r="C571" s="32">
        <f>VLOOKUP(B571,'area in m2'!B$2:C$10,2,FALSE)</f>
        <v>142</v>
      </c>
      <c r="D571" s="5" t="s">
        <v>12</v>
      </c>
      <c r="E571" s="6">
        <v>514.68442692855751</v>
      </c>
      <c r="F571" s="33" t="str">
        <f t="shared" si="16"/>
        <v>Below 530</v>
      </c>
      <c r="G571" s="33">
        <f t="shared" si="17"/>
        <v>540.41864827498546</v>
      </c>
      <c r="H571" s="7">
        <v>0.03</v>
      </c>
      <c r="I571" s="5" t="s">
        <v>15</v>
      </c>
      <c r="J571" s="5">
        <v>45</v>
      </c>
      <c r="K571" s="2"/>
      <c r="L571" s="2"/>
      <c r="M571" s="1"/>
    </row>
    <row r="572" spans="1:13" ht="14.4" x14ac:dyDescent="0.3">
      <c r="A572" s="14">
        <v>44659</v>
      </c>
      <c r="B572" s="5">
        <v>7</v>
      </c>
      <c r="C572" s="32">
        <f>VLOOKUP(B572,'area in m2'!B$2:C$10,2,FALSE)</f>
        <v>166</v>
      </c>
      <c r="D572" s="5" t="s">
        <v>12</v>
      </c>
      <c r="E572" s="6">
        <v>534.42611231462342</v>
      </c>
      <c r="F572" s="33" t="str">
        <f t="shared" si="16"/>
        <v>Over 530</v>
      </c>
      <c r="G572" s="33">
        <f t="shared" si="17"/>
        <v>561.14741793035466</v>
      </c>
      <c r="H572" s="7">
        <v>0.02</v>
      </c>
      <c r="I572" s="5" t="s">
        <v>15</v>
      </c>
      <c r="J572" s="5">
        <v>64</v>
      </c>
      <c r="K572" s="2"/>
      <c r="L572" s="2"/>
      <c r="M572" s="1"/>
    </row>
    <row r="573" spans="1:13" ht="14.4" x14ac:dyDescent="0.3">
      <c r="A573" s="14">
        <v>44653</v>
      </c>
      <c r="B573" s="5">
        <v>4</v>
      </c>
      <c r="C573" s="32">
        <f>VLOOKUP(B573,'area in m2'!B$2:C$10,2,FALSE)</f>
        <v>188</v>
      </c>
      <c r="D573" s="5" t="s">
        <v>11</v>
      </c>
      <c r="E573" s="6">
        <v>528.09399639154435</v>
      </c>
      <c r="F573" s="33" t="str">
        <f t="shared" si="16"/>
        <v>Below 530</v>
      </c>
      <c r="G573" s="33">
        <f t="shared" si="17"/>
        <v>554.49869621112157</v>
      </c>
      <c r="H573" s="7">
        <v>0.03</v>
      </c>
      <c r="I573" s="5" t="s">
        <v>14</v>
      </c>
      <c r="J573" s="5">
        <v>55</v>
      </c>
      <c r="K573" s="2"/>
      <c r="L573" s="2"/>
      <c r="M573" s="1"/>
    </row>
    <row r="574" spans="1:13" ht="14.4" x14ac:dyDescent="0.3">
      <c r="A574" s="14">
        <v>44609</v>
      </c>
      <c r="B574" s="5">
        <v>5</v>
      </c>
      <c r="C574" s="32">
        <f>VLOOKUP(B574,'area in m2'!B$2:C$10,2,FALSE)</f>
        <v>200</v>
      </c>
      <c r="D574" s="5" t="s">
        <v>13</v>
      </c>
      <c r="E574" s="6">
        <v>543.21360858298249</v>
      </c>
      <c r="F574" s="33" t="str">
        <f t="shared" si="16"/>
        <v>Over 530</v>
      </c>
      <c r="G574" s="33">
        <f t="shared" si="17"/>
        <v>570.37428901213161</v>
      </c>
      <c r="H574" s="7">
        <v>0.02</v>
      </c>
      <c r="I574" s="5" t="s">
        <v>15</v>
      </c>
      <c r="J574" s="5">
        <v>39</v>
      </c>
      <c r="K574" s="2"/>
      <c r="L574" s="2"/>
      <c r="M574" s="1"/>
    </row>
    <row r="575" spans="1:13" ht="14.4" x14ac:dyDescent="0.3">
      <c r="A575" s="14">
        <v>44798</v>
      </c>
      <c r="B575" s="5">
        <v>3</v>
      </c>
      <c r="C575" s="32">
        <f>VLOOKUP(B575,'area in m2'!B$2:C$10,2,FALSE)</f>
        <v>195</v>
      </c>
      <c r="D575" s="5" t="s">
        <v>11</v>
      </c>
      <c r="E575" s="6">
        <v>503.47273125745687</v>
      </c>
      <c r="F575" s="33" t="str">
        <f t="shared" si="16"/>
        <v>Below 530</v>
      </c>
      <c r="G575" s="33">
        <f t="shared" si="17"/>
        <v>528.64636782032971</v>
      </c>
      <c r="H575" s="7">
        <v>0.01</v>
      </c>
      <c r="I575" s="5" t="s">
        <v>14</v>
      </c>
      <c r="J575" s="5">
        <v>48</v>
      </c>
      <c r="K575" s="2"/>
      <c r="L575" s="2"/>
      <c r="M575" s="1"/>
    </row>
    <row r="576" spans="1:13" ht="14.4" x14ac:dyDescent="0.3">
      <c r="A576" s="14">
        <v>44843</v>
      </c>
      <c r="B576" s="5">
        <v>3</v>
      </c>
      <c r="C576" s="32">
        <f>VLOOKUP(B576,'area in m2'!B$2:C$10,2,FALSE)</f>
        <v>195</v>
      </c>
      <c r="D576" s="5" t="s">
        <v>11</v>
      </c>
      <c r="E576" s="6">
        <v>505.8985412928605</v>
      </c>
      <c r="F576" s="33" t="str">
        <f t="shared" si="16"/>
        <v>Below 530</v>
      </c>
      <c r="G576" s="33">
        <f t="shared" si="17"/>
        <v>531.19346835750355</v>
      </c>
      <c r="H576" s="7">
        <v>0.02</v>
      </c>
      <c r="I576" s="5" t="s">
        <v>14</v>
      </c>
      <c r="J576" s="5">
        <v>43</v>
      </c>
      <c r="K576" s="2"/>
      <c r="L576" s="2"/>
      <c r="M576" s="1"/>
    </row>
    <row r="577" spans="1:13" ht="14.4" x14ac:dyDescent="0.3">
      <c r="A577" s="14">
        <v>44798</v>
      </c>
      <c r="B577" s="5">
        <v>1</v>
      </c>
      <c r="C577" s="32">
        <f>VLOOKUP(B577,'area in m2'!B$2:C$10,2,FALSE)</f>
        <v>280</v>
      </c>
      <c r="D577" s="5" t="s">
        <v>11</v>
      </c>
      <c r="E577" s="6">
        <v>500.03582764977273</v>
      </c>
      <c r="F577" s="33" t="str">
        <f t="shared" si="16"/>
        <v>Below 530</v>
      </c>
      <c r="G577" s="33">
        <f t="shared" si="17"/>
        <v>525.03761903226143</v>
      </c>
      <c r="H577" s="7">
        <v>0.03</v>
      </c>
      <c r="I577" s="5" t="s">
        <v>14</v>
      </c>
      <c r="J577" s="5">
        <v>30</v>
      </c>
      <c r="K577" s="2"/>
      <c r="L577" s="2"/>
      <c r="M577" s="1"/>
    </row>
    <row r="578" spans="1:13" ht="14.4" x14ac:dyDescent="0.3">
      <c r="A578" s="14">
        <v>44802</v>
      </c>
      <c r="B578" s="5">
        <v>6</v>
      </c>
      <c r="C578" s="32">
        <f>VLOOKUP(B578,'area in m2'!B$2:C$10,2,FALSE)</f>
        <v>175</v>
      </c>
      <c r="D578" s="5" t="s">
        <v>13</v>
      </c>
      <c r="E578" s="6">
        <v>505.82492148140136</v>
      </c>
      <c r="F578" s="33" t="str">
        <f t="shared" si="16"/>
        <v>Below 530</v>
      </c>
      <c r="G578" s="33">
        <f t="shared" si="17"/>
        <v>531.11616755547141</v>
      </c>
      <c r="H578" s="7">
        <v>0.03</v>
      </c>
      <c r="I578" s="5" t="s">
        <v>14</v>
      </c>
      <c r="J578" s="5">
        <v>28</v>
      </c>
      <c r="K578" s="2"/>
      <c r="L578" s="2"/>
      <c r="M578" s="1"/>
    </row>
    <row r="579" spans="1:13" ht="14.4" x14ac:dyDescent="0.3">
      <c r="A579" s="14">
        <v>44742</v>
      </c>
      <c r="B579" s="5">
        <v>4</v>
      </c>
      <c r="C579" s="32">
        <f>VLOOKUP(B579,'area in m2'!B$2:C$10,2,FALSE)</f>
        <v>188</v>
      </c>
      <c r="D579" s="5" t="s">
        <v>11</v>
      </c>
      <c r="E579" s="6">
        <v>530.01502027620427</v>
      </c>
      <c r="F579" s="33" t="str">
        <f t="shared" si="16"/>
        <v>Over 530</v>
      </c>
      <c r="G579" s="33">
        <f t="shared" si="17"/>
        <v>556.51577129001453</v>
      </c>
      <c r="H579" s="7">
        <v>0.01</v>
      </c>
      <c r="I579" s="5" t="s">
        <v>14</v>
      </c>
      <c r="J579" s="5">
        <v>46</v>
      </c>
      <c r="K579" s="2"/>
      <c r="L579" s="2"/>
      <c r="M579" s="1"/>
    </row>
    <row r="580" spans="1:13" ht="14.4" x14ac:dyDescent="0.3">
      <c r="A580" s="14">
        <v>44631</v>
      </c>
      <c r="B580" s="5">
        <v>3</v>
      </c>
      <c r="C580" s="32">
        <f>VLOOKUP(B580,'area in m2'!B$2:C$10,2,FALSE)</f>
        <v>195</v>
      </c>
      <c r="D580" s="5" t="s">
        <v>11</v>
      </c>
      <c r="E580" s="6">
        <v>526.5248706214561</v>
      </c>
      <c r="F580" s="33" t="str">
        <f t="shared" si="16"/>
        <v>Below 530</v>
      </c>
      <c r="G580" s="33">
        <f t="shared" si="17"/>
        <v>552.85111415252891</v>
      </c>
      <c r="H580" s="7">
        <v>0.01</v>
      </c>
      <c r="I580" s="5" t="s">
        <v>14</v>
      </c>
      <c r="J580" s="5">
        <v>43</v>
      </c>
      <c r="K580" s="2"/>
      <c r="L580" s="2"/>
      <c r="M580" s="1"/>
    </row>
    <row r="581" spans="1:13" ht="14.4" x14ac:dyDescent="0.3">
      <c r="A581" s="14">
        <v>44784</v>
      </c>
      <c r="B581" s="5">
        <v>3</v>
      </c>
      <c r="C581" s="32">
        <f>VLOOKUP(B581,'area in m2'!B$2:C$10,2,FALSE)</f>
        <v>195</v>
      </c>
      <c r="D581" s="5" t="s">
        <v>11</v>
      </c>
      <c r="E581" s="6">
        <v>542.12496549290699</v>
      </c>
      <c r="F581" s="33" t="str">
        <f t="shared" ref="F581:F644" si="18">IF(E581&gt;530,"Over 530","Below 530")</f>
        <v>Over 530</v>
      </c>
      <c r="G581" s="33">
        <f t="shared" ref="G581:G644" si="19">+E581*1.05</f>
        <v>569.23121376755239</v>
      </c>
      <c r="H581" s="7">
        <v>0.03</v>
      </c>
      <c r="I581" s="5" t="s">
        <v>14</v>
      </c>
      <c r="J581" s="5">
        <v>26</v>
      </c>
      <c r="K581" s="2"/>
      <c r="L581" s="2"/>
      <c r="M581" s="1"/>
    </row>
    <row r="582" spans="1:13" ht="14.4" x14ac:dyDescent="0.3">
      <c r="A582" s="14">
        <v>44918</v>
      </c>
      <c r="B582" s="5">
        <v>9</v>
      </c>
      <c r="C582" s="32">
        <f>VLOOKUP(B582,'area in m2'!B$2:C$10,2,FALSE)</f>
        <v>140</v>
      </c>
      <c r="D582" s="5" t="s">
        <v>12</v>
      </c>
      <c r="E582" s="6">
        <v>542.53785335116027</v>
      </c>
      <c r="F582" s="33" t="str">
        <f t="shared" si="18"/>
        <v>Over 530</v>
      </c>
      <c r="G582" s="33">
        <f t="shared" si="19"/>
        <v>569.66474601871835</v>
      </c>
      <c r="H582" s="7">
        <v>0</v>
      </c>
      <c r="I582" s="5" t="s">
        <v>14</v>
      </c>
      <c r="J582" s="5">
        <v>43</v>
      </c>
      <c r="K582" s="2"/>
      <c r="L582" s="2"/>
      <c r="M582" s="1"/>
    </row>
    <row r="583" spans="1:13" ht="14.4" x14ac:dyDescent="0.3">
      <c r="A583" s="14">
        <v>44718</v>
      </c>
      <c r="B583" s="5">
        <v>1</v>
      </c>
      <c r="C583" s="32">
        <f>VLOOKUP(B583,'area in m2'!B$2:C$10,2,FALSE)</f>
        <v>280</v>
      </c>
      <c r="D583" s="5" t="s">
        <v>11</v>
      </c>
      <c r="E583" s="6">
        <v>501.21952607193089</v>
      </c>
      <c r="F583" s="33" t="str">
        <f t="shared" si="18"/>
        <v>Below 530</v>
      </c>
      <c r="G583" s="33">
        <f t="shared" si="19"/>
        <v>526.28050237552748</v>
      </c>
      <c r="H583" s="7">
        <v>0.02</v>
      </c>
      <c r="I583" s="5" t="s">
        <v>14</v>
      </c>
      <c r="J583" s="5">
        <v>33</v>
      </c>
      <c r="K583" s="2"/>
      <c r="L583" s="2"/>
      <c r="M583" s="1"/>
    </row>
    <row r="584" spans="1:13" ht="14.4" x14ac:dyDescent="0.3">
      <c r="A584" s="14">
        <v>44658</v>
      </c>
      <c r="B584" s="5">
        <v>7</v>
      </c>
      <c r="C584" s="32">
        <f>VLOOKUP(B584,'area in m2'!B$2:C$10,2,FALSE)</f>
        <v>166</v>
      </c>
      <c r="D584" s="5" t="s">
        <v>12</v>
      </c>
      <c r="E584" s="6">
        <v>510.94797067655963</v>
      </c>
      <c r="F584" s="33" t="str">
        <f t="shared" si="18"/>
        <v>Below 530</v>
      </c>
      <c r="G584" s="33">
        <f t="shared" si="19"/>
        <v>536.49536921038759</v>
      </c>
      <c r="H584" s="7">
        <v>0</v>
      </c>
      <c r="I584" s="5" t="s">
        <v>14</v>
      </c>
      <c r="J584" s="5">
        <v>43</v>
      </c>
      <c r="K584" s="2"/>
      <c r="L584" s="2"/>
      <c r="M584" s="1"/>
    </row>
    <row r="585" spans="1:13" ht="14.4" x14ac:dyDescent="0.3">
      <c r="A585" s="14">
        <v>44627</v>
      </c>
      <c r="B585" s="5">
        <v>3</v>
      </c>
      <c r="C585" s="32">
        <f>VLOOKUP(B585,'area in m2'!B$2:C$10,2,FALSE)</f>
        <v>195</v>
      </c>
      <c r="D585" s="5" t="s">
        <v>11</v>
      </c>
      <c r="E585" s="6">
        <v>548.31337467658159</v>
      </c>
      <c r="F585" s="33" t="str">
        <f t="shared" si="18"/>
        <v>Over 530</v>
      </c>
      <c r="G585" s="33">
        <f t="shared" si="19"/>
        <v>575.72904341041067</v>
      </c>
      <c r="H585" s="7">
        <v>0</v>
      </c>
      <c r="I585" s="5" t="s">
        <v>15</v>
      </c>
      <c r="J585" s="5">
        <v>45</v>
      </c>
      <c r="K585" s="2"/>
      <c r="L585" s="2"/>
      <c r="M585" s="1"/>
    </row>
    <row r="586" spans="1:13" ht="14.4" x14ac:dyDescent="0.3">
      <c r="A586" s="14">
        <v>44800</v>
      </c>
      <c r="B586" s="5">
        <v>2</v>
      </c>
      <c r="C586" s="32">
        <f>VLOOKUP(B586,'area in m2'!B$2:C$10,2,FALSE)</f>
        <v>250</v>
      </c>
      <c r="D586" s="5" t="s">
        <v>11</v>
      </c>
      <c r="E586" s="6">
        <v>546.47155431550709</v>
      </c>
      <c r="F586" s="33" t="str">
        <f t="shared" si="18"/>
        <v>Over 530</v>
      </c>
      <c r="G586" s="33">
        <f t="shared" si="19"/>
        <v>573.79513203128249</v>
      </c>
      <c r="H586" s="7">
        <v>0.02</v>
      </c>
      <c r="I586" s="5" t="s">
        <v>14</v>
      </c>
      <c r="J586" s="5">
        <v>50</v>
      </c>
      <c r="K586" s="2"/>
      <c r="L586" s="2"/>
      <c r="M586" s="1"/>
    </row>
    <row r="587" spans="1:13" ht="14.4" x14ac:dyDescent="0.3">
      <c r="A587" s="14">
        <v>44732</v>
      </c>
      <c r="B587" s="5">
        <v>5</v>
      </c>
      <c r="C587" s="32">
        <f>VLOOKUP(B587,'area in m2'!B$2:C$10,2,FALSE)</f>
        <v>200</v>
      </c>
      <c r="D587" s="5" t="s">
        <v>13</v>
      </c>
      <c r="E587" s="6">
        <v>527.10026580046451</v>
      </c>
      <c r="F587" s="33" t="str">
        <f t="shared" si="18"/>
        <v>Below 530</v>
      </c>
      <c r="G587" s="33">
        <f t="shared" si="19"/>
        <v>553.45527909048781</v>
      </c>
      <c r="H587" s="7">
        <v>0.01</v>
      </c>
      <c r="I587" s="5" t="s">
        <v>15</v>
      </c>
      <c r="J587" s="5">
        <v>42</v>
      </c>
      <c r="K587" s="2"/>
      <c r="L587" s="2"/>
      <c r="M587" s="1"/>
    </row>
    <row r="588" spans="1:13" ht="14.4" x14ac:dyDescent="0.3">
      <c r="A588" s="14">
        <v>44600</v>
      </c>
      <c r="B588" s="5">
        <v>2</v>
      </c>
      <c r="C588" s="32">
        <f>VLOOKUP(B588,'area in m2'!B$2:C$10,2,FALSE)</f>
        <v>250</v>
      </c>
      <c r="D588" s="5" t="s">
        <v>11</v>
      </c>
      <c r="E588" s="6">
        <v>513.52077218519844</v>
      </c>
      <c r="F588" s="33" t="str">
        <f t="shared" si="18"/>
        <v>Below 530</v>
      </c>
      <c r="G588" s="33">
        <f t="shared" si="19"/>
        <v>539.19681079445843</v>
      </c>
      <c r="H588" s="7">
        <v>0.03</v>
      </c>
      <c r="I588" s="5" t="s">
        <v>14</v>
      </c>
      <c r="J588" s="5">
        <v>50</v>
      </c>
      <c r="K588" s="2"/>
      <c r="L588" s="2"/>
      <c r="M588" s="1"/>
    </row>
    <row r="589" spans="1:13" ht="14.4" x14ac:dyDescent="0.3">
      <c r="A589" s="14">
        <v>44747</v>
      </c>
      <c r="B589" s="5">
        <v>5</v>
      </c>
      <c r="C589" s="32">
        <f>VLOOKUP(B589,'area in m2'!B$2:C$10,2,FALSE)</f>
        <v>200</v>
      </c>
      <c r="D589" s="5" t="s">
        <v>13</v>
      </c>
      <c r="E589" s="6">
        <v>536.20364153033825</v>
      </c>
      <c r="F589" s="33" t="str">
        <f t="shared" si="18"/>
        <v>Over 530</v>
      </c>
      <c r="G589" s="33">
        <f t="shared" si="19"/>
        <v>563.01382360685523</v>
      </c>
      <c r="H589" s="7">
        <v>0.03</v>
      </c>
      <c r="I589" s="5" t="s">
        <v>14</v>
      </c>
      <c r="J589" s="5">
        <v>33</v>
      </c>
      <c r="K589" s="2"/>
      <c r="L589" s="2"/>
      <c r="M589" s="1"/>
    </row>
    <row r="590" spans="1:13" ht="14.4" x14ac:dyDescent="0.3">
      <c r="A590" s="14">
        <v>44704</v>
      </c>
      <c r="B590" s="5">
        <v>1</v>
      </c>
      <c r="C590" s="32">
        <f>VLOOKUP(B590,'area in m2'!B$2:C$10,2,FALSE)</f>
        <v>280</v>
      </c>
      <c r="D590" s="5" t="s">
        <v>11</v>
      </c>
      <c r="E590" s="6">
        <v>513.27083835303802</v>
      </c>
      <c r="F590" s="33" t="str">
        <f t="shared" si="18"/>
        <v>Below 530</v>
      </c>
      <c r="G590" s="33">
        <f t="shared" si="19"/>
        <v>538.93438027068999</v>
      </c>
      <c r="H590" s="7">
        <v>0.01</v>
      </c>
      <c r="I590" s="5" t="s">
        <v>14</v>
      </c>
      <c r="J590" s="5">
        <v>27</v>
      </c>
      <c r="K590" s="2"/>
      <c r="L590" s="2"/>
      <c r="M590" s="1"/>
    </row>
    <row r="591" spans="1:13" ht="14.4" x14ac:dyDescent="0.3">
      <c r="A591" s="14">
        <v>44863</v>
      </c>
      <c r="B591" s="5">
        <v>7</v>
      </c>
      <c r="C591" s="32">
        <f>VLOOKUP(B591,'area in m2'!B$2:C$10,2,FALSE)</f>
        <v>166</v>
      </c>
      <c r="D591" s="5" t="s">
        <v>12</v>
      </c>
      <c r="E591" s="6">
        <v>522.0609467102322</v>
      </c>
      <c r="F591" s="33" t="str">
        <f t="shared" si="18"/>
        <v>Below 530</v>
      </c>
      <c r="G591" s="33">
        <f t="shared" si="19"/>
        <v>548.16399404574383</v>
      </c>
      <c r="H591" s="7">
        <v>0.03</v>
      </c>
      <c r="I591" s="5" t="s">
        <v>15</v>
      </c>
      <c r="J591" s="5">
        <v>64</v>
      </c>
      <c r="K591" s="2"/>
      <c r="L591" s="2"/>
      <c r="M591" s="1"/>
    </row>
    <row r="592" spans="1:13" ht="14.4" x14ac:dyDescent="0.3">
      <c r="A592" s="14">
        <v>44680</v>
      </c>
      <c r="B592" s="5">
        <v>1</v>
      </c>
      <c r="C592" s="32">
        <f>VLOOKUP(B592,'area in m2'!B$2:C$10,2,FALSE)</f>
        <v>280</v>
      </c>
      <c r="D592" s="5" t="s">
        <v>11</v>
      </c>
      <c r="E592" s="6">
        <v>550.51633801169737</v>
      </c>
      <c r="F592" s="33" t="str">
        <f t="shared" si="18"/>
        <v>Over 530</v>
      </c>
      <c r="G592" s="33">
        <f t="shared" si="19"/>
        <v>578.04215491228229</v>
      </c>
      <c r="H592" s="7">
        <v>0.03</v>
      </c>
      <c r="I592" s="5" t="s">
        <v>14</v>
      </c>
      <c r="J592" s="5">
        <v>50</v>
      </c>
      <c r="K592" s="2"/>
      <c r="L592" s="2"/>
      <c r="M592" s="1"/>
    </row>
    <row r="593" spans="1:13" ht="14.4" x14ac:dyDescent="0.3">
      <c r="A593" s="14">
        <v>44583</v>
      </c>
      <c r="B593" s="5">
        <v>1</v>
      </c>
      <c r="C593" s="32">
        <f>VLOOKUP(B593,'area in m2'!B$2:C$10,2,FALSE)</f>
        <v>280</v>
      </c>
      <c r="D593" s="5" t="s">
        <v>11</v>
      </c>
      <c r="E593" s="6">
        <v>514.38605155574078</v>
      </c>
      <c r="F593" s="33" t="str">
        <f t="shared" si="18"/>
        <v>Below 530</v>
      </c>
      <c r="G593" s="33">
        <f t="shared" si="19"/>
        <v>540.10535413352784</v>
      </c>
      <c r="H593" s="7">
        <v>0.03</v>
      </c>
      <c r="I593" s="5" t="s">
        <v>14</v>
      </c>
      <c r="J593" s="5">
        <v>26</v>
      </c>
      <c r="K593" s="2"/>
      <c r="L593" s="2"/>
      <c r="M593" s="1"/>
    </row>
    <row r="594" spans="1:13" ht="14.4" x14ac:dyDescent="0.3">
      <c r="A594" s="14">
        <v>44842</v>
      </c>
      <c r="B594" s="5">
        <v>4</v>
      </c>
      <c r="C594" s="32">
        <f>VLOOKUP(B594,'area in m2'!B$2:C$10,2,FALSE)</f>
        <v>188</v>
      </c>
      <c r="D594" s="5" t="s">
        <v>11</v>
      </c>
      <c r="E594" s="6">
        <v>530.94586352274291</v>
      </c>
      <c r="F594" s="33" t="str">
        <f t="shared" si="18"/>
        <v>Over 530</v>
      </c>
      <c r="G594" s="33">
        <f t="shared" si="19"/>
        <v>557.49315669888006</v>
      </c>
      <c r="H594" s="7">
        <v>0</v>
      </c>
      <c r="I594" s="5" t="s">
        <v>14</v>
      </c>
      <c r="J594" s="5">
        <v>50</v>
      </c>
      <c r="K594" s="2"/>
      <c r="L594" s="2"/>
      <c r="M594" s="1"/>
    </row>
    <row r="595" spans="1:13" ht="14.4" x14ac:dyDescent="0.3">
      <c r="A595" s="14">
        <v>44845</v>
      </c>
      <c r="B595" s="5">
        <v>8</v>
      </c>
      <c r="C595" s="32">
        <f>VLOOKUP(B595,'area in m2'!B$2:C$10,2,FALSE)</f>
        <v>142</v>
      </c>
      <c r="D595" s="5" t="s">
        <v>12</v>
      </c>
      <c r="E595" s="6">
        <v>523.27777204627</v>
      </c>
      <c r="F595" s="33" t="str">
        <f t="shared" si="18"/>
        <v>Below 530</v>
      </c>
      <c r="G595" s="33">
        <f t="shared" si="19"/>
        <v>549.44166064858348</v>
      </c>
      <c r="H595" s="7">
        <v>0.03</v>
      </c>
      <c r="I595" s="5" t="s">
        <v>14</v>
      </c>
      <c r="J595" s="5">
        <v>37</v>
      </c>
      <c r="K595" s="2"/>
      <c r="L595" s="2"/>
      <c r="M595" s="1"/>
    </row>
    <row r="596" spans="1:13" ht="14.4" x14ac:dyDescent="0.3">
      <c r="A596" s="14">
        <v>44653</v>
      </c>
      <c r="B596" s="5">
        <v>4</v>
      </c>
      <c r="C596" s="32">
        <f>VLOOKUP(B596,'area in m2'!B$2:C$10,2,FALSE)</f>
        <v>188</v>
      </c>
      <c r="D596" s="5" t="s">
        <v>11</v>
      </c>
      <c r="E596" s="6">
        <v>543.81087125293016</v>
      </c>
      <c r="F596" s="33" t="str">
        <f t="shared" si="18"/>
        <v>Over 530</v>
      </c>
      <c r="G596" s="33">
        <f t="shared" si="19"/>
        <v>571.00141481557671</v>
      </c>
      <c r="H596" s="7">
        <v>0</v>
      </c>
      <c r="I596" s="5" t="s">
        <v>15</v>
      </c>
      <c r="J596" s="5">
        <v>36</v>
      </c>
      <c r="K596" s="2"/>
      <c r="L596" s="2"/>
      <c r="M596" s="1"/>
    </row>
    <row r="597" spans="1:13" ht="14.4" x14ac:dyDescent="0.3">
      <c r="A597" s="14">
        <v>44830</v>
      </c>
      <c r="B597" s="5">
        <v>8</v>
      </c>
      <c r="C597" s="32">
        <f>VLOOKUP(B597,'area in m2'!B$2:C$10,2,FALSE)</f>
        <v>142</v>
      </c>
      <c r="D597" s="5" t="s">
        <v>12</v>
      </c>
      <c r="E597" s="6">
        <v>507.94777438141227</v>
      </c>
      <c r="F597" s="33" t="str">
        <f t="shared" si="18"/>
        <v>Below 530</v>
      </c>
      <c r="G597" s="33">
        <f t="shared" si="19"/>
        <v>533.34516310048286</v>
      </c>
      <c r="H597" s="7">
        <v>0.03</v>
      </c>
      <c r="I597" s="5" t="s">
        <v>15</v>
      </c>
      <c r="J597" s="5">
        <v>47</v>
      </c>
      <c r="K597" s="2"/>
      <c r="L597" s="2"/>
      <c r="M597" s="1"/>
    </row>
    <row r="598" spans="1:13" ht="14.4" x14ac:dyDescent="0.3">
      <c r="A598" s="14">
        <v>44867</v>
      </c>
      <c r="B598" s="5">
        <v>8</v>
      </c>
      <c r="C598" s="32">
        <f>VLOOKUP(B598,'area in m2'!B$2:C$10,2,FALSE)</f>
        <v>142</v>
      </c>
      <c r="D598" s="5" t="s">
        <v>11</v>
      </c>
      <c r="E598" s="6">
        <v>530.86622963091668</v>
      </c>
      <c r="F598" s="33" t="str">
        <f t="shared" si="18"/>
        <v>Over 530</v>
      </c>
      <c r="G598" s="33">
        <f t="shared" si="19"/>
        <v>557.40954111246253</v>
      </c>
      <c r="H598" s="7">
        <v>0.01</v>
      </c>
      <c r="I598" s="5" t="s">
        <v>14</v>
      </c>
      <c r="J598" s="5">
        <v>48</v>
      </c>
      <c r="K598" s="2"/>
      <c r="L598" s="2"/>
      <c r="M598" s="1"/>
    </row>
    <row r="599" spans="1:13" ht="14.4" x14ac:dyDescent="0.3">
      <c r="A599" s="14">
        <v>44802</v>
      </c>
      <c r="B599" s="5">
        <v>2</v>
      </c>
      <c r="C599" s="32">
        <f>VLOOKUP(B599,'area in m2'!B$2:C$10,2,FALSE)</f>
        <v>250</v>
      </c>
      <c r="D599" s="5" t="s">
        <v>11</v>
      </c>
      <c r="E599" s="6">
        <v>507.26412116870779</v>
      </c>
      <c r="F599" s="33" t="str">
        <f t="shared" si="18"/>
        <v>Below 530</v>
      </c>
      <c r="G599" s="33">
        <f t="shared" si="19"/>
        <v>532.62732722714316</v>
      </c>
      <c r="H599" s="7">
        <v>0</v>
      </c>
      <c r="I599" s="5" t="s">
        <v>15</v>
      </c>
      <c r="J599" s="5">
        <v>64</v>
      </c>
      <c r="K599" s="2"/>
      <c r="L599" s="2"/>
      <c r="M599" s="1"/>
    </row>
    <row r="600" spans="1:13" ht="14.4" x14ac:dyDescent="0.3">
      <c r="A600" s="14">
        <v>44891</v>
      </c>
      <c r="B600" s="5">
        <v>1</v>
      </c>
      <c r="C600" s="32">
        <f>VLOOKUP(B600,'area in m2'!B$2:C$10,2,FALSE)</f>
        <v>280</v>
      </c>
      <c r="D600" s="5" t="s">
        <v>11</v>
      </c>
      <c r="E600" s="6">
        <v>540.8899485038728</v>
      </c>
      <c r="F600" s="33" t="str">
        <f t="shared" si="18"/>
        <v>Over 530</v>
      </c>
      <c r="G600" s="33">
        <f t="shared" si="19"/>
        <v>567.93444592906644</v>
      </c>
      <c r="H600" s="7">
        <v>0.02</v>
      </c>
      <c r="I600" s="5" t="s">
        <v>14</v>
      </c>
      <c r="J600" s="5">
        <v>40</v>
      </c>
      <c r="K600" s="2"/>
      <c r="L600" s="2"/>
      <c r="M600" s="1"/>
    </row>
    <row r="601" spans="1:13" ht="14.4" x14ac:dyDescent="0.3">
      <c r="A601" s="14">
        <v>44632</v>
      </c>
      <c r="B601" s="5">
        <v>4</v>
      </c>
      <c r="C601" s="32">
        <f>VLOOKUP(B601,'area in m2'!B$2:C$10,2,FALSE)</f>
        <v>188</v>
      </c>
      <c r="D601" s="5" t="s">
        <v>11</v>
      </c>
      <c r="E601" s="6">
        <v>528.30286687008447</v>
      </c>
      <c r="F601" s="33" t="str">
        <f t="shared" si="18"/>
        <v>Below 530</v>
      </c>
      <c r="G601" s="33">
        <f t="shared" si="19"/>
        <v>554.71801021358874</v>
      </c>
      <c r="H601" s="7">
        <v>0.02</v>
      </c>
      <c r="I601" s="5" t="s">
        <v>14</v>
      </c>
      <c r="J601" s="5">
        <v>44</v>
      </c>
      <c r="K601" s="2"/>
      <c r="L601" s="2"/>
      <c r="M601" s="1"/>
    </row>
    <row r="602" spans="1:13" ht="14.4" x14ac:dyDescent="0.3">
      <c r="A602" s="14">
        <v>44738</v>
      </c>
      <c r="B602" s="5">
        <v>2</v>
      </c>
      <c r="C602" s="32">
        <f>VLOOKUP(B602,'area in m2'!B$2:C$10,2,FALSE)</f>
        <v>250</v>
      </c>
      <c r="D602" s="5" t="s">
        <v>11</v>
      </c>
      <c r="E602" s="6">
        <v>542.66656919190427</v>
      </c>
      <c r="F602" s="33" t="str">
        <f t="shared" si="18"/>
        <v>Over 530</v>
      </c>
      <c r="G602" s="33">
        <f t="shared" si="19"/>
        <v>569.79989765149946</v>
      </c>
      <c r="H602" s="7">
        <v>0.01</v>
      </c>
      <c r="I602" s="5" t="s">
        <v>14</v>
      </c>
      <c r="J602" s="5">
        <v>31</v>
      </c>
      <c r="K602" s="2"/>
      <c r="L602" s="2"/>
      <c r="M602" s="1"/>
    </row>
    <row r="603" spans="1:13" ht="14.4" x14ac:dyDescent="0.3">
      <c r="A603" s="14">
        <v>44789</v>
      </c>
      <c r="B603" s="5">
        <v>1</v>
      </c>
      <c r="C603" s="32">
        <f>VLOOKUP(B603,'area in m2'!B$2:C$10,2,FALSE)</f>
        <v>280</v>
      </c>
      <c r="D603" s="5" t="s">
        <v>11</v>
      </c>
      <c r="E603" s="6">
        <v>526.67390101446745</v>
      </c>
      <c r="F603" s="33" t="str">
        <f t="shared" si="18"/>
        <v>Below 530</v>
      </c>
      <c r="G603" s="33">
        <f t="shared" si="19"/>
        <v>553.0075960651908</v>
      </c>
      <c r="H603" s="7">
        <v>0</v>
      </c>
      <c r="I603" s="5" t="s">
        <v>14</v>
      </c>
      <c r="J603" s="5">
        <v>26</v>
      </c>
      <c r="K603" s="2"/>
      <c r="L603" s="2"/>
      <c r="M603" s="1"/>
    </row>
    <row r="604" spans="1:13" ht="14.4" x14ac:dyDescent="0.3">
      <c r="A604" s="14">
        <v>44690</v>
      </c>
      <c r="B604" s="5">
        <v>4</v>
      </c>
      <c r="C604" s="32">
        <f>VLOOKUP(B604,'area in m2'!B$2:C$10,2,FALSE)</f>
        <v>188</v>
      </c>
      <c r="D604" s="5" t="s">
        <v>11</v>
      </c>
      <c r="E604" s="6">
        <v>500.16458419135779</v>
      </c>
      <c r="F604" s="33" t="str">
        <f t="shared" si="18"/>
        <v>Below 530</v>
      </c>
      <c r="G604" s="33">
        <f t="shared" si="19"/>
        <v>525.17281340092575</v>
      </c>
      <c r="H604" s="7">
        <v>0.03</v>
      </c>
      <c r="I604" s="5" t="s">
        <v>15</v>
      </c>
      <c r="J604" s="5">
        <v>31</v>
      </c>
      <c r="K604" s="2"/>
      <c r="L604" s="2"/>
      <c r="M604" s="1"/>
    </row>
    <row r="605" spans="1:13" ht="14.4" x14ac:dyDescent="0.3">
      <c r="A605" s="14">
        <v>44579</v>
      </c>
      <c r="B605" s="5">
        <v>1</v>
      </c>
      <c r="C605" s="32">
        <f>VLOOKUP(B605,'area in m2'!B$2:C$10,2,FALSE)</f>
        <v>280</v>
      </c>
      <c r="D605" s="5" t="s">
        <v>11</v>
      </c>
      <c r="E605" s="6">
        <v>524.05834255266655</v>
      </c>
      <c r="F605" s="33" t="str">
        <f t="shared" si="18"/>
        <v>Below 530</v>
      </c>
      <c r="G605" s="33">
        <f t="shared" si="19"/>
        <v>550.26125968029987</v>
      </c>
      <c r="H605" s="7">
        <v>0.01</v>
      </c>
      <c r="I605" s="5" t="s">
        <v>15</v>
      </c>
      <c r="J605" s="5">
        <v>19</v>
      </c>
      <c r="K605" s="2"/>
      <c r="L605" s="2"/>
      <c r="M605" s="1"/>
    </row>
    <row r="606" spans="1:13" ht="14.4" x14ac:dyDescent="0.3">
      <c r="A606" s="14">
        <v>44568</v>
      </c>
      <c r="B606" s="5">
        <v>6</v>
      </c>
      <c r="C606" s="32">
        <f>VLOOKUP(B606,'area in m2'!B$2:C$10,2,FALSE)</f>
        <v>175</v>
      </c>
      <c r="D606" s="5" t="s">
        <v>13</v>
      </c>
      <c r="E606" s="6">
        <v>507.6198523565854</v>
      </c>
      <c r="F606" s="33" t="str">
        <f t="shared" si="18"/>
        <v>Below 530</v>
      </c>
      <c r="G606" s="33">
        <f t="shared" si="19"/>
        <v>533.00084497441469</v>
      </c>
      <c r="H606" s="7">
        <v>0.01</v>
      </c>
      <c r="I606" s="5" t="s">
        <v>14</v>
      </c>
      <c r="J606" s="5">
        <v>47</v>
      </c>
      <c r="K606" s="2"/>
      <c r="L606" s="2"/>
      <c r="M606" s="1"/>
    </row>
    <row r="607" spans="1:13" ht="14.4" x14ac:dyDescent="0.3">
      <c r="A607" s="14">
        <v>44590</v>
      </c>
      <c r="B607" s="5">
        <v>3</v>
      </c>
      <c r="C607" s="32">
        <f>VLOOKUP(B607,'area in m2'!B$2:C$10,2,FALSE)</f>
        <v>195</v>
      </c>
      <c r="D607" s="5" t="s">
        <v>11</v>
      </c>
      <c r="E607" s="6">
        <v>525.853041315474</v>
      </c>
      <c r="F607" s="33" t="str">
        <f t="shared" si="18"/>
        <v>Below 530</v>
      </c>
      <c r="G607" s="33">
        <f t="shared" si="19"/>
        <v>552.14569338124772</v>
      </c>
      <c r="H607" s="7">
        <v>0</v>
      </c>
      <c r="I607" s="5" t="s">
        <v>14</v>
      </c>
      <c r="J607" s="5">
        <v>46</v>
      </c>
      <c r="K607" s="2"/>
      <c r="L607" s="2"/>
      <c r="M607" s="1"/>
    </row>
    <row r="608" spans="1:13" ht="14.4" x14ac:dyDescent="0.3">
      <c r="A608" s="14">
        <v>44729</v>
      </c>
      <c r="B608" s="5">
        <v>7</v>
      </c>
      <c r="C608" s="32">
        <f>VLOOKUP(B608,'area in m2'!B$2:C$10,2,FALSE)</f>
        <v>166</v>
      </c>
      <c r="D608" s="5" t="s">
        <v>12</v>
      </c>
      <c r="E608" s="6">
        <v>542.97291232321732</v>
      </c>
      <c r="F608" s="33" t="str">
        <f t="shared" si="18"/>
        <v>Over 530</v>
      </c>
      <c r="G608" s="33">
        <f t="shared" si="19"/>
        <v>570.12155793937825</v>
      </c>
      <c r="H608" s="7">
        <v>0.01</v>
      </c>
      <c r="I608" s="5" t="s">
        <v>14</v>
      </c>
      <c r="J608" s="5">
        <v>50</v>
      </c>
      <c r="K608" s="2"/>
      <c r="L608" s="2"/>
      <c r="M608" s="1"/>
    </row>
    <row r="609" spans="1:13" ht="14.4" x14ac:dyDescent="0.3">
      <c r="A609" s="14">
        <v>44621</v>
      </c>
      <c r="B609" s="5">
        <v>7</v>
      </c>
      <c r="C609" s="32">
        <f>VLOOKUP(B609,'area in m2'!B$2:C$10,2,FALSE)</f>
        <v>166</v>
      </c>
      <c r="D609" s="5" t="s">
        <v>12</v>
      </c>
      <c r="E609" s="6">
        <v>529.21157768185276</v>
      </c>
      <c r="F609" s="33" t="str">
        <f t="shared" si="18"/>
        <v>Below 530</v>
      </c>
      <c r="G609" s="33">
        <f t="shared" si="19"/>
        <v>555.67215656594544</v>
      </c>
      <c r="H609" s="7">
        <v>0</v>
      </c>
      <c r="I609" s="5" t="s">
        <v>14</v>
      </c>
      <c r="J609" s="5">
        <v>48</v>
      </c>
      <c r="K609" s="2"/>
      <c r="L609" s="2"/>
      <c r="M609" s="1"/>
    </row>
    <row r="610" spans="1:13" ht="14.4" x14ac:dyDescent="0.3">
      <c r="A610" s="14">
        <v>44754</v>
      </c>
      <c r="B610" s="5">
        <v>5</v>
      </c>
      <c r="C610" s="32">
        <f>VLOOKUP(B610,'area in m2'!B$2:C$10,2,FALSE)</f>
        <v>200</v>
      </c>
      <c r="D610" s="5" t="s">
        <v>13</v>
      </c>
      <c r="E610" s="6">
        <v>542.5333323241166</v>
      </c>
      <c r="F610" s="33" t="str">
        <f t="shared" si="18"/>
        <v>Over 530</v>
      </c>
      <c r="G610" s="33">
        <f t="shared" si="19"/>
        <v>569.65999894032245</v>
      </c>
      <c r="H610" s="7">
        <v>0.01</v>
      </c>
      <c r="I610" s="5" t="s">
        <v>14</v>
      </c>
      <c r="J610" s="5">
        <v>28</v>
      </c>
      <c r="K610" s="2"/>
      <c r="L610" s="2"/>
      <c r="M610" s="1"/>
    </row>
    <row r="611" spans="1:13" ht="14.4" x14ac:dyDescent="0.3">
      <c r="A611" s="14">
        <v>44679</v>
      </c>
      <c r="B611" s="5">
        <v>2</v>
      </c>
      <c r="C611" s="32">
        <f>VLOOKUP(B611,'area in m2'!B$2:C$10,2,FALSE)</f>
        <v>250</v>
      </c>
      <c r="D611" s="5" t="s">
        <v>11</v>
      </c>
      <c r="E611" s="6">
        <v>518.70566324201172</v>
      </c>
      <c r="F611" s="33" t="str">
        <f t="shared" si="18"/>
        <v>Below 530</v>
      </c>
      <c r="G611" s="33">
        <f t="shared" si="19"/>
        <v>544.64094640411236</v>
      </c>
      <c r="H611" s="7">
        <v>0</v>
      </c>
      <c r="I611" s="5" t="s">
        <v>14</v>
      </c>
      <c r="J611" s="5">
        <v>29</v>
      </c>
      <c r="K611" s="2"/>
      <c r="L611" s="2"/>
      <c r="M611" s="1"/>
    </row>
    <row r="612" spans="1:13" ht="14.4" x14ac:dyDescent="0.3">
      <c r="A612" s="14">
        <v>44630</v>
      </c>
      <c r="B612" s="5">
        <v>3</v>
      </c>
      <c r="C612" s="32">
        <f>VLOOKUP(B612,'area in m2'!B$2:C$10,2,FALSE)</f>
        <v>195</v>
      </c>
      <c r="D612" s="5" t="s">
        <v>11</v>
      </c>
      <c r="E612" s="6">
        <v>502.01006306822183</v>
      </c>
      <c r="F612" s="33" t="str">
        <f t="shared" si="18"/>
        <v>Below 530</v>
      </c>
      <c r="G612" s="33">
        <f t="shared" si="19"/>
        <v>527.11056622163289</v>
      </c>
      <c r="H612" s="7">
        <v>0.01</v>
      </c>
      <c r="I612" s="5" t="s">
        <v>14</v>
      </c>
      <c r="J612" s="5">
        <v>42</v>
      </c>
      <c r="K612" s="2"/>
      <c r="L612" s="2"/>
      <c r="M612" s="1"/>
    </row>
    <row r="613" spans="1:13" ht="14.4" x14ac:dyDescent="0.3">
      <c r="A613" s="14">
        <v>44693</v>
      </c>
      <c r="B613" s="5">
        <v>3</v>
      </c>
      <c r="C613" s="32">
        <f>VLOOKUP(B613,'area in m2'!B$2:C$10,2,FALSE)</f>
        <v>195</v>
      </c>
      <c r="D613" s="5" t="s">
        <v>11</v>
      </c>
      <c r="E613" s="6">
        <v>500.40550379554952</v>
      </c>
      <c r="F613" s="33" t="str">
        <f t="shared" si="18"/>
        <v>Below 530</v>
      </c>
      <c r="G613" s="33">
        <f t="shared" si="19"/>
        <v>525.42577898532704</v>
      </c>
      <c r="H613" s="7">
        <v>0</v>
      </c>
      <c r="I613" s="5" t="s">
        <v>15</v>
      </c>
      <c r="J613" s="5">
        <v>45</v>
      </c>
      <c r="K613" s="2"/>
      <c r="L613" s="2"/>
      <c r="M613" s="1"/>
    </row>
    <row r="614" spans="1:13" ht="14.4" x14ac:dyDescent="0.3">
      <c r="A614" s="14">
        <v>44717</v>
      </c>
      <c r="B614" s="5">
        <v>1</v>
      </c>
      <c r="C614" s="32">
        <f>VLOOKUP(B614,'area in m2'!B$2:C$10,2,FALSE)</f>
        <v>280</v>
      </c>
      <c r="D614" s="5" t="s">
        <v>11</v>
      </c>
      <c r="E614" s="6">
        <v>540.62687848062433</v>
      </c>
      <c r="F614" s="33" t="str">
        <f t="shared" si="18"/>
        <v>Over 530</v>
      </c>
      <c r="G614" s="33">
        <f t="shared" si="19"/>
        <v>567.65822240465559</v>
      </c>
      <c r="H614" s="7">
        <v>0</v>
      </c>
      <c r="I614" s="5" t="s">
        <v>14</v>
      </c>
      <c r="J614" s="5">
        <v>35</v>
      </c>
      <c r="K614" s="2"/>
      <c r="L614" s="2"/>
      <c r="M614" s="1"/>
    </row>
    <row r="615" spans="1:13" ht="14.4" x14ac:dyDescent="0.3">
      <c r="A615" s="14">
        <v>44724</v>
      </c>
      <c r="B615" s="5">
        <v>3</v>
      </c>
      <c r="C615" s="32">
        <f>VLOOKUP(B615,'area in m2'!B$2:C$10,2,FALSE)</f>
        <v>195</v>
      </c>
      <c r="D615" s="5" t="s">
        <v>11</v>
      </c>
      <c r="E615" s="6">
        <v>502.5489993845722</v>
      </c>
      <c r="F615" s="33" t="str">
        <f t="shared" si="18"/>
        <v>Below 530</v>
      </c>
      <c r="G615" s="33">
        <f t="shared" si="19"/>
        <v>527.67644935380088</v>
      </c>
      <c r="H615" s="7">
        <v>0</v>
      </c>
      <c r="I615" s="5" t="s">
        <v>14</v>
      </c>
      <c r="J615" s="5">
        <v>40</v>
      </c>
      <c r="K615" s="2"/>
      <c r="L615" s="2"/>
      <c r="M615" s="1"/>
    </row>
    <row r="616" spans="1:13" ht="14.4" x14ac:dyDescent="0.3">
      <c r="A616" s="14">
        <v>44797</v>
      </c>
      <c r="B616" s="5">
        <v>6</v>
      </c>
      <c r="C616" s="32">
        <f>VLOOKUP(B616,'area in m2'!B$2:C$10,2,FALSE)</f>
        <v>175</v>
      </c>
      <c r="D616" s="5" t="s">
        <v>13</v>
      </c>
      <c r="E616" s="6">
        <v>519.89249645017844</v>
      </c>
      <c r="F616" s="33" t="str">
        <f t="shared" si="18"/>
        <v>Below 530</v>
      </c>
      <c r="G616" s="33">
        <f t="shared" si="19"/>
        <v>545.88712127268741</v>
      </c>
      <c r="H616" s="7">
        <v>0.02</v>
      </c>
      <c r="I616" s="5" t="s">
        <v>14</v>
      </c>
      <c r="J616" s="5">
        <v>47</v>
      </c>
      <c r="K616" s="2"/>
      <c r="L616" s="2"/>
      <c r="M616" s="1"/>
    </row>
    <row r="617" spans="1:13" ht="14.4" x14ac:dyDescent="0.3">
      <c r="A617" s="14">
        <v>44614</v>
      </c>
      <c r="B617" s="5">
        <v>2</v>
      </c>
      <c r="C617" s="32">
        <f>VLOOKUP(B617,'area in m2'!B$2:C$10,2,FALSE)</f>
        <v>250</v>
      </c>
      <c r="D617" s="5" t="s">
        <v>11</v>
      </c>
      <c r="E617" s="6">
        <v>547.98601678048908</v>
      </c>
      <c r="F617" s="33" t="str">
        <f t="shared" si="18"/>
        <v>Over 530</v>
      </c>
      <c r="G617" s="33">
        <f t="shared" si="19"/>
        <v>575.38531761951356</v>
      </c>
      <c r="H617" s="7">
        <v>0.01</v>
      </c>
      <c r="I617" s="5" t="s">
        <v>14</v>
      </c>
      <c r="J617" s="5">
        <v>36</v>
      </c>
      <c r="K617" s="2"/>
      <c r="L617" s="2"/>
      <c r="M617" s="1"/>
    </row>
    <row r="618" spans="1:13" ht="14.4" x14ac:dyDescent="0.3">
      <c r="A618" s="14">
        <v>44750</v>
      </c>
      <c r="B618" s="5">
        <v>7</v>
      </c>
      <c r="C618" s="32">
        <f>VLOOKUP(B618,'area in m2'!B$2:C$10,2,FALSE)</f>
        <v>166</v>
      </c>
      <c r="D618" s="5" t="s">
        <v>12</v>
      </c>
      <c r="E618" s="6">
        <v>525.71771303587775</v>
      </c>
      <c r="F618" s="33" t="str">
        <f t="shared" si="18"/>
        <v>Below 530</v>
      </c>
      <c r="G618" s="33">
        <f t="shared" si="19"/>
        <v>552.00359868767168</v>
      </c>
      <c r="H618" s="7">
        <v>0.01</v>
      </c>
      <c r="I618" s="5" t="s">
        <v>14</v>
      </c>
      <c r="J618" s="5">
        <v>35</v>
      </c>
      <c r="K618" s="2"/>
      <c r="L618" s="2"/>
      <c r="M618" s="1"/>
    </row>
    <row r="619" spans="1:13" ht="14.4" x14ac:dyDescent="0.3">
      <c r="A619" s="14">
        <v>44918</v>
      </c>
      <c r="B619" s="5">
        <v>5</v>
      </c>
      <c r="C619" s="32">
        <f>VLOOKUP(B619,'area in m2'!B$2:C$10,2,FALSE)</f>
        <v>200</v>
      </c>
      <c r="D619" s="5" t="s">
        <v>13</v>
      </c>
      <c r="E619" s="6">
        <v>550.23</v>
      </c>
      <c r="F619" s="33" t="str">
        <f t="shared" si="18"/>
        <v>Over 530</v>
      </c>
      <c r="G619" s="33">
        <f t="shared" si="19"/>
        <v>577.74150000000009</v>
      </c>
      <c r="H619" s="7">
        <v>0.02</v>
      </c>
      <c r="I619" s="5" t="s">
        <v>14</v>
      </c>
      <c r="J619" s="5">
        <v>49</v>
      </c>
      <c r="K619" s="2"/>
      <c r="L619" s="2"/>
      <c r="M619" s="1"/>
    </row>
    <row r="620" spans="1:13" ht="14.4" x14ac:dyDescent="0.3">
      <c r="A620" s="14">
        <v>44766</v>
      </c>
      <c r="B620" s="5">
        <v>2</v>
      </c>
      <c r="C620" s="32">
        <f>VLOOKUP(B620,'area in m2'!B$2:C$10,2,FALSE)</f>
        <v>250</v>
      </c>
      <c r="D620" s="5" t="s">
        <v>11</v>
      </c>
      <c r="E620" s="6">
        <v>519.22564181611779</v>
      </c>
      <c r="F620" s="33" t="str">
        <f t="shared" si="18"/>
        <v>Below 530</v>
      </c>
      <c r="G620" s="33">
        <f t="shared" si="19"/>
        <v>545.18692390692365</v>
      </c>
      <c r="H620" s="7">
        <v>0.01</v>
      </c>
      <c r="I620" s="5" t="s">
        <v>15</v>
      </c>
      <c r="J620" s="5">
        <v>17</v>
      </c>
      <c r="K620" s="2"/>
      <c r="L620" s="2"/>
      <c r="M620" s="1"/>
    </row>
    <row r="621" spans="1:13" ht="14.4" x14ac:dyDescent="0.3">
      <c r="A621" s="14">
        <v>44658</v>
      </c>
      <c r="B621" s="5">
        <v>7</v>
      </c>
      <c r="C621" s="32">
        <f>VLOOKUP(B621,'area in m2'!B$2:C$10,2,FALSE)</f>
        <v>166</v>
      </c>
      <c r="D621" s="5" t="s">
        <v>12</v>
      </c>
      <c r="E621" s="6">
        <v>526.3682835329746</v>
      </c>
      <c r="F621" s="33" t="str">
        <f t="shared" si="18"/>
        <v>Below 530</v>
      </c>
      <c r="G621" s="33">
        <f t="shared" si="19"/>
        <v>552.68669770962333</v>
      </c>
      <c r="H621" s="7">
        <v>0</v>
      </c>
      <c r="I621" s="5" t="s">
        <v>14</v>
      </c>
      <c r="J621" s="5">
        <v>40</v>
      </c>
      <c r="K621" s="2"/>
      <c r="L621" s="2"/>
      <c r="M621" s="1"/>
    </row>
    <row r="622" spans="1:13" ht="14.4" x14ac:dyDescent="0.3">
      <c r="A622" s="14">
        <v>44577</v>
      </c>
      <c r="B622" s="5">
        <v>1</v>
      </c>
      <c r="C622" s="32">
        <f>VLOOKUP(B622,'area in m2'!B$2:C$10,2,FALSE)</f>
        <v>280</v>
      </c>
      <c r="D622" s="5" t="s">
        <v>11</v>
      </c>
      <c r="E622" s="6">
        <v>509.75043102963264</v>
      </c>
      <c r="F622" s="33" t="str">
        <f t="shared" si="18"/>
        <v>Below 530</v>
      </c>
      <c r="G622" s="33">
        <f t="shared" si="19"/>
        <v>535.23795258111431</v>
      </c>
      <c r="H622" s="7">
        <v>0.01</v>
      </c>
      <c r="I622" s="5" t="s">
        <v>14</v>
      </c>
      <c r="J622" s="5">
        <v>29</v>
      </c>
      <c r="K622" s="2"/>
      <c r="L622" s="2"/>
      <c r="M622" s="1"/>
    </row>
    <row r="623" spans="1:13" ht="14.4" x14ac:dyDescent="0.3">
      <c r="A623" s="14">
        <v>44831</v>
      </c>
      <c r="B623" s="5">
        <v>9</v>
      </c>
      <c r="C623" s="32">
        <f>VLOOKUP(B623,'area in m2'!B$2:C$10,2,FALSE)</f>
        <v>140</v>
      </c>
      <c r="D623" s="5" t="s">
        <v>12</v>
      </c>
      <c r="E623" s="6">
        <v>527.75537985386381</v>
      </c>
      <c r="F623" s="33" t="str">
        <f t="shared" si="18"/>
        <v>Below 530</v>
      </c>
      <c r="G623" s="33">
        <f t="shared" si="19"/>
        <v>554.14314884655698</v>
      </c>
      <c r="H623" s="7">
        <v>0.02</v>
      </c>
      <c r="I623" s="5" t="s">
        <v>14</v>
      </c>
      <c r="J623" s="5">
        <v>23</v>
      </c>
      <c r="K623" s="2"/>
      <c r="L623" s="2"/>
      <c r="M623" s="1"/>
    </row>
    <row r="624" spans="1:13" ht="14.4" x14ac:dyDescent="0.3">
      <c r="A624" s="14">
        <v>44605</v>
      </c>
      <c r="B624" s="5">
        <v>7</v>
      </c>
      <c r="C624" s="32">
        <f>VLOOKUP(B624,'area in m2'!B$2:C$10,2,FALSE)</f>
        <v>166</v>
      </c>
      <c r="D624" s="5" t="s">
        <v>12</v>
      </c>
      <c r="E624" s="6">
        <v>543.85740588236513</v>
      </c>
      <c r="F624" s="33" t="str">
        <f t="shared" si="18"/>
        <v>Over 530</v>
      </c>
      <c r="G624" s="33">
        <f t="shared" si="19"/>
        <v>571.05027617648341</v>
      </c>
      <c r="H624" s="7">
        <v>0.02</v>
      </c>
      <c r="I624" s="5" t="s">
        <v>14</v>
      </c>
      <c r="J624" s="5">
        <v>43</v>
      </c>
      <c r="K624" s="2"/>
      <c r="L624" s="2"/>
      <c r="M624" s="1"/>
    </row>
    <row r="625" spans="1:13" ht="14.4" x14ac:dyDescent="0.3">
      <c r="A625" s="14">
        <v>44607</v>
      </c>
      <c r="B625" s="5">
        <v>2</v>
      </c>
      <c r="C625" s="32">
        <f>VLOOKUP(B625,'area in m2'!B$2:C$10,2,FALSE)</f>
        <v>250</v>
      </c>
      <c r="D625" s="5" t="s">
        <v>11</v>
      </c>
      <c r="E625" s="6">
        <v>526.11179584882575</v>
      </c>
      <c r="F625" s="33" t="str">
        <f t="shared" si="18"/>
        <v>Below 530</v>
      </c>
      <c r="G625" s="33">
        <f t="shared" si="19"/>
        <v>552.41738564126706</v>
      </c>
      <c r="H625" s="7">
        <v>0.02</v>
      </c>
      <c r="I625" s="5" t="s">
        <v>15</v>
      </c>
      <c r="J625" s="5">
        <v>23</v>
      </c>
      <c r="K625" s="2"/>
      <c r="L625" s="2"/>
      <c r="M625" s="1"/>
    </row>
    <row r="626" spans="1:13" ht="14.4" x14ac:dyDescent="0.3">
      <c r="A626" s="14">
        <v>44909</v>
      </c>
      <c r="B626" s="5">
        <v>9</v>
      </c>
      <c r="C626" s="32">
        <f>VLOOKUP(B626,'area in m2'!B$2:C$10,2,FALSE)</f>
        <v>140</v>
      </c>
      <c r="D626" s="5" t="s">
        <v>12</v>
      </c>
      <c r="E626" s="6">
        <v>501.28895283814836</v>
      </c>
      <c r="F626" s="33" t="str">
        <f t="shared" si="18"/>
        <v>Below 530</v>
      </c>
      <c r="G626" s="33">
        <f t="shared" si="19"/>
        <v>526.35340048005583</v>
      </c>
      <c r="H626" s="7">
        <v>0.03</v>
      </c>
      <c r="I626" s="5" t="s">
        <v>14</v>
      </c>
      <c r="J626" s="5">
        <v>23</v>
      </c>
      <c r="K626" s="2"/>
      <c r="L626" s="2"/>
      <c r="M626" s="1"/>
    </row>
    <row r="627" spans="1:13" ht="14.4" x14ac:dyDescent="0.3">
      <c r="A627" s="14">
        <v>44832</v>
      </c>
      <c r="B627" s="5">
        <v>1</v>
      </c>
      <c r="C627" s="32">
        <f>VLOOKUP(B627,'area in m2'!B$2:C$10,2,FALSE)</f>
        <v>280</v>
      </c>
      <c r="D627" s="5" t="s">
        <v>11</v>
      </c>
      <c r="E627" s="6">
        <v>503.34006849081743</v>
      </c>
      <c r="F627" s="33" t="str">
        <f t="shared" si="18"/>
        <v>Below 530</v>
      </c>
      <c r="G627" s="33">
        <f t="shared" si="19"/>
        <v>528.50707191535832</v>
      </c>
      <c r="H627" s="7">
        <v>0.02</v>
      </c>
      <c r="I627" s="5" t="s">
        <v>14</v>
      </c>
      <c r="J627" s="5">
        <v>29</v>
      </c>
      <c r="K627" s="2"/>
      <c r="L627" s="2"/>
      <c r="M627" s="1"/>
    </row>
    <row r="628" spans="1:13" ht="14.4" x14ac:dyDescent="0.3">
      <c r="A628" s="14">
        <v>44883</v>
      </c>
      <c r="B628" s="5">
        <v>8</v>
      </c>
      <c r="C628" s="32">
        <f>VLOOKUP(B628,'area in m2'!B$2:C$10,2,FALSE)</f>
        <v>142</v>
      </c>
      <c r="D628" s="5" t="s">
        <v>11</v>
      </c>
      <c r="E628" s="6">
        <v>539.31790019317941</v>
      </c>
      <c r="F628" s="33" t="str">
        <f t="shared" si="18"/>
        <v>Over 530</v>
      </c>
      <c r="G628" s="33">
        <f t="shared" si="19"/>
        <v>566.28379520283841</v>
      </c>
      <c r="H628" s="7">
        <v>0.01</v>
      </c>
      <c r="I628" s="5" t="s">
        <v>14</v>
      </c>
      <c r="J628" s="5">
        <v>35</v>
      </c>
      <c r="K628" s="2"/>
      <c r="L628" s="2"/>
      <c r="M628" s="1"/>
    </row>
    <row r="629" spans="1:13" ht="14.4" x14ac:dyDescent="0.3">
      <c r="A629" s="14">
        <v>44682</v>
      </c>
      <c r="B629" s="5">
        <v>3</v>
      </c>
      <c r="C629" s="32">
        <f>VLOOKUP(B629,'area in m2'!B$2:C$10,2,FALSE)</f>
        <v>195</v>
      </c>
      <c r="D629" s="5" t="s">
        <v>11</v>
      </c>
      <c r="E629" s="6">
        <v>522.06468903930272</v>
      </c>
      <c r="F629" s="33" t="str">
        <f t="shared" si="18"/>
        <v>Below 530</v>
      </c>
      <c r="G629" s="33">
        <f t="shared" si="19"/>
        <v>548.16792349126786</v>
      </c>
      <c r="H629" s="7">
        <v>0.02</v>
      </c>
      <c r="I629" s="5" t="s">
        <v>14</v>
      </c>
      <c r="J629" s="5">
        <v>46</v>
      </c>
      <c r="K629" s="2"/>
      <c r="L629" s="2"/>
      <c r="M629" s="1"/>
    </row>
    <row r="630" spans="1:13" ht="14.4" x14ac:dyDescent="0.3">
      <c r="A630" s="14">
        <v>44691</v>
      </c>
      <c r="B630" s="5">
        <v>2</v>
      </c>
      <c r="C630" s="32">
        <f>VLOOKUP(B630,'area in m2'!B$2:C$10,2,FALSE)</f>
        <v>250</v>
      </c>
      <c r="D630" s="5" t="s">
        <v>11</v>
      </c>
      <c r="E630" s="6">
        <v>514.6804149659929</v>
      </c>
      <c r="F630" s="33" t="str">
        <f t="shared" si="18"/>
        <v>Below 530</v>
      </c>
      <c r="G630" s="33">
        <f t="shared" si="19"/>
        <v>540.41443571429261</v>
      </c>
      <c r="H630" s="7">
        <v>0.01</v>
      </c>
      <c r="I630" s="5" t="s">
        <v>15</v>
      </c>
      <c r="J630" s="5">
        <v>31</v>
      </c>
      <c r="K630" s="2"/>
      <c r="L630" s="2"/>
      <c r="M630" s="1"/>
    </row>
    <row r="631" spans="1:13" ht="14.4" x14ac:dyDescent="0.3">
      <c r="A631" s="14">
        <v>44732</v>
      </c>
      <c r="B631" s="5">
        <v>3</v>
      </c>
      <c r="C631" s="32">
        <f>VLOOKUP(B631,'area in m2'!B$2:C$10,2,FALSE)</f>
        <v>195</v>
      </c>
      <c r="D631" s="5" t="s">
        <v>11</v>
      </c>
      <c r="E631" s="6">
        <v>548.27828542503266</v>
      </c>
      <c r="F631" s="33" t="str">
        <f t="shared" si="18"/>
        <v>Over 530</v>
      </c>
      <c r="G631" s="33">
        <f t="shared" si="19"/>
        <v>575.69219969628432</v>
      </c>
      <c r="H631" s="7">
        <v>0.02</v>
      </c>
      <c r="I631" s="5" t="s">
        <v>14</v>
      </c>
      <c r="J631" s="5">
        <v>30</v>
      </c>
      <c r="K631" s="2"/>
      <c r="L631" s="2"/>
      <c r="M631" s="1"/>
    </row>
    <row r="632" spans="1:13" ht="14.4" x14ac:dyDescent="0.3">
      <c r="A632" s="14">
        <v>44866</v>
      </c>
      <c r="B632" s="5">
        <v>3</v>
      </c>
      <c r="C632" s="32">
        <f>VLOOKUP(B632,'area in m2'!B$2:C$10,2,FALSE)</f>
        <v>195</v>
      </c>
      <c r="D632" s="5" t="s">
        <v>11</v>
      </c>
      <c r="E632" s="6">
        <v>510.69792114966003</v>
      </c>
      <c r="F632" s="33" t="str">
        <f t="shared" si="18"/>
        <v>Below 530</v>
      </c>
      <c r="G632" s="33">
        <f t="shared" si="19"/>
        <v>536.23281720714306</v>
      </c>
      <c r="H632" s="7">
        <v>0</v>
      </c>
      <c r="I632" s="5" t="s">
        <v>15</v>
      </c>
      <c r="J632" s="5">
        <v>59</v>
      </c>
      <c r="K632" s="2"/>
      <c r="L632" s="2"/>
      <c r="M632" s="1"/>
    </row>
    <row r="633" spans="1:13" ht="14.4" x14ac:dyDescent="0.3">
      <c r="A633" s="14">
        <v>44814</v>
      </c>
      <c r="B633" s="5">
        <v>4</v>
      </c>
      <c r="C633" s="32">
        <f>VLOOKUP(B633,'area in m2'!B$2:C$10,2,FALSE)</f>
        <v>188</v>
      </c>
      <c r="D633" s="5" t="s">
        <v>11</v>
      </c>
      <c r="E633" s="6">
        <v>534.53923232434863</v>
      </c>
      <c r="F633" s="33" t="str">
        <f t="shared" si="18"/>
        <v>Over 530</v>
      </c>
      <c r="G633" s="33">
        <f t="shared" si="19"/>
        <v>561.26619394056604</v>
      </c>
      <c r="H633" s="7">
        <v>0.02</v>
      </c>
      <c r="I633" s="5" t="s">
        <v>14</v>
      </c>
      <c r="J633" s="5">
        <v>41</v>
      </c>
      <c r="K633" s="2"/>
      <c r="L633" s="2"/>
      <c r="M633" s="1"/>
    </row>
    <row r="634" spans="1:13" ht="14.4" x14ac:dyDescent="0.3">
      <c r="A634" s="14">
        <v>44734</v>
      </c>
      <c r="B634" s="5">
        <v>6</v>
      </c>
      <c r="C634" s="32">
        <f>VLOOKUP(B634,'area in m2'!B$2:C$10,2,FALSE)</f>
        <v>175</v>
      </c>
      <c r="D634" s="5" t="s">
        <v>13</v>
      </c>
      <c r="E634" s="6">
        <v>504.25680232212835</v>
      </c>
      <c r="F634" s="33" t="str">
        <f t="shared" si="18"/>
        <v>Below 530</v>
      </c>
      <c r="G634" s="33">
        <f t="shared" si="19"/>
        <v>529.46964243823481</v>
      </c>
      <c r="H634" s="7">
        <v>0.03</v>
      </c>
      <c r="I634" s="5" t="s">
        <v>14</v>
      </c>
      <c r="J634" s="5">
        <v>47</v>
      </c>
      <c r="K634" s="2"/>
      <c r="L634" s="2"/>
      <c r="M634" s="1"/>
    </row>
    <row r="635" spans="1:13" ht="14.4" x14ac:dyDescent="0.3">
      <c r="A635" s="14">
        <v>44574</v>
      </c>
      <c r="B635" s="5">
        <v>9</v>
      </c>
      <c r="C635" s="32">
        <f>VLOOKUP(B635,'area in m2'!B$2:C$10,2,FALSE)</f>
        <v>140</v>
      </c>
      <c r="D635" s="5" t="s">
        <v>12</v>
      </c>
      <c r="E635" s="6">
        <v>533.07847006041175</v>
      </c>
      <c r="F635" s="33" t="str">
        <f t="shared" si="18"/>
        <v>Over 530</v>
      </c>
      <c r="G635" s="33">
        <f t="shared" si="19"/>
        <v>559.73239356343231</v>
      </c>
      <c r="H635" s="7">
        <v>0.03</v>
      </c>
      <c r="I635" s="5" t="s">
        <v>14</v>
      </c>
      <c r="J635" s="5">
        <v>23</v>
      </c>
      <c r="K635" s="2"/>
      <c r="L635" s="2"/>
      <c r="M635" s="1"/>
    </row>
    <row r="636" spans="1:13" ht="14.4" x14ac:dyDescent="0.3">
      <c r="A636" s="14">
        <v>44866</v>
      </c>
      <c r="B636" s="5">
        <v>1</v>
      </c>
      <c r="C636" s="32">
        <f>VLOOKUP(B636,'area in m2'!B$2:C$10,2,FALSE)</f>
        <v>280</v>
      </c>
      <c r="D636" s="5" t="s">
        <v>11</v>
      </c>
      <c r="E636" s="6">
        <v>546.18555941195518</v>
      </c>
      <c r="F636" s="33" t="str">
        <f t="shared" si="18"/>
        <v>Over 530</v>
      </c>
      <c r="G636" s="33">
        <f t="shared" si="19"/>
        <v>573.49483738255299</v>
      </c>
      <c r="H636" s="7">
        <v>0.01</v>
      </c>
      <c r="I636" s="5" t="s">
        <v>14</v>
      </c>
      <c r="J636" s="5">
        <v>38</v>
      </c>
      <c r="K636" s="2"/>
      <c r="L636" s="2"/>
      <c r="M636" s="1"/>
    </row>
    <row r="637" spans="1:13" ht="14.4" x14ac:dyDescent="0.3">
      <c r="A637" s="14">
        <v>44803</v>
      </c>
      <c r="B637" s="5">
        <v>7</v>
      </c>
      <c r="C637" s="32">
        <f>VLOOKUP(B637,'area in m2'!B$2:C$10,2,FALSE)</f>
        <v>166</v>
      </c>
      <c r="D637" s="5" t="s">
        <v>12</v>
      </c>
      <c r="E637" s="6">
        <v>517.95498633118314</v>
      </c>
      <c r="F637" s="33" t="str">
        <f t="shared" si="18"/>
        <v>Below 530</v>
      </c>
      <c r="G637" s="33">
        <f t="shared" si="19"/>
        <v>543.85273564774229</v>
      </c>
      <c r="H637" s="7">
        <v>0.01</v>
      </c>
      <c r="I637" s="5" t="s">
        <v>15</v>
      </c>
      <c r="J637" s="5">
        <v>41</v>
      </c>
      <c r="K637" s="2"/>
      <c r="L637" s="2"/>
      <c r="M637" s="1"/>
    </row>
    <row r="638" spans="1:13" ht="14.4" x14ac:dyDescent="0.3">
      <c r="A638" s="14">
        <v>44586</v>
      </c>
      <c r="B638" s="5">
        <v>1</v>
      </c>
      <c r="C638" s="32">
        <f>VLOOKUP(B638,'area in m2'!B$2:C$10,2,FALSE)</f>
        <v>280</v>
      </c>
      <c r="D638" s="5" t="s">
        <v>11</v>
      </c>
      <c r="E638" s="6">
        <v>529.90941696490518</v>
      </c>
      <c r="F638" s="33" t="str">
        <f t="shared" si="18"/>
        <v>Below 530</v>
      </c>
      <c r="G638" s="33">
        <f t="shared" si="19"/>
        <v>556.40488781315048</v>
      </c>
      <c r="H638" s="7">
        <v>0.01</v>
      </c>
      <c r="I638" s="5" t="s">
        <v>14</v>
      </c>
      <c r="J638" s="5">
        <v>21</v>
      </c>
      <c r="K638" s="2"/>
      <c r="L638" s="2"/>
      <c r="M638" s="1"/>
    </row>
    <row r="639" spans="1:13" ht="14.4" x14ac:dyDescent="0.3">
      <c r="A639" s="14">
        <v>44737</v>
      </c>
      <c r="B639" s="5">
        <v>9</v>
      </c>
      <c r="C639" s="32">
        <f>VLOOKUP(B639,'area in m2'!B$2:C$10,2,FALSE)</f>
        <v>140</v>
      </c>
      <c r="D639" s="5" t="s">
        <v>12</v>
      </c>
      <c r="E639" s="6">
        <v>525.39046045464966</v>
      </c>
      <c r="F639" s="33" t="str">
        <f t="shared" si="18"/>
        <v>Below 530</v>
      </c>
      <c r="G639" s="33">
        <f t="shared" si="19"/>
        <v>551.65998347738218</v>
      </c>
      <c r="H639" s="7">
        <v>0.03</v>
      </c>
      <c r="I639" s="5" t="s">
        <v>15</v>
      </c>
      <c r="J639" s="5">
        <v>64</v>
      </c>
      <c r="K639" s="2"/>
      <c r="L639" s="2"/>
      <c r="M639" s="1"/>
    </row>
    <row r="640" spans="1:13" ht="14.4" x14ac:dyDescent="0.3">
      <c r="A640" s="14">
        <v>44859</v>
      </c>
      <c r="B640" s="5">
        <v>4</v>
      </c>
      <c r="C640" s="32">
        <f>VLOOKUP(B640,'area in m2'!B$2:C$10,2,FALSE)</f>
        <v>188</v>
      </c>
      <c r="D640" s="5" t="s">
        <v>11</v>
      </c>
      <c r="E640" s="6">
        <v>504.78443203100505</v>
      </c>
      <c r="F640" s="33" t="str">
        <f t="shared" si="18"/>
        <v>Below 530</v>
      </c>
      <c r="G640" s="33">
        <f t="shared" si="19"/>
        <v>530.02365363255535</v>
      </c>
      <c r="H640" s="7">
        <v>0.02</v>
      </c>
      <c r="I640" s="5" t="s">
        <v>15</v>
      </c>
      <c r="J640" s="5">
        <v>17</v>
      </c>
      <c r="K640" s="2"/>
      <c r="L640" s="2"/>
      <c r="M640" s="1"/>
    </row>
    <row r="641" spans="1:13" ht="14.4" x14ac:dyDescent="0.3">
      <c r="A641" s="14">
        <v>44580</v>
      </c>
      <c r="B641" s="5">
        <v>1</v>
      </c>
      <c r="C641" s="32">
        <f>VLOOKUP(B641,'area in m2'!B$2:C$10,2,FALSE)</f>
        <v>280</v>
      </c>
      <c r="D641" s="5" t="s">
        <v>11</v>
      </c>
      <c r="E641" s="6">
        <v>505.48107830802655</v>
      </c>
      <c r="F641" s="33" t="str">
        <f t="shared" si="18"/>
        <v>Below 530</v>
      </c>
      <c r="G641" s="33">
        <f t="shared" si="19"/>
        <v>530.75513222342795</v>
      </c>
      <c r="H641" s="7">
        <v>0.03</v>
      </c>
      <c r="I641" s="5" t="s">
        <v>14</v>
      </c>
      <c r="J641" s="5">
        <v>41</v>
      </c>
      <c r="K641" s="2"/>
      <c r="L641" s="2"/>
      <c r="M641" s="1"/>
    </row>
    <row r="642" spans="1:13" ht="14.4" x14ac:dyDescent="0.3">
      <c r="A642" s="14">
        <v>44628</v>
      </c>
      <c r="B642" s="5">
        <v>1</v>
      </c>
      <c r="C642" s="32">
        <f>VLOOKUP(B642,'area in m2'!B$2:C$10,2,FALSE)</f>
        <v>280</v>
      </c>
      <c r="D642" s="5" t="s">
        <v>11</v>
      </c>
      <c r="E642" s="6">
        <v>515.63173352261128</v>
      </c>
      <c r="F642" s="33" t="str">
        <f t="shared" si="18"/>
        <v>Below 530</v>
      </c>
      <c r="G642" s="33">
        <f t="shared" si="19"/>
        <v>541.41332019874187</v>
      </c>
      <c r="H642" s="7">
        <v>0.03</v>
      </c>
      <c r="I642" s="5" t="s">
        <v>14</v>
      </c>
      <c r="J642" s="5">
        <v>23</v>
      </c>
      <c r="K642" s="2"/>
      <c r="L642" s="2"/>
      <c r="M642" s="1"/>
    </row>
    <row r="643" spans="1:13" ht="14.4" x14ac:dyDescent="0.3">
      <c r="A643" s="14">
        <v>44633</v>
      </c>
      <c r="B643" s="5">
        <v>4</v>
      </c>
      <c r="C643" s="32">
        <f>VLOOKUP(B643,'area in m2'!B$2:C$10,2,FALSE)</f>
        <v>188</v>
      </c>
      <c r="D643" s="5" t="s">
        <v>11</v>
      </c>
      <c r="E643" s="6">
        <v>530.26828441546604</v>
      </c>
      <c r="F643" s="33" t="str">
        <f t="shared" si="18"/>
        <v>Over 530</v>
      </c>
      <c r="G643" s="33">
        <f t="shared" si="19"/>
        <v>556.78169863623941</v>
      </c>
      <c r="H643" s="7">
        <v>0</v>
      </c>
      <c r="I643" s="5" t="s">
        <v>14</v>
      </c>
      <c r="J643" s="5">
        <v>62</v>
      </c>
      <c r="K643" s="2"/>
      <c r="L643" s="2"/>
      <c r="M643" s="1"/>
    </row>
    <row r="644" spans="1:13" ht="14.4" x14ac:dyDescent="0.3">
      <c r="A644" s="14">
        <v>44610</v>
      </c>
      <c r="B644" s="5">
        <v>3</v>
      </c>
      <c r="C644" s="32">
        <f>VLOOKUP(B644,'area in m2'!B$2:C$10,2,FALSE)</f>
        <v>195</v>
      </c>
      <c r="D644" s="5" t="s">
        <v>11</v>
      </c>
      <c r="E644" s="6">
        <v>549.55340633273045</v>
      </c>
      <c r="F644" s="33" t="str">
        <f t="shared" si="18"/>
        <v>Over 530</v>
      </c>
      <c r="G644" s="33">
        <f t="shared" si="19"/>
        <v>577.03107664936704</v>
      </c>
      <c r="H644" s="7">
        <v>0.01</v>
      </c>
      <c r="I644" s="5" t="s">
        <v>14</v>
      </c>
      <c r="J644" s="5">
        <v>46</v>
      </c>
      <c r="K644" s="2"/>
      <c r="L644" s="2"/>
      <c r="M644" s="1"/>
    </row>
    <row r="645" spans="1:13" ht="14.4" x14ac:dyDescent="0.3">
      <c r="A645" s="14">
        <v>44775</v>
      </c>
      <c r="B645" s="5">
        <v>4</v>
      </c>
      <c r="C645" s="32">
        <f>VLOOKUP(B645,'area in m2'!B$2:C$10,2,FALSE)</f>
        <v>188</v>
      </c>
      <c r="D645" s="5" t="s">
        <v>11</v>
      </c>
      <c r="E645" s="6">
        <v>544.77566079511962</v>
      </c>
      <c r="F645" s="33" t="str">
        <f t="shared" ref="F645:F708" si="20">IF(E645&gt;530,"Over 530","Below 530")</f>
        <v>Over 530</v>
      </c>
      <c r="G645" s="33">
        <f t="shared" ref="G645:G708" si="21">+E645*1.05</f>
        <v>572.01444383487558</v>
      </c>
      <c r="H645" s="7">
        <v>0.01</v>
      </c>
      <c r="I645" s="5" t="s">
        <v>14</v>
      </c>
      <c r="J645" s="5">
        <v>41</v>
      </c>
      <c r="K645" s="2"/>
      <c r="L645" s="2"/>
      <c r="M645" s="1"/>
    </row>
    <row r="646" spans="1:13" ht="14.4" x14ac:dyDescent="0.3">
      <c r="A646" s="14">
        <v>44818</v>
      </c>
      <c r="B646" s="5">
        <v>8</v>
      </c>
      <c r="C646" s="32">
        <f>VLOOKUP(B646,'area in m2'!B$2:C$10,2,FALSE)</f>
        <v>142</v>
      </c>
      <c r="D646" s="5" t="s">
        <v>12</v>
      </c>
      <c r="E646" s="6">
        <v>504.35662908520771</v>
      </c>
      <c r="F646" s="33" t="str">
        <f t="shared" si="20"/>
        <v>Below 530</v>
      </c>
      <c r="G646" s="33">
        <f t="shared" si="21"/>
        <v>529.57446053946808</v>
      </c>
      <c r="H646" s="7">
        <v>0.03</v>
      </c>
      <c r="I646" s="5" t="s">
        <v>14</v>
      </c>
      <c r="J646" s="5">
        <v>40</v>
      </c>
      <c r="K646" s="2"/>
      <c r="L646" s="2"/>
      <c r="M646" s="1"/>
    </row>
    <row r="647" spans="1:13" ht="14.4" x14ac:dyDescent="0.3">
      <c r="A647" s="14">
        <v>44677</v>
      </c>
      <c r="B647" s="5">
        <v>5</v>
      </c>
      <c r="C647" s="32">
        <f>VLOOKUP(B647,'area in m2'!B$2:C$10,2,FALSE)</f>
        <v>200</v>
      </c>
      <c r="D647" s="5" t="s">
        <v>13</v>
      </c>
      <c r="E647" s="6">
        <v>538.2869108014811</v>
      </c>
      <c r="F647" s="33" t="str">
        <f t="shared" si="20"/>
        <v>Over 530</v>
      </c>
      <c r="G647" s="33">
        <f t="shared" si="21"/>
        <v>565.20125634155522</v>
      </c>
      <c r="H647" s="7">
        <v>0.01</v>
      </c>
      <c r="I647" s="5" t="s">
        <v>14</v>
      </c>
      <c r="J647" s="5">
        <v>33</v>
      </c>
      <c r="K647" s="2"/>
      <c r="L647" s="2"/>
      <c r="M647" s="1"/>
    </row>
    <row r="648" spans="1:13" ht="14.4" x14ac:dyDescent="0.3">
      <c r="A648" s="14">
        <v>44889</v>
      </c>
      <c r="B648" s="5">
        <v>9</v>
      </c>
      <c r="C648" s="32">
        <f>VLOOKUP(B648,'area in m2'!B$2:C$10,2,FALSE)</f>
        <v>140</v>
      </c>
      <c r="D648" s="5" t="s">
        <v>12</v>
      </c>
      <c r="E648" s="6">
        <v>513.568798428234</v>
      </c>
      <c r="F648" s="33" t="str">
        <f t="shared" si="20"/>
        <v>Below 530</v>
      </c>
      <c r="G648" s="33">
        <f t="shared" si="21"/>
        <v>539.24723834964573</v>
      </c>
      <c r="H648" s="7">
        <v>0.02</v>
      </c>
      <c r="I648" s="5" t="s">
        <v>14</v>
      </c>
      <c r="J648" s="5">
        <v>38</v>
      </c>
      <c r="K648" s="2"/>
      <c r="L648" s="2"/>
      <c r="M648" s="1"/>
    </row>
    <row r="649" spans="1:13" ht="14.4" x14ac:dyDescent="0.3">
      <c r="A649" s="14">
        <v>44919</v>
      </c>
      <c r="B649" s="5">
        <v>4</v>
      </c>
      <c r="C649" s="32">
        <f>VLOOKUP(B649,'area in m2'!B$2:C$10,2,FALSE)</f>
        <v>188</v>
      </c>
      <c r="D649" s="5" t="s">
        <v>11</v>
      </c>
      <c r="E649" s="6">
        <v>547.04871732136235</v>
      </c>
      <c r="F649" s="33" t="str">
        <f t="shared" si="20"/>
        <v>Over 530</v>
      </c>
      <c r="G649" s="33">
        <f t="shared" si="21"/>
        <v>574.40115318743051</v>
      </c>
      <c r="H649" s="7">
        <v>0.01</v>
      </c>
      <c r="I649" s="5" t="s">
        <v>14</v>
      </c>
      <c r="J649" s="5">
        <v>29</v>
      </c>
      <c r="K649" s="2"/>
      <c r="L649" s="2"/>
      <c r="M649" s="1"/>
    </row>
    <row r="650" spans="1:13" ht="14.4" x14ac:dyDescent="0.3">
      <c r="A650" s="14">
        <v>44722</v>
      </c>
      <c r="B650" s="5">
        <v>3</v>
      </c>
      <c r="C650" s="32">
        <f>VLOOKUP(B650,'area in m2'!B$2:C$10,2,FALSE)</f>
        <v>195</v>
      </c>
      <c r="D650" s="5" t="s">
        <v>11</v>
      </c>
      <c r="E650" s="6">
        <v>529.71064752651364</v>
      </c>
      <c r="F650" s="33" t="str">
        <f t="shared" si="20"/>
        <v>Below 530</v>
      </c>
      <c r="G650" s="33">
        <f t="shared" si="21"/>
        <v>556.19617990283939</v>
      </c>
      <c r="H650" s="7">
        <v>0.02</v>
      </c>
      <c r="I650" s="5" t="s">
        <v>14</v>
      </c>
      <c r="J650" s="5">
        <v>33</v>
      </c>
      <c r="K650" s="2"/>
      <c r="L650" s="2"/>
      <c r="M650" s="1"/>
    </row>
    <row r="651" spans="1:13" ht="14.4" x14ac:dyDescent="0.3">
      <c r="A651" s="14">
        <v>44908</v>
      </c>
      <c r="B651" s="5">
        <v>4</v>
      </c>
      <c r="C651" s="32">
        <f>VLOOKUP(B651,'area in m2'!B$2:C$10,2,FALSE)</f>
        <v>188</v>
      </c>
      <c r="D651" s="5" t="s">
        <v>11</v>
      </c>
      <c r="E651" s="6">
        <v>530.05583695087353</v>
      </c>
      <c r="F651" s="33" t="str">
        <f t="shared" si="20"/>
        <v>Over 530</v>
      </c>
      <c r="G651" s="33">
        <f t="shared" si="21"/>
        <v>556.5586287984172</v>
      </c>
      <c r="H651" s="7">
        <v>0</v>
      </c>
      <c r="I651" s="5" t="s">
        <v>15</v>
      </c>
      <c r="J651" s="5">
        <v>40</v>
      </c>
      <c r="K651" s="2"/>
      <c r="L651" s="2"/>
      <c r="M651" s="1"/>
    </row>
    <row r="652" spans="1:13" ht="14.4" x14ac:dyDescent="0.3">
      <c r="A652" s="14">
        <v>44690</v>
      </c>
      <c r="B652" s="5">
        <v>9</v>
      </c>
      <c r="C652" s="32">
        <f>VLOOKUP(B652,'area in m2'!B$2:C$10,2,FALSE)</f>
        <v>140</v>
      </c>
      <c r="D652" s="5" t="s">
        <v>12</v>
      </c>
      <c r="E652" s="6">
        <v>549.3853539593274</v>
      </c>
      <c r="F652" s="33" t="str">
        <f t="shared" si="20"/>
        <v>Over 530</v>
      </c>
      <c r="G652" s="33">
        <f t="shared" si="21"/>
        <v>576.85462165729382</v>
      </c>
      <c r="H652" s="7">
        <v>0</v>
      </c>
      <c r="I652" s="5" t="s">
        <v>14</v>
      </c>
      <c r="J652" s="5">
        <v>36</v>
      </c>
      <c r="K652" s="2"/>
      <c r="L652" s="2"/>
      <c r="M652" s="1"/>
    </row>
    <row r="653" spans="1:13" ht="14.4" x14ac:dyDescent="0.3">
      <c r="A653" s="14">
        <v>44851</v>
      </c>
      <c r="B653" s="5">
        <v>5</v>
      </c>
      <c r="C653" s="32">
        <f>VLOOKUP(B653,'area in m2'!B$2:C$10,2,FALSE)</f>
        <v>200</v>
      </c>
      <c r="D653" s="5" t="s">
        <v>13</v>
      </c>
      <c r="E653" s="6">
        <v>538.8115819887289</v>
      </c>
      <c r="F653" s="33" t="str">
        <f t="shared" si="20"/>
        <v>Over 530</v>
      </c>
      <c r="G653" s="33">
        <f t="shared" si="21"/>
        <v>565.75216108816539</v>
      </c>
      <c r="H653" s="7">
        <v>0.03</v>
      </c>
      <c r="I653" s="5" t="s">
        <v>15</v>
      </c>
      <c r="J653" s="5">
        <v>52</v>
      </c>
      <c r="K653" s="2"/>
      <c r="L653" s="2"/>
      <c r="M653" s="1"/>
    </row>
    <row r="654" spans="1:13" ht="14.4" x14ac:dyDescent="0.3">
      <c r="A654" s="14">
        <v>44812</v>
      </c>
      <c r="B654" s="5">
        <v>5</v>
      </c>
      <c r="C654" s="32">
        <f>VLOOKUP(B654,'area in m2'!B$2:C$10,2,FALSE)</f>
        <v>200</v>
      </c>
      <c r="D654" s="5" t="s">
        <v>13</v>
      </c>
      <c r="E654" s="6">
        <v>536.77600302544397</v>
      </c>
      <c r="F654" s="33" t="str">
        <f t="shared" si="20"/>
        <v>Over 530</v>
      </c>
      <c r="G654" s="33">
        <f t="shared" si="21"/>
        <v>563.61480317671624</v>
      </c>
      <c r="H654" s="7">
        <v>0.02</v>
      </c>
      <c r="I654" s="5" t="s">
        <v>14</v>
      </c>
      <c r="J654" s="5">
        <v>46</v>
      </c>
      <c r="K654" s="2"/>
      <c r="L654" s="2"/>
      <c r="M654" s="1"/>
    </row>
    <row r="655" spans="1:13" ht="14.4" x14ac:dyDescent="0.3">
      <c r="A655" s="14">
        <v>44708</v>
      </c>
      <c r="B655" s="5">
        <v>4</v>
      </c>
      <c r="C655" s="32">
        <f>VLOOKUP(B655,'area in m2'!B$2:C$10,2,FALSE)</f>
        <v>188</v>
      </c>
      <c r="D655" s="5" t="s">
        <v>11</v>
      </c>
      <c r="E655" s="6">
        <v>522.37786306209182</v>
      </c>
      <c r="F655" s="33" t="str">
        <f t="shared" si="20"/>
        <v>Below 530</v>
      </c>
      <c r="G655" s="33">
        <f t="shared" si="21"/>
        <v>548.49675621519646</v>
      </c>
      <c r="H655" s="7">
        <v>0.02</v>
      </c>
      <c r="I655" s="5" t="s">
        <v>14</v>
      </c>
      <c r="J655" s="5">
        <v>29</v>
      </c>
      <c r="K655" s="2"/>
      <c r="L655" s="2"/>
      <c r="M655" s="1"/>
    </row>
    <row r="656" spans="1:13" ht="14.4" x14ac:dyDescent="0.3">
      <c r="A656" s="14">
        <v>44670</v>
      </c>
      <c r="B656" s="5">
        <v>6</v>
      </c>
      <c r="C656" s="32">
        <f>VLOOKUP(B656,'area in m2'!B$2:C$10,2,FALSE)</f>
        <v>175</v>
      </c>
      <c r="D656" s="5" t="s">
        <v>13</v>
      </c>
      <c r="E656" s="6">
        <v>522.033900165874</v>
      </c>
      <c r="F656" s="33" t="str">
        <f t="shared" si="20"/>
        <v>Below 530</v>
      </c>
      <c r="G656" s="33">
        <f t="shared" si="21"/>
        <v>548.13559517416775</v>
      </c>
      <c r="H656" s="7">
        <v>0</v>
      </c>
      <c r="I656" s="5" t="s">
        <v>14</v>
      </c>
      <c r="J656" s="5">
        <v>37</v>
      </c>
      <c r="K656" s="2"/>
      <c r="L656" s="2"/>
      <c r="M656" s="1"/>
    </row>
    <row r="657" spans="1:13" ht="14.4" x14ac:dyDescent="0.3">
      <c r="A657" s="14">
        <v>44738</v>
      </c>
      <c r="B657" s="5">
        <v>2</v>
      </c>
      <c r="C657" s="32">
        <f>VLOOKUP(B657,'area in m2'!B$2:C$10,2,FALSE)</f>
        <v>250</v>
      </c>
      <c r="D657" s="5" t="s">
        <v>11</v>
      </c>
      <c r="E657" s="6">
        <v>510.92517789339763</v>
      </c>
      <c r="F657" s="33" t="str">
        <f t="shared" si="20"/>
        <v>Below 530</v>
      </c>
      <c r="G657" s="33">
        <f t="shared" si="21"/>
        <v>536.47143678806754</v>
      </c>
      <c r="H657" s="7">
        <v>0.01</v>
      </c>
      <c r="I657" s="5" t="s">
        <v>14</v>
      </c>
      <c r="J657" s="5">
        <v>40</v>
      </c>
      <c r="K657" s="2"/>
      <c r="L657" s="2"/>
      <c r="M657" s="1"/>
    </row>
    <row r="658" spans="1:13" ht="14.4" x14ac:dyDescent="0.3">
      <c r="A658" s="14">
        <v>44917</v>
      </c>
      <c r="B658" s="5">
        <v>9</v>
      </c>
      <c r="C658" s="32">
        <f>VLOOKUP(B658,'area in m2'!B$2:C$10,2,FALSE)</f>
        <v>140</v>
      </c>
      <c r="D658" s="5" t="s">
        <v>12</v>
      </c>
      <c r="E658" s="6">
        <v>512.35483074345484</v>
      </c>
      <c r="F658" s="33" t="str">
        <f t="shared" si="20"/>
        <v>Below 530</v>
      </c>
      <c r="G658" s="33">
        <f t="shared" si="21"/>
        <v>537.97257228062756</v>
      </c>
      <c r="H658" s="7">
        <v>0</v>
      </c>
      <c r="I658" s="5" t="s">
        <v>14</v>
      </c>
      <c r="J658" s="5">
        <v>47</v>
      </c>
      <c r="K658" s="2"/>
      <c r="L658" s="2"/>
      <c r="M658" s="1"/>
    </row>
    <row r="659" spans="1:13" ht="14.4" x14ac:dyDescent="0.3">
      <c r="A659" s="14">
        <v>44687</v>
      </c>
      <c r="B659" s="5">
        <v>2</v>
      </c>
      <c r="C659" s="32">
        <f>VLOOKUP(B659,'area in m2'!B$2:C$10,2,FALSE)</f>
        <v>250</v>
      </c>
      <c r="D659" s="5" t="s">
        <v>11</v>
      </c>
      <c r="E659" s="6">
        <v>529.8660328805081</v>
      </c>
      <c r="F659" s="33" t="str">
        <f t="shared" si="20"/>
        <v>Below 530</v>
      </c>
      <c r="G659" s="33">
        <f t="shared" si="21"/>
        <v>556.35933452453355</v>
      </c>
      <c r="H659" s="7">
        <v>0.02</v>
      </c>
      <c r="I659" s="5" t="s">
        <v>14</v>
      </c>
      <c r="J659" s="5">
        <v>39</v>
      </c>
      <c r="K659" s="2"/>
      <c r="L659" s="2"/>
      <c r="M659" s="1"/>
    </row>
    <row r="660" spans="1:13" ht="14.4" x14ac:dyDescent="0.3">
      <c r="A660" s="14">
        <v>44870</v>
      </c>
      <c r="B660" s="5">
        <v>4</v>
      </c>
      <c r="C660" s="32">
        <f>VLOOKUP(B660,'area in m2'!B$2:C$10,2,FALSE)</f>
        <v>188</v>
      </c>
      <c r="D660" s="5" t="s">
        <v>11</v>
      </c>
      <c r="E660" s="6">
        <v>535.28122750353759</v>
      </c>
      <c r="F660" s="33" t="str">
        <f t="shared" si="20"/>
        <v>Over 530</v>
      </c>
      <c r="G660" s="33">
        <f t="shared" si="21"/>
        <v>562.04528887871447</v>
      </c>
      <c r="H660" s="7">
        <v>0.02</v>
      </c>
      <c r="I660" s="5" t="s">
        <v>15</v>
      </c>
      <c r="J660" s="5">
        <v>47</v>
      </c>
      <c r="K660" s="2"/>
      <c r="L660" s="2"/>
      <c r="M660" s="1"/>
    </row>
    <row r="661" spans="1:13" ht="14.4" x14ac:dyDescent="0.3">
      <c r="A661" s="14">
        <v>44819</v>
      </c>
      <c r="B661" s="5">
        <v>6</v>
      </c>
      <c r="C661" s="32">
        <f>VLOOKUP(B661,'area in m2'!B$2:C$10,2,FALSE)</f>
        <v>175</v>
      </c>
      <c r="D661" s="5" t="s">
        <v>13</v>
      </c>
      <c r="E661" s="6">
        <v>519.55903254121222</v>
      </c>
      <c r="F661" s="33" t="str">
        <f t="shared" si="20"/>
        <v>Below 530</v>
      </c>
      <c r="G661" s="33">
        <f t="shared" si="21"/>
        <v>545.53698416827285</v>
      </c>
      <c r="H661" s="7">
        <v>0.03</v>
      </c>
      <c r="I661" s="5" t="s">
        <v>15</v>
      </c>
      <c r="J661" s="5">
        <v>50</v>
      </c>
      <c r="K661" s="2"/>
      <c r="L661" s="2"/>
      <c r="M661" s="1"/>
    </row>
    <row r="662" spans="1:13" ht="14.4" x14ac:dyDescent="0.3">
      <c r="A662" s="14">
        <v>44869</v>
      </c>
      <c r="B662" s="5">
        <v>4</v>
      </c>
      <c r="C662" s="32">
        <f>VLOOKUP(B662,'area in m2'!B$2:C$10,2,FALSE)</f>
        <v>188</v>
      </c>
      <c r="D662" s="5" t="s">
        <v>11</v>
      </c>
      <c r="E662" s="6">
        <v>518.00753188659655</v>
      </c>
      <c r="F662" s="33" t="str">
        <f t="shared" si="20"/>
        <v>Below 530</v>
      </c>
      <c r="G662" s="33">
        <f t="shared" si="21"/>
        <v>543.90790848092638</v>
      </c>
      <c r="H662" s="7">
        <v>0</v>
      </c>
      <c r="I662" s="5" t="s">
        <v>15</v>
      </c>
      <c r="J662" s="5">
        <v>30</v>
      </c>
      <c r="K662" s="2"/>
      <c r="L662" s="2"/>
      <c r="M662" s="1"/>
    </row>
    <row r="663" spans="1:13" ht="14.4" x14ac:dyDescent="0.3">
      <c r="A663" s="14">
        <v>44900</v>
      </c>
      <c r="B663" s="5">
        <v>3</v>
      </c>
      <c r="C663" s="32">
        <f>VLOOKUP(B663,'area in m2'!B$2:C$10,2,FALSE)</f>
        <v>195</v>
      </c>
      <c r="D663" s="5" t="s">
        <v>11</v>
      </c>
      <c r="E663" s="6">
        <v>521.70039646871646</v>
      </c>
      <c r="F663" s="33" t="str">
        <f t="shared" si="20"/>
        <v>Below 530</v>
      </c>
      <c r="G663" s="33">
        <f t="shared" si="21"/>
        <v>547.78541629215226</v>
      </c>
      <c r="H663" s="7">
        <v>0</v>
      </c>
      <c r="I663" s="5" t="s">
        <v>14</v>
      </c>
      <c r="J663" s="5">
        <v>24</v>
      </c>
      <c r="K663" s="2"/>
      <c r="L663" s="2"/>
      <c r="M663" s="1"/>
    </row>
    <row r="664" spans="1:13" ht="14.4" x14ac:dyDescent="0.3">
      <c r="A664" s="14">
        <v>44778</v>
      </c>
      <c r="B664" s="5">
        <v>8</v>
      </c>
      <c r="C664" s="32">
        <f>VLOOKUP(B664,'area in m2'!B$2:C$10,2,FALSE)</f>
        <v>142</v>
      </c>
      <c r="D664" s="5" t="s">
        <v>12</v>
      </c>
      <c r="E664" s="6">
        <v>511.36656431489064</v>
      </c>
      <c r="F664" s="33" t="str">
        <f t="shared" si="20"/>
        <v>Below 530</v>
      </c>
      <c r="G664" s="33">
        <f t="shared" si="21"/>
        <v>536.93489253063524</v>
      </c>
      <c r="H664" s="7">
        <v>0.03</v>
      </c>
      <c r="I664" s="5" t="s">
        <v>14</v>
      </c>
      <c r="J664" s="5">
        <v>24</v>
      </c>
      <c r="K664" s="2"/>
      <c r="L664" s="2"/>
      <c r="M664" s="1"/>
    </row>
    <row r="665" spans="1:13" ht="14.4" x14ac:dyDescent="0.3">
      <c r="A665" s="14">
        <v>44564</v>
      </c>
      <c r="B665" s="5">
        <v>6</v>
      </c>
      <c r="C665" s="32">
        <f>VLOOKUP(B665,'area in m2'!B$2:C$10,2,FALSE)</f>
        <v>175</v>
      </c>
      <c r="D665" s="5" t="s">
        <v>13</v>
      </c>
      <c r="E665" s="6">
        <v>530.93114975799381</v>
      </c>
      <c r="F665" s="33" t="str">
        <f t="shared" si="20"/>
        <v>Over 530</v>
      </c>
      <c r="G665" s="33">
        <f t="shared" si="21"/>
        <v>557.4777072458935</v>
      </c>
      <c r="H665" s="7">
        <v>0</v>
      </c>
      <c r="I665" s="5" t="s">
        <v>14</v>
      </c>
      <c r="J665" s="5">
        <v>22</v>
      </c>
      <c r="K665" s="2"/>
      <c r="L665" s="2"/>
      <c r="M665" s="1"/>
    </row>
    <row r="666" spans="1:13" ht="14.4" x14ac:dyDescent="0.3">
      <c r="A666" s="14">
        <v>44817</v>
      </c>
      <c r="B666" s="5">
        <v>1</v>
      </c>
      <c r="C666" s="32">
        <f>VLOOKUP(B666,'area in m2'!B$2:C$10,2,FALSE)</f>
        <v>280</v>
      </c>
      <c r="D666" s="5" t="s">
        <v>11</v>
      </c>
      <c r="E666" s="6">
        <v>538.80650393926862</v>
      </c>
      <c r="F666" s="33" t="str">
        <f t="shared" si="20"/>
        <v>Over 530</v>
      </c>
      <c r="G666" s="33">
        <f t="shared" si="21"/>
        <v>565.74682913623212</v>
      </c>
      <c r="H666" s="7">
        <v>0</v>
      </c>
      <c r="I666" s="5" t="s">
        <v>15</v>
      </c>
      <c r="J666" s="5">
        <v>45</v>
      </c>
      <c r="K666" s="2"/>
      <c r="L666" s="2"/>
      <c r="M666" s="1"/>
    </row>
    <row r="667" spans="1:13" ht="14.4" x14ac:dyDescent="0.3">
      <c r="A667" s="14">
        <v>44788</v>
      </c>
      <c r="B667" s="5">
        <v>3</v>
      </c>
      <c r="C667" s="32">
        <f>VLOOKUP(B667,'area in m2'!B$2:C$10,2,FALSE)</f>
        <v>195</v>
      </c>
      <c r="D667" s="5" t="s">
        <v>11</v>
      </c>
      <c r="E667" s="6">
        <v>517.56604251553563</v>
      </c>
      <c r="F667" s="33" t="str">
        <f t="shared" si="20"/>
        <v>Below 530</v>
      </c>
      <c r="G667" s="33">
        <f t="shared" si="21"/>
        <v>543.44434464131245</v>
      </c>
      <c r="H667" s="7">
        <v>0.01</v>
      </c>
      <c r="I667" s="5" t="s">
        <v>14</v>
      </c>
      <c r="J667" s="5">
        <v>43</v>
      </c>
      <c r="K667" s="2"/>
      <c r="L667" s="2"/>
      <c r="M667" s="1"/>
    </row>
    <row r="668" spans="1:13" ht="14.4" x14ac:dyDescent="0.3">
      <c r="A668" s="14">
        <v>44769</v>
      </c>
      <c r="B668" s="5">
        <v>6</v>
      </c>
      <c r="C668" s="32">
        <f>VLOOKUP(B668,'area in m2'!B$2:C$10,2,FALSE)</f>
        <v>175</v>
      </c>
      <c r="D668" s="5" t="s">
        <v>13</v>
      </c>
      <c r="E668" s="6">
        <v>503.2014665674651</v>
      </c>
      <c r="F668" s="33" t="str">
        <f t="shared" si="20"/>
        <v>Below 530</v>
      </c>
      <c r="G668" s="33">
        <f t="shared" si="21"/>
        <v>528.3615398958384</v>
      </c>
      <c r="H668" s="7">
        <v>0.03</v>
      </c>
      <c r="I668" s="5" t="s">
        <v>14</v>
      </c>
      <c r="J668" s="5">
        <v>46</v>
      </c>
      <c r="K668" s="2"/>
      <c r="L668" s="2"/>
      <c r="M668" s="1"/>
    </row>
    <row r="669" spans="1:13" ht="14.4" x14ac:dyDescent="0.3">
      <c r="A669" s="14">
        <v>44751</v>
      </c>
      <c r="B669" s="5">
        <v>2</v>
      </c>
      <c r="C669" s="32">
        <f>VLOOKUP(B669,'area in m2'!B$2:C$10,2,FALSE)</f>
        <v>250</v>
      </c>
      <c r="D669" s="5" t="s">
        <v>11</v>
      </c>
      <c r="E669" s="6">
        <v>501.96749411094061</v>
      </c>
      <c r="F669" s="33" t="str">
        <f t="shared" si="20"/>
        <v>Below 530</v>
      </c>
      <c r="G669" s="33">
        <f t="shared" si="21"/>
        <v>527.06586881648764</v>
      </c>
      <c r="H669" s="7">
        <v>0.01</v>
      </c>
      <c r="I669" s="5" t="s">
        <v>15</v>
      </c>
      <c r="J669" s="5">
        <v>42</v>
      </c>
      <c r="K669" s="2"/>
      <c r="L669" s="2"/>
      <c r="M669" s="1"/>
    </row>
    <row r="670" spans="1:13" ht="14.4" x14ac:dyDescent="0.3">
      <c r="A670" s="14">
        <v>44642</v>
      </c>
      <c r="B670" s="5">
        <v>3</v>
      </c>
      <c r="C670" s="32">
        <f>VLOOKUP(B670,'area in m2'!B$2:C$10,2,FALSE)</f>
        <v>195</v>
      </c>
      <c r="D670" s="5" t="s">
        <v>11</v>
      </c>
      <c r="E670" s="6">
        <v>515.01843363902026</v>
      </c>
      <c r="F670" s="33" t="str">
        <f t="shared" si="20"/>
        <v>Below 530</v>
      </c>
      <c r="G670" s="33">
        <f t="shared" si="21"/>
        <v>540.76935532097127</v>
      </c>
      <c r="H670" s="7">
        <v>0</v>
      </c>
      <c r="I670" s="5" t="s">
        <v>15</v>
      </c>
      <c r="J670" s="5">
        <v>23</v>
      </c>
      <c r="K670" s="2"/>
      <c r="L670" s="2"/>
      <c r="M670" s="1"/>
    </row>
    <row r="671" spans="1:13" ht="14.4" x14ac:dyDescent="0.3">
      <c r="A671" s="14">
        <v>44619</v>
      </c>
      <c r="B671" s="5">
        <v>1</v>
      </c>
      <c r="C671" s="32">
        <f>VLOOKUP(B671,'area in m2'!B$2:C$10,2,FALSE)</f>
        <v>280</v>
      </c>
      <c r="D671" s="5" t="s">
        <v>11</v>
      </c>
      <c r="E671" s="6">
        <v>526.68765246250678</v>
      </c>
      <c r="F671" s="33" t="str">
        <f t="shared" si="20"/>
        <v>Below 530</v>
      </c>
      <c r="G671" s="33">
        <f t="shared" si="21"/>
        <v>553.02203508563218</v>
      </c>
      <c r="H671" s="7">
        <v>0.03</v>
      </c>
      <c r="I671" s="5" t="s">
        <v>14</v>
      </c>
      <c r="J671" s="5">
        <v>29</v>
      </c>
      <c r="K671" s="2"/>
      <c r="L671" s="2"/>
      <c r="M671" s="1"/>
    </row>
    <row r="672" spans="1:13" ht="14.4" x14ac:dyDescent="0.3">
      <c r="A672" s="14">
        <v>44585</v>
      </c>
      <c r="B672" s="5">
        <v>5</v>
      </c>
      <c r="C672" s="32">
        <f>VLOOKUP(B672,'area in m2'!B$2:C$10,2,FALSE)</f>
        <v>200</v>
      </c>
      <c r="D672" s="5" t="s">
        <v>13</v>
      </c>
      <c r="E672" s="6">
        <v>517.28613752249476</v>
      </c>
      <c r="F672" s="33" t="str">
        <f t="shared" si="20"/>
        <v>Below 530</v>
      </c>
      <c r="G672" s="33">
        <f t="shared" si="21"/>
        <v>543.15044439861947</v>
      </c>
      <c r="H672" s="7">
        <v>0.03</v>
      </c>
      <c r="I672" s="5" t="s">
        <v>14</v>
      </c>
      <c r="J672" s="5">
        <v>46</v>
      </c>
      <c r="K672" s="2"/>
      <c r="L672" s="2"/>
      <c r="M672" s="1"/>
    </row>
    <row r="673" spans="1:13" ht="14.4" x14ac:dyDescent="0.3">
      <c r="A673" s="14">
        <v>44675</v>
      </c>
      <c r="B673" s="5">
        <v>1</v>
      </c>
      <c r="C673" s="32">
        <f>VLOOKUP(B673,'area in m2'!B$2:C$10,2,FALSE)</f>
        <v>280</v>
      </c>
      <c r="D673" s="5" t="s">
        <v>11</v>
      </c>
      <c r="E673" s="6">
        <v>549.12921384136462</v>
      </c>
      <c r="F673" s="33" t="str">
        <f t="shared" si="20"/>
        <v>Over 530</v>
      </c>
      <c r="G673" s="33">
        <f t="shared" si="21"/>
        <v>576.58567453343289</v>
      </c>
      <c r="H673" s="7">
        <v>0.02</v>
      </c>
      <c r="I673" s="5" t="s">
        <v>14</v>
      </c>
      <c r="J673" s="5">
        <v>39</v>
      </c>
      <c r="K673" s="2"/>
      <c r="L673" s="2"/>
      <c r="M673" s="1"/>
    </row>
    <row r="674" spans="1:13" ht="14.4" x14ac:dyDescent="0.3">
      <c r="A674" s="14">
        <v>44726</v>
      </c>
      <c r="B674" s="5">
        <v>8</v>
      </c>
      <c r="C674" s="32">
        <f>VLOOKUP(B674,'area in m2'!B$2:C$10,2,FALSE)</f>
        <v>142</v>
      </c>
      <c r="D674" s="5" t="s">
        <v>12</v>
      </c>
      <c r="E674" s="6">
        <v>526.39591085245047</v>
      </c>
      <c r="F674" s="33" t="str">
        <f t="shared" si="20"/>
        <v>Below 530</v>
      </c>
      <c r="G674" s="33">
        <f t="shared" si="21"/>
        <v>552.71570639507297</v>
      </c>
      <c r="H674" s="7">
        <v>0.02</v>
      </c>
      <c r="I674" s="5" t="s">
        <v>14</v>
      </c>
      <c r="J674" s="5">
        <v>21</v>
      </c>
      <c r="K674" s="2"/>
      <c r="L674" s="2"/>
      <c r="M674" s="1"/>
    </row>
    <row r="675" spans="1:13" ht="14.4" x14ac:dyDescent="0.3">
      <c r="A675" s="14">
        <v>44610</v>
      </c>
      <c r="B675" s="5">
        <v>2</v>
      </c>
      <c r="C675" s="32">
        <f>VLOOKUP(B675,'area in m2'!B$2:C$10,2,FALSE)</f>
        <v>250</v>
      </c>
      <c r="D675" s="5" t="s">
        <v>11</v>
      </c>
      <c r="E675" s="6">
        <v>502.82680123166028</v>
      </c>
      <c r="F675" s="33" t="str">
        <f t="shared" si="20"/>
        <v>Below 530</v>
      </c>
      <c r="G675" s="33">
        <f t="shared" si="21"/>
        <v>527.96814129324332</v>
      </c>
      <c r="H675" s="7">
        <v>0</v>
      </c>
      <c r="I675" s="5" t="s">
        <v>14</v>
      </c>
      <c r="J675" s="5">
        <v>35</v>
      </c>
      <c r="K675" s="2"/>
      <c r="L675" s="2"/>
      <c r="M675" s="1"/>
    </row>
    <row r="676" spans="1:13" ht="14.4" x14ac:dyDescent="0.3">
      <c r="A676" s="14">
        <v>44852</v>
      </c>
      <c r="B676" s="5">
        <v>9</v>
      </c>
      <c r="C676" s="32">
        <f>VLOOKUP(B676,'area in m2'!B$2:C$10,2,FALSE)</f>
        <v>140</v>
      </c>
      <c r="D676" s="5" t="s">
        <v>12</v>
      </c>
      <c r="E676" s="6">
        <v>549.1256399582162</v>
      </c>
      <c r="F676" s="33" t="str">
        <f t="shared" si="20"/>
        <v>Over 530</v>
      </c>
      <c r="G676" s="33">
        <f t="shared" si="21"/>
        <v>576.58192195612708</v>
      </c>
      <c r="H676" s="7">
        <v>0.03</v>
      </c>
      <c r="I676" s="5" t="s">
        <v>14</v>
      </c>
      <c r="J676" s="5">
        <v>46</v>
      </c>
      <c r="K676" s="2"/>
      <c r="L676" s="2"/>
      <c r="M676" s="1"/>
    </row>
    <row r="677" spans="1:13" ht="14.4" x14ac:dyDescent="0.3">
      <c r="A677" s="14">
        <v>44807</v>
      </c>
      <c r="B677" s="5">
        <v>3</v>
      </c>
      <c r="C677" s="32">
        <f>VLOOKUP(B677,'area in m2'!B$2:C$10,2,FALSE)</f>
        <v>195</v>
      </c>
      <c r="D677" s="5" t="s">
        <v>11</v>
      </c>
      <c r="E677" s="6">
        <v>519.97455570640341</v>
      </c>
      <c r="F677" s="33" t="str">
        <f t="shared" si="20"/>
        <v>Below 530</v>
      </c>
      <c r="G677" s="33">
        <f t="shared" si="21"/>
        <v>545.97328349172358</v>
      </c>
      <c r="H677" s="7">
        <v>0.02</v>
      </c>
      <c r="I677" s="5" t="s">
        <v>14</v>
      </c>
      <c r="J677" s="5">
        <v>31</v>
      </c>
      <c r="K677" s="2"/>
      <c r="L677" s="2"/>
      <c r="M677" s="1"/>
    </row>
    <row r="678" spans="1:13" ht="14.4" x14ac:dyDescent="0.3">
      <c r="A678" s="14">
        <v>44671</v>
      </c>
      <c r="B678" s="5">
        <v>6</v>
      </c>
      <c r="C678" s="32">
        <f>VLOOKUP(B678,'area in m2'!B$2:C$10,2,FALSE)</f>
        <v>175</v>
      </c>
      <c r="D678" s="5" t="s">
        <v>13</v>
      </c>
      <c r="E678" s="6">
        <v>527.60356131963817</v>
      </c>
      <c r="F678" s="33" t="str">
        <f t="shared" si="20"/>
        <v>Below 530</v>
      </c>
      <c r="G678" s="33">
        <f t="shared" si="21"/>
        <v>553.98373938562008</v>
      </c>
      <c r="H678" s="7">
        <v>0.01</v>
      </c>
      <c r="I678" s="5" t="s">
        <v>14</v>
      </c>
      <c r="J678" s="5">
        <v>28</v>
      </c>
      <c r="K678" s="2"/>
      <c r="L678" s="2"/>
      <c r="M678" s="1"/>
    </row>
    <row r="679" spans="1:13" ht="14.4" x14ac:dyDescent="0.3">
      <c r="A679" s="14">
        <v>44782</v>
      </c>
      <c r="B679" s="5">
        <v>4</v>
      </c>
      <c r="C679" s="32">
        <f>VLOOKUP(B679,'area in m2'!B$2:C$10,2,FALSE)</f>
        <v>188</v>
      </c>
      <c r="D679" s="5" t="s">
        <v>11</v>
      </c>
      <c r="E679" s="6">
        <v>504.99604253373127</v>
      </c>
      <c r="F679" s="33" t="str">
        <f t="shared" si="20"/>
        <v>Below 530</v>
      </c>
      <c r="G679" s="33">
        <f t="shared" si="21"/>
        <v>530.2458446604179</v>
      </c>
      <c r="H679" s="7">
        <v>0.01</v>
      </c>
      <c r="I679" s="5" t="s">
        <v>15</v>
      </c>
      <c r="J679" s="5">
        <v>35</v>
      </c>
      <c r="K679" s="2"/>
      <c r="L679" s="2"/>
      <c r="M679" s="1"/>
    </row>
    <row r="680" spans="1:13" ht="14.4" x14ac:dyDescent="0.3">
      <c r="A680" s="14">
        <v>44819</v>
      </c>
      <c r="B680" s="5">
        <v>7</v>
      </c>
      <c r="C680" s="32">
        <f>VLOOKUP(B680,'area in m2'!B$2:C$10,2,FALSE)</f>
        <v>166</v>
      </c>
      <c r="D680" s="5" t="s">
        <v>11</v>
      </c>
      <c r="E680" s="6">
        <v>525.64331205395047</v>
      </c>
      <c r="F680" s="33" t="str">
        <f t="shared" si="20"/>
        <v>Below 530</v>
      </c>
      <c r="G680" s="33">
        <f t="shared" si="21"/>
        <v>551.92547765664801</v>
      </c>
      <c r="H680" s="7">
        <v>0.03</v>
      </c>
      <c r="I680" s="5" t="s">
        <v>14</v>
      </c>
      <c r="J680" s="5">
        <v>32</v>
      </c>
      <c r="K680" s="2"/>
      <c r="L680" s="2"/>
      <c r="M680" s="1"/>
    </row>
    <row r="681" spans="1:13" ht="14.4" x14ac:dyDescent="0.3">
      <c r="A681" s="14">
        <v>44768</v>
      </c>
      <c r="B681" s="5">
        <v>4</v>
      </c>
      <c r="C681" s="32">
        <f>VLOOKUP(B681,'area in m2'!B$2:C$10,2,FALSE)</f>
        <v>188</v>
      </c>
      <c r="D681" s="5" t="s">
        <v>11</v>
      </c>
      <c r="E681" s="6">
        <v>546.80065236636074</v>
      </c>
      <c r="F681" s="33" t="str">
        <f t="shared" si="20"/>
        <v>Over 530</v>
      </c>
      <c r="G681" s="33">
        <f t="shared" si="21"/>
        <v>574.14068498467884</v>
      </c>
      <c r="H681" s="7">
        <v>0.02</v>
      </c>
      <c r="I681" s="5" t="s">
        <v>15</v>
      </c>
      <c r="J681" s="5">
        <v>64</v>
      </c>
      <c r="K681" s="2"/>
      <c r="L681" s="2"/>
      <c r="M681" s="1"/>
    </row>
    <row r="682" spans="1:13" ht="14.4" x14ac:dyDescent="0.3">
      <c r="A682" s="14">
        <v>44923</v>
      </c>
      <c r="B682" s="5">
        <v>9</v>
      </c>
      <c r="C682" s="32">
        <f>VLOOKUP(B682,'area in m2'!B$2:C$10,2,FALSE)</f>
        <v>140</v>
      </c>
      <c r="D682" s="5" t="s">
        <v>12</v>
      </c>
      <c r="E682" s="6">
        <v>530.76326705546944</v>
      </c>
      <c r="F682" s="33" t="str">
        <f t="shared" si="20"/>
        <v>Over 530</v>
      </c>
      <c r="G682" s="33">
        <f t="shared" si="21"/>
        <v>557.30143040824294</v>
      </c>
      <c r="H682" s="7">
        <v>0</v>
      </c>
      <c r="I682" s="5" t="s">
        <v>14</v>
      </c>
      <c r="J682" s="5">
        <v>42</v>
      </c>
      <c r="K682" s="2"/>
      <c r="L682" s="2"/>
      <c r="M682" s="1"/>
    </row>
    <row r="683" spans="1:13" ht="14.4" x14ac:dyDescent="0.3">
      <c r="A683" s="14">
        <v>44724</v>
      </c>
      <c r="B683" s="5">
        <v>1</v>
      </c>
      <c r="C683" s="32">
        <f>VLOOKUP(B683,'area in m2'!B$2:C$10,2,FALSE)</f>
        <v>280</v>
      </c>
      <c r="D683" s="5" t="s">
        <v>11</v>
      </c>
      <c r="E683" s="6">
        <v>542.88932038044459</v>
      </c>
      <c r="F683" s="33" t="str">
        <f t="shared" si="20"/>
        <v>Over 530</v>
      </c>
      <c r="G683" s="33">
        <f t="shared" si="21"/>
        <v>570.03378639946686</v>
      </c>
      <c r="H683" s="7">
        <v>0.03</v>
      </c>
      <c r="I683" s="5" t="s">
        <v>15</v>
      </c>
      <c r="J683" s="5">
        <v>27</v>
      </c>
      <c r="K683" s="2"/>
      <c r="L683" s="2"/>
      <c r="M683" s="1"/>
    </row>
    <row r="684" spans="1:13" ht="14.4" x14ac:dyDescent="0.3">
      <c r="A684" s="14">
        <v>44650</v>
      </c>
      <c r="B684" s="5">
        <v>5</v>
      </c>
      <c r="C684" s="32">
        <f>VLOOKUP(B684,'area in m2'!B$2:C$10,2,FALSE)</f>
        <v>200</v>
      </c>
      <c r="D684" s="5" t="s">
        <v>13</v>
      </c>
      <c r="E684" s="6">
        <v>545.65014594292188</v>
      </c>
      <c r="F684" s="33" t="str">
        <f t="shared" si="20"/>
        <v>Over 530</v>
      </c>
      <c r="G684" s="33">
        <f t="shared" si="21"/>
        <v>572.93265324006802</v>
      </c>
      <c r="H684" s="7">
        <v>0</v>
      </c>
      <c r="I684" s="5" t="s">
        <v>15</v>
      </c>
      <c r="J684" s="5">
        <v>54</v>
      </c>
      <c r="K684" s="2"/>
      <c r="L684" s="2"/>
      <c r="M684" s="1"/>
    </row>
    <row r="685" spans="1:13" ht="14.4" x14ac:dyDescent="0.3">
      <c r="A685" s="14">
        <v>44596</v>
      </c>
      <c r="B685" s="5">
        <v>4</v>
      </c>
      <c r="C685" s="32">
        <f>VLOOKUP(B685,'area in m2'!B$2:C$10,2,FALSE)</f>
        <v>188</v>
      </c>
      <c r="D685" s="5" t="s">
        <v>11</v>
      </c>
      <c r="E685" s="6">
        <v>538.90553574051501</v>
      </c>
      <c r="F685" s="33" t="str">
        <f t="shared" si="20"/>
        <v>Over 530</v>
      </c>
      <c r="G685" s="33">
        <f t="shared" si="21"/>
        <v>565.85081252754082</v>
      </c>
      <c r="H685" s="7">
        <v>0.01</v>
      </c>
      <c r="I685" s="5" t="s">
        <v>15</v>
      </c>
      <c r="J685" s="5">
        <v>37</v>
      </c>
      <c r="K685" s="2"/>
      <c r="L685" s="2"/>
      <c r="M685" s="1"/>
    </row>
    <row r="686" spans="1:13" ht="14.4" x14ac:dyDescent="0.3">
      <c r="A686" s="14">
        <v>44917</v>
      </c>
      <c r="B686" s="5">
        <v>3</v>
      </c>
      <c r="C686" s="32">
        <f>VLOOKUP(B686,'area in m2'!B$2:C$10,2,FALSE)</f>
        <v>195</v>
      </c>
      <c r="D686" s="5" t="s">
        <v>11</v>
      </c>
      <c r="E686" s="6">
        <v>539.87213503858038</v>
      </c>
      <c r="F686" s="33" t="str">
        <f t="shared" si="20"/>
        <v>Over 530</v>
      </c>
      <c r="G686" s="33">
        <f t="shared" si="21"/>
        <v>566.86574179050945</v>
      </c>
      <c r="H686" s="7">
        <v>0.01</v>
      </c>
      <c r="I686" s="5" t="s">
        <v>15</v>
      </c>
      <c r="J686" s="5">
        <v>17</v>
      </c>
      <c r="K686" s="2"/>
      <c r="L686" s="2"/>
      <c r="M686" s="1"/>
    </row>
    <row r="687" spans="1:13" ht="14.4" x14ac:dyDescent="0.3">
      <c r="A687" s="14">
        <v>44874</v>
      </c>
      <c r="B687" s="5">
        <v>3</v>
      </c>
      <c r="C687" s="32">
        <f>VLOOKUP(B687,'area in m2'!B$2:C$10,2,FALSE)</f>
        <v>195</v>
      </c>
      <c r="D687" s="5" t="s">
        <v>11</v>
      </c>
      <c r="E687" s="6">
        <v>513.14564871540188</v>
      </c>
      <c r="F687" s="33" t="str">
        <f t="shared" si="20"/>
        <v>Below 530</v>
      </c>
      <c r="G687" s="33">
        <f t="shared" si="21"/>
        <v>538.80293115117195</v>
      </c>
      <c r="H687" s="7">
        <v>0.01</v>
      </c>
      <c r="I687" s="5" t="s">
        <v>14</v>
      </c>
      <c r="J687" s="5">
        <v>47</v>
      </c>
      <c r="K687" s="2"/>
      <c r="L687" s="2"/>
      <c r="M687" s="1"/>
    </row>
    <row r="688" spans="1:13" ht="14.4" x14ac:dyDescent="0.3">
      <c r="A688" s="14">
        <v>44728</v>
      </c>
      <c r="B688" s="5">
        <v>2</v>
      </c>
      <c r="C688" s="32">
        <f>VLOOKUP(B688,'area in m2'!B$2:C$10,2,FALSE)</f>
        <v>250</v>
      </c>
      <c r="D688" s="5" t="s">
        <v>11</v>
      </c>
      <c r="E688" s="6">
        <v>515.7883006577149</v>
      </c>
      <c r="F688" s="33" t="str">
        <f t="shared" si="20"/>
        <v>Below 530</v>
      </c>
      <c r="G688" s="33">
        <f t="shared" si="21"/>
        <v>541.57771569060071</v>
      </c>
      <c r="H688" s="7">
        <v>0</v>
      </c>
      <c r="I688" s="5" t="s">
        <v>14</v>
      </c>
      <c r="J688" s="5">
        <v>32</v>
      </c>
      <c r="K688" s="2"/>
      <c r="L688" s="2"/>
      <c r="M688" s="1"/>
    </row>
    <row r="689" spans="1:13" ht="14.4" x14ac:dyDescent="0.3">
      <c r="A689" s="14">
        <v>44853</v>
      </c>
      <c r="B689" s="5">
        <v>1</v>
      </c>
      <c r="C689" s="32">
        <f>VLOOKUP(B689,'area in m2'!B$2:C$10,2,FALSE)</f>
        <v>280</v>
      </c>
      <c r="D689" s="5" t="s">
        <v>11</v>
      </c>
      <c r="E689" s="6">
        <v>528.57084954365018</v>
      </c>
      <c r="F689" s="33" t="str">
        <f t="shared" si="20"/>
        <v>Below 530</v>
      </c>
      <c r="G689" s="33">
        <f t="shared" si="21"/>
        <v>554.99939202083272</v>
      </c>
      <c r="H689" s="7">
        <v>0.01</v>
      </c>
      <c r="I689" s="5" t="s">
        <v>14</v>
      </c>
      <c r="J689" s="5">
        <v>33</v>
      </c>
      <c r="K689" s="2"/>
      <c r="L689" s="2"/>
      <c r="M689" s="1"/>
    </row>
    <row r="690" spans="1:13" ht="14.4" x14ac:dyDescent="0.3">
      <c r="A690" s="14">
        <v>44700</v>
      </c>
      <c r="B690" s="5">
        <v>3</v>
      </c>
      <c r="C690" s="32">
        <f>VLOOKUP(B690,'area in m2'!B$2:C$10,2,FALSE)</f>
        <v>195</v>
      </c>
      <c r="D690" s="5" t="s">
        <v>11</v>
      </c>
      <c r="E690" s="6">
        <v>512.24325313624558</v>
      </c>
      <c r="F690" s="33" t="str">
        <f t="shared" si="20"/>
        <v>Below 530</v>
      </c>
      <c r="G690" s="33">
        <f t="shared" si="21"/>
        <v>537.85541579305789</v>
      </c>
      <c r="H690" s="7">
        <v>0.03</v>
      </c>
      <c r="I690" s="5" t="s">
        <v>14</v>
      </c>
      <c r="J690" s="5">
        <v>46</v>
      </c>
      <c r="K690" s="2"/>
      <c r="L690" s="2"/>
      <c r="M690" s="1"/>
    </row>
    <row r="691" spans="1:13" ht="14.4" x14ac:dyDescent="0.3">
      <c r="A691" s="14">
        <v>44669</v>
      </c>
      <c r="B691" s="5">
        <v>6</v>
      </c>
      <c r="C691" s="32">
        <f>VLOOKUP(B691,'area in m2'!B$2:C$10,2,FALSE)</f>
        <v>175</v>
      </c>
      <c r="D691" s="5" t="s">
        <v>13</v>
      </c>
      <c r="E691" s="6">
        <v>518.00619953647947</v>
      </c>
      <c r="F691" s="33" t="str">
        <f t="shared" si="20"/>
        <v>Below 530</v>
      </c>
      <c r="G691" s="33">
        <f t="shared" si="21"/>
        <v>543.90650951330349</v>
      </c>
      <c r="H691" s="7">
        <v>0.02</v>
      </c>
      <c r="I691" s="5" t="s">
        <v>14</v>
      </c>
      <c r="J691" s="5">
        <v>22</v>
      </c>
      <c r="K691" s="2"/>
      <c r="L691" s="2"/>
      <c r="M691" s="1"/>
    </row>
    <row r="692" spans="1:13" ht="14.4" x14ac:dyDescent="0.3">
      <c r="A692" s="14">
        <v>44777</v>
      </c>
      <c r="B692" s="5">
        <v>8</v>
      </c>
      <c r="C692" s="32">
        <f>VLOOKUP(B692,'area in m2'!B$2:C$10,2,FALSE)</f>
        <v>142</v>
      </c>
      <c r="D692" s="5" t="s">
        <v>12</v>
      </c>
      <c r="E692" s="6">
        <v>509.6483838133081</v>
      </c>
      <c r="F692" s="33" t="str">
        <f t="shared" si="20"/>
        <v>Below 530</v>
      </c>
      <c r="G692" s="33">
        <f t="shared" si="21"/>
        <v>535.13080300397348</v>
      </c>
      <c r="H692" s="7">
        <v>0.02</v>
      </c>
      <c r="I692" s="5" t="s">
        <v>14</v>
      </c>
      <c r="J692" s="5">
        <v>40</v>
      </c>
      <c r="K692" s="2"/>
      <c r="L692" s="2"/>
      <c r="M692" s="1"/>
    </row>
    <row r="693" spans="1:13" ht="14.4" x14ac:dyDescent="0.3">
      <c r="A693" s="14">
        <v>44591</v>
      </c>
      <c r="B693" s="5">
        <v>6</v>
      </c>
      <c r="C693" s="32">
        <f>VLOOKUP(B693,'area in m2'!B$2:C$10,2,FALSE)</f>
        <v>175</v>
      </c>
      <c r="D693" s="5" t="s">
        <v>13</v>
      </c>
      <c r="E693" s="6">
        <v>547.11310365072131</v>
      </c>
      <c r="F693" s="33" t="str">
        <f t="shared" si="20"/>
        <v>Over 530</v>
      </c>
      <c r="G693" s="33">
        <f t="shared" si="21"/>
        <v>574.46875883325743</v>
      </c>
      <c r="H693" s="7">
        <v>0.01</v>
      </c>
      <c r="I693" s="5" t="s">
        <v>15</v>
      </c>
      <c r="J693" s="5">
        <v>37</v>
      </c>
      <c r="K693" s="2"/>
      <c r="L693" s="2"/>
      <c r="M693" s="1"/>
    </row>
    <row r="694" spans="1:13" ht="14.4" x14ac:dyDescent="0.3">
      <c r="A694" s="14">
        <v>44666</v>
      </c>
      <c r="B694" s="5">
        <v>2</v>
      </c>
      <c r="C694" s="32">
        <f>VLOOKUP(B694,'area in m2'!B$2:C$10,2,FALSE)</f>
        <v>250</v>
      </c>
      <c r="D694" s="5" t="s">
        <v>11</v>
      </c>
      <c r="E694" s="6">
        <v>540.27752751118442</v>
      </c>
      <c r="F694" s="33" t="str">
        <f t="shared" si="20"/>
        <v>Over 530</v>
      </c>
      <c r="G694" s="33">
        <f t="shared" si="21"/>
        <v>567.29140388674364</v>
      </c>
      <c r="H694" s="7">
        <v>0.02</v>
      </c>
      <c r="I694" s="5" t="s">
        <v>15</v>
      </c>
      <c r="J694" s="5">
        <v>38</v>
      </c>
      <c r="K694" s="2"/>
      <c r="L694" s="2"/>
      <c r="M694" s="1"/>
    </row>
    <row r="695" spans="1:13" ht="14.4" x14ac:dyDescent="0.3">
      <c r="A695" s="14">
        <v>44753</v>
      </c>
      <c r="B695" s="5">
        <v>9</v>
      </c>
      <c r="C695" s="32">
        <f>VLOOKUP(B695,'area in m2'!B$2:C$10,2,FALSE)</f>
        <v>140</v>
      </c>
      <c r="D695" s="5" t="s">
        <v>12</v>
      </c>
      <c r="E695" s="6">
        <v>537.46602560608426</v>
      </c>
      <c r="F695" s="33" t="str">
        <f t="shared" si="20"/>
        <v>Over 530</v>
      </c>
      <c r="G695" s="33">
        <f t="shared" si="21"/>
        <v>564.33932688638845</v>
      </c>
      <c r="H695" s="7">
        <v>0.03</v>
      </c>
      <c r="I695" s="5" t="s">
        <v>14</v>
      </c>
      <c r="J695" s="5">
        <v>31</v>
      </c>
      <c r="K695" s="2"/>
      <c r="L695" s="2"/>
      <c r="M695" s="1"/>
    </row>
    <row r="696" spans="1:13" ht="14.4" x14ac:dyDescent="0.3">
      <c r="A696" s="14">
        <v>44852</v>
      </c>
      <c r="B696" s="5">
        <v>3</v>
      </c>
      <c r="C696" s="32">
        <f>VLOOKUP(B696,'area in m2'!B$2:C$10,2,FALSE)</f>
        <v>195</v>
      </c>
      <c r="D696" s="5" t="s">
        <v>11</v>
      </c>
      <c r="E696" s="6">
        <v>532.19083159355068</v>
      </c>
      <c r="F696" s="33" t="str">
        <f t="shared" si="20"/>
        <v>Over 530</v>
      </c>
      <c r="G696" s="33">
        <f t="shared" si="21"/>
        <v>558.80037317322819</v>
      </c>
      <c r="H696" s="7">
        <v>0</v>
      </c>
      <c r="I696" s="5" t="s">
        <v>14</v>
      </c>
      <c r="J696" s="5">
        <v>22</v>
      </c>
      <c r="K696" s="2"/>
      <c r="L696" s="2"/>
      <c r="M696" s="1"/>
    </row>
    <row r="697" spans="1:13" ht="14.4" x14ac:dyDescent="0.3">
      <c r="A697" s="14">
        <v>44563</v>
      </c>
      <c r="B697" s="5">
        <v>3</v>
      </c>
      <c r="C697" s="32">
        <f>VLOOKUP(B697,'area in m2'!B$2:C$10,2,FALSE)</f>
        <v>195</v>
      </c>
      <c r="D697" s="5" t="s">
        <v>11</v>
      </c>
      <c r="E697" s="6">
        <v>525.61322797539833</v>
      </c>
      <c r="F697" s="33" t="str">
        <f t="shared" si="20"/>
        <v>Below 530</v>
      </c>
      <c r="G697" s="33">
        <f t="shared" si="21"/>
        <v>551.89388937416823</v>
      </c>
      <c r="H697" s="7">
        <v>0.01</v>
      </c>
      <c r="I697" s="5" t="s">
        <v>14</v>
      </c>
      <c r="J697" s="5">
        <v>40</v>
      </c>
      <c r="K697" s="2"/>
      <c r="L697" s="2"/>
      <c r="M697" s="1"/>
    </row>
    <row r="698" spans="1:13" ht="14.4" x14ac:dyDescent="0.3">
      <c r="A698" s="14">
        <v>44647</v>
      </c>
      <c r="B698" s="5">
        <v>3</v>
      </c>
      <c r="C698" s="32">
        <f>VLOOKUP(B698,'area in m2'!B$2:C$10,2,FALSE)</f>
        <v>195</v>
      </c>
      <c r="D698" s="5" t="s">
        <v>11</v>
      </c>
      <c r="E698" s="6">
        <v>514.80788197298807</v>
      </c>
      <c r="F698" s="33" t="str">
        <f t="shared" si="20"/>
        <v>Below 530</v>
      </c>
      <c r="G698" s="33">
        <f t="shared" si="21"/>
        <v>540.54827607163747</v>
      </c>
      <c r="H698" s="7">
        <v>0</v>
      </c>
      <c r="I698" s="5" t="s">
        <v>14</v>
      </c>
      <c r="J698" s="5">
        <v>22</v>
      </c>
      <c r="K698" s="2"/>
      <c r="L698" s="2"/>
      <c r="M698" s="1"/>
    </row>
    <row r="699" spans="1:13" ht="14.4" x14ac:dyDescent="0.3">
      <c r="A699" s="14">
        <v>44805</v>
      </c>
      <c r="B699" s="5">
        <v>8</v>
      </c>
      <c r="C699" s="32">
        <f>VLOOKUP(B699,'area in m2'!B$2:C$10,2,FALSE)</f>
        <v>142</v>
      </c>
      <c r="D699" s="5" t="s">
        <v>12</v>
      </c>
      <c r="E699" s="6">
        <v>523.2056635117824</v>
      </c>
      <c r="F699" s="33" t="str">
        <f t="shared" si="20"/>
        <v>Below 530</v>
      </c>
      <c r="G699" s="33">
        <f t="shared" si="21"/>
        <v>549.36594668737155</v>
      </c>
      <c r="H699" s="7">
        <v>0.01</v>
      </c>
      <c r="I699" s="5" t="s">
        <v>14</v>
      </c>
      <c r="J699" s="5">
        <v>21</v>
      </c>
      <c r="K699" s="2"/>
      <c r="L699" s="2"/>
      <c r="M699" s="1"/>
    </row>
    <row r="700" spans="1:13" ht="14.4" x14ac:dyDescent="0.3">
      <c r="A700" s="14">
        <v>44876</v>
      </c>
      <c r="B700" s="5">
        <v>5</v>
      </c>
      <c r="C700" s="32">
        <f>VLOOKUP(B700,'area in m2'!B$2:C$10,2,FALSE)</f>
        <v>200</v>
      </c>
      <c r="D700" s="5" t="s">
        <v>13</v>
      </c>
      <c r="E700" s="6">
        <v>539.73310148700239</v>
      </c>
      <c r="F700" s="33" t="str">
        <f t="shared" si="20"/>
        <v>Over 530</v>
      </c>
      <c r="G700" s="33">
        <f t="shared" si="21"/>
        <v>566.71975656135248</v>
      </c>
      <c r="H700" s="7">
        <v>0</v>
      </c>
      <c r="I700" s="5" t="s">
        <v>15</v>
      </c>
      <c r="J700" s="5">
        <v>24</v>
      </c>
      <c r="K700" s="2"/>
      <c r="L700" s="2"/>
      <c r="M700" s="1"/>
    </row>
    <row r="701" spans="1:13" ht="14.4" x14ac:dyDescent="0.3">
      <c r="A701" s="14">
        <v>44836</v>
      </c>
      <c r="B701" s="5">
        <v>1</v>
      </c>
      <c r="C701" s="32">
        <f>VLOOKUP(B701,'area in m2'!B$2:C$10,2,FALSE)</f>
        <v>280</v>
      </c>
      <c r="D701" s="5" t="s">
        <v>11</v>
      </c>
      <c r="E701" s="6">
        <v>543.92540672301766</v>
      </c>
      <c r="F701" s="33" t="str">
        <f t="shared" si="20"/>
        <v>Over 530</v>
      </c>
      <c r="G701" s="33">
        <f t="shared" si="21"/>
        <v>571.12167705916852</v>
      </c>
      <c r="H701" s="7">
        <v>0.03</v>
      </c>
      <c r="I701" s="5" t="s">
        <v>15</v>
      </c>
      <c r="J701" s="5">
        <v>25</v>
      </c>
      <c r="K701" s="2"/>
      <c r="L701" s="2"/>
      <c r="M701" s="1"/>
    </row>
    <row r="702" spans="1:13" ht="14.4" x14ac:dyDescent="0.3">
      <c r="A702" s="14">
        <v>44782</v>
      </c>
      <c r="B702" s="5">
        <v>2</v>
      </c>
      <c r="C702" s="32">
        <f>VLOOKUP(B702,'area in m2'!B$2:C$10,2,FALSE)</f>
        <v>250</v>
      </c>
      <c r="D702" s="5" t="s">
        <v>11</v>
      </c>
      <c r="E702" s="6">
        <v>521.70658226940668</v>
      </c>
      <c r="F702" s="33" t="str">
        <f t="shared" si="20"/>
        <v>Below 530</v>
      </c>
      <c r="G702" s="33">
        <f t="shared" si="21"/>
        <v>547.79191138287706</v>
      </c>
      <c r="H702" s="7">
        <v>0.03</v>
      </c>
      <c r="I702" s="5" t="s">
        <v>14</v>
      </c>
      <c r="J702" s="5">
        <v>38</v>
      </c>
      <c r="K702" s="2"/>
      <c r="L702" s="2"/>
      <c r="M702" s="1"/>
    </row>
    <row r="703" spans="1:13" ht="14.4" x14ac:dyDescent="0.3">
      <c r="A703" s="14">
        <v>44765</v>
      </c>
      <c r="B703" s="5">
        <v>8</v>
      </c>
      <c r="C703" s="32">
        <f>VLOOKUP(B703,'area in m2'!B$2:C$10,2,FALSE)</f>
        <v>142</v>
      </c>
      <c r="D703" s="5" t="s">
        <v>12</v>
      </c>
      <c r="E703" s="6">
        <v>547.50722972466247</v>
      </c>
      <c r="F703" s="33" t="str">
        <f t="shared" si="20"/>
        <v>Over 530</v>
      </c>
      <c r="G703" s="33">
        <f t="shared" si="21"/>
        <v>574.88259121089561</v>
      </c>
      <c r="H703" s="7">
        <v>0.01</v>
      </c>
      <c r="I703" s="5" t="s">
        <v>14</v>
      </c>
      <c r="J703" s="5">
        <v>50</v>
      </c>
      <c r="K703" s="2"/>
      <c r="L703" s="2"/>
      <c r="M703" s="1"/>
    </row>
    <row r="704" spans="1:13" ht="14.4" x14ac:dyDescent="0.3">
      <c r="A704" s="14">
        <v>44655</v>
      </c>
      <c r="B704" s="5">
        <v>1</v>
      </c>
      <c r="C704" s="32">
        <f>VLOOKUP(B704,'area in m2'!B$2:C$10,2,FALSE)</f>
        <v>280</v>
      </c>
      <c r="D704" s="5" t="s">
        <v>11</v>
      </c>
      <c r="E704" s="6">
        <v>526.98141139237396</v>
      </c>
      <c r="F704" s="33" t="str">
        <f t="shared" si="20"/>
        <v>Below 530</v>
      </c>
      <c r="G704" s="33">
        <f t="shared" si="21"/>
        <v>553.33048196199263</v>
      </c>
      <c r="H704" s="7">
        <v>0.03</v>
      </c>
      <c r="I704" s="5" t="s">
        <v>14</v>
      </c>
      <c r="J704" s="5">
        <v>24</v>
      </c>
      <c r="K704" s="2"/>
      <c r="L704" s="2"/>
      <c r="M704" s="1"/>
    </row>
    <row r="705" spans="1:13" ht="14.4" x14ac:dyDescent="0.3">
      <c r="A705" s="14">
        <v>44748</v>
      </c>
      <c r="B705" s="5">
        <v>6</v>
      </c>
      <c r="C705" s="32">
        <f>VLOOKUP(B705,'area in m2'!B$2:C$10,2,FALSE)</f>
        <v>175</v>
      </c>
      <c r="D705" s="5" t="s">
        <v>13</v>
      </c>
      <c r="E705" s="6">
        <v>511.13727902466235</v>
      </c>
      <c r="F705" s="33" t="str">
        <f t="shared" si="20"/>
        <v>Below 530</v>
      </c>
      <c r="G705" s="33">
        <f t="shared" si="21"/>
        <v>536.69414297589549</v>
      </c>
      <c r="H705" s="7">
        <v>0.03</v>
      </c>
      <c r="I705" s="5" t="s">
        <v>14</v>
      </c>
      <c r="J705" s="5">
        <v>55</v>
      </c>
      <c r="K705" s="2"/>
      <c r="L705" s="2"/>
      <c r="M705" s="1"/>
    </row>
    <row r="706" spans="1:13" ht="14.4" x14ac:dyDescent="0.3">
      <c r="A706" s="14">
        <v>44825</v>
      </c>
      <c r="B706" s="5">
        <v>1</v>
      </c>
      <c r="C706" s="32">
        <f>VLOOKUP(B706,'area in m2'!B$2:C$10,2,FALSE)</f>
        <v>280</v>
      </c>
      <c r="D706" s="5" t="s">
        <v>11</v>
      </c>
      <c r="E706" s="6">
        <v>523.26421168802153</v>
      </c>
      <c r="F706" s="33" t="str">
        <f t="shared" si="20"/>
        <v>Below 530</v>
      </c>
      <c r="G706" s="33">
        <f t="shared" si="21"/>
        <v>549.42742227242263</v>
      </c>
      <c r="H706" s="7">
        <v>0.03</v>
      </c>
      <c r="I706" s="5" t="s">
        <v>14</v>
      </c>
      <c r="J706" s="5">
        <v>35</v>
      </c>
      <c r="K706" s="2"/>
      <c r="L706" s="2"/>
      <c r="M706" s="1"/>
    </row>
    <row r="707" spans="1:13" ht="14.4" x14ac:dyDescent="0.3">
      <c r="A707" s="14">
        <v>44769</v>
      </c>
      <c r="B707" s="5">
        <v>4</v>
      </c>
      <c r="C707" s="32">
        <f>VLOOKUP(B707,'area in m2'!B$2:C$10,2,FALSE)</f>
        <v>188</v>
      </c>
      <c r="D707" s="5" t="s">
        <v>11</v>
      </c>
      <c r="E707" s="6">
        <v>533.53690328030825</v>
      </c>
      <c r="F707" s="33" t="str">
        <f t="shared" si="20"/>
        <v>Over 530</v>
      </c>
      <c r="G707" s="33">
        <f t="shared" si="21"/>
        <v>560.21374844432364</v>
      </c>
      <c r="H707" s="7">
        <v>0</v>
      </c>
      <c r="I707" s="5" t="s">
        <v>14</v>
      </c>
      <c r="J707" s="5">
        <v>48</v>
      </c>
      <c r="K707" s="2"/>
      <c r="L707" s="2"/>
      <c r="M707" s="1"/>
    </row>
    <row r="708" spans="1:13" ht="14.4" x14ac:dyDescent="0.3">
      <c r="A708" s="14">
        <v>44599</v>
      </c>
      <c r="B708" s="5">
        <v>1</v>
      </c>
      <c r="C708" s="32">
        <f>VLOOKUP(B708,'area in m2'!B$2:C$10,2,FALSE)</f>
        <v>280</v>
      </c>
      <c r="D708" s="5" t="s">
        <v>11</v>
      </c>
      <c r="E708" s="6">
        <v>501.49657548048162</v>
      </c>
      <c r="F708" s="33" t="str">
        <f t="shared" si="20"/>
        <v>Below 530</v>
      </c>
      <c r="G708" s="33">
        <f t="shared" si="21"/>
        <v>526.57140425450575</v>
      </c>
      <c r="H708" s="7">
        <v>0</v>
      </c>
      <c r="I708" s="5" t="s">
        <v>14</v>
      </c>
      <c r="J708" s="5">
        <v>40</v>
      </c>
      <c r="K708" s="2"/>
      <c r="L708" s="2"/>
      <c r="M708" s="1"/>
    </row>
    <row r="709" spans="1:13" ht="14.4" x14ac:dyDescent="0.3">
      <c r="A709" s="14">
        <v>44569</v>
      </c>
      <c r="B709" s="5">
        <v>1</v>
      </c>
      <c r="C709" s="32">
        <f>VLOOKUP(B709,'area in m2'!B$2:C$10,2,FALSE)</f>
        <v>280</v>
      </c>
      <c r="D709" s="5" t="s">
        <v>11</v>
      </c>
      <c r="E709" s="6">
        <v>502.97795800297718</v>
      </c>
      <c r="F709" s="33" t="str">
        <f t="shared" ref="F709:F772" si="22">IF(E709&gt;530,"Over 530","Below 530")</f>
        <v>Below 530</v>
      </c>
      <c r="G709" s="33">
        <f t="shared" ref="G709:G772" si="23">+E709*1.05</f>
        <v>528.12685590312606</v>
      </c>
      <c r="H709" s="7">
        <v>0.02</v>
      </c>
      <c r="I709" s="5" t="s">
        <v>14</v>
      </c>
      <c r="J709" s="5">
        <v>48</v>
      </c>
      <c r="K709" s="2"/>
      <c r="L709" s="2"/>
      <c r="M709" s="1"/>
    </row>
    <row r="710" spans="1:13" ht="14.4" x14ac:dyDescent="0.3">
      <c r="A710" s="14">
        <v>44896</v>
      </c>
      <c r="B710" s="5">
        <v>5</v>
      </c>
      <c r="C710" s="32">
        <f>VLOOKUP(B710,'area in m2'!B$2:C$10,2,FALSE)</f>
        <v>200</v>
      </c>
      <c r="D710" s="5" t="s">
        <v>13</v>
      </c>
      <c r="E710" s="6">
        <v>562.17999999999995</v>
      </c>
      <c r="F710" s="33" t="str">
        <f t="shared" si="22"/>
        <v>Over 530</v>
      </c>
      <c r="G710" s="33">
        <f t="shared" si="23"/>
        <v>590.28899999999999</v>
      </c>
      <c r="H710" s="7">
        <v>0.03</v>
      </c>
      <c r="I710" s="5" t="s">
        <v>14</v>
      </c>
      <c r="J710" s="5">
        <v>34</v>
      </c>
      <c r="K710" s="2"/>
      <c r="L710" s="2"/>
      <c r="M710" s="1"/>
    </row>
    <row r="711" spans="1:13" ht="14.4" x14ac:dyDescent="0.3">
      <c r="A711" s="14">
        <v>44848</v>
      </c>
      <c r="B711" s="5">
        <v>6</v>
      </c>
      <c r="C711" s="32">
        <f>VLOOKUP(B711,'area in m2'!B$2:C$10,2,FALSE)</f>
        <v>175</v>
      </c>
      <c r="D711" s="5" t="s">
        <v>13</v>
      </c>
      <c r="E711" s="6">
        <v>545.88335811400611</v>
      </c>
      <c r="F711" s="33" t="str">
        <f t="shared" si="22"/>
        <v>Over 530</v>
      </c>
      <c r="G711" s="33">
        <f t="shared" si="23"/>
        <v>573.17752601970642</v>
      </c>
      <c r="H711" s="7">
        <v>0.02</v>
      </c>
      <c r="I711" s="5" t="s">
        <v>14</v>
      </c>
      <c r="J711" s="5">
        <v>37</v>
      </c>
      <c r="K711" s="2"/>
      <c r="L711" s="2"/>
      <c r="M711" s="1"/>
    </row>
    <row r="712" spans="1:13" ht="14.4" x14ac:dyDescent="0.3">
      <c r="A712" s="14">
        <v>44871</v>
      </c>
      <c r="B712" s="5">
        <v>1</v>
      </c>
      <c r="C712" s="32">
        <f>VLOOKUP(B712,'area in m2'!B$2:C$10,2,FALSE)</f>
        <v>280</v>
      </c>
      <c r="D712" s="5" t="s">
        <v>11</v>
      </c>
      <c r="E712" s="6">
        <v>500.37571980906796</v>
      </c>
      <c r="F712" s="33" t="str">
        <f t="shared" si="22"/>
        <v>Below 530</v>
      </c>
      <c r="G712" s="33">
        <f t="shared" si="23"/>
        <v>525.39450579952143</v>
      </c>
      <c r="H712" s="7">
        <v>0.03</v>
      </c>
      <c r="I712" s="5" t="s">
        <v>14</v>
      </c>
      <c r="J712" s="5">
        <v>46</v>
      </c>
      <c r="K712" s="2"/>
      <c r="L712" s="2"/>
      <c r="M712" s="1"/>
    </row>
    <row r="713" spans="1:13" ht="14.4" x14ac:dyDescent="0.3">
      <c r="A713" s="14">
        <v>44683</v>
      </c>
      <c r="B713" s="5">
        <v>7</v>
      </c>
      <c r="C713" s="32">
        <f>VLOOKUP(B713,'area in m2'!B$2:C$10,2,FALSE)</f>
        <v>166</v>
      </c>
      <c r="D713" s="5" t="s">
        <v>12</v>
      </c>
      <c r="E713" s="6">
        <v>537.27291188332129</v>
      </c>
      <c r="F713" s="33" t="str">
        <f t="shared" si="22"/>
        <v>Over 530</v>
      </c>
      <c r="G713" s="33">
        <f t="shared" si="23"/>
        <v>564.13655747748737</v>
      </c>
      <c r="H713" s="7">
        <v>0</v>
      </c>
      <c r="I713" s="5" t="s">
        <v>15</v>
      </c>
      <c r="J713" s="5">
        <v>30</v>
      </c>
      <c r="K713" s="2"/>
      <c r="L713" s="2"/>
      <c r="M713" s="1"/>
    </row>
    <row r="714" spans="1:13" ht="14.4" x14ac:dyDescent="0.3">
      <c r="A714" s="14">
        <v>44805</v>
      </c>
      <c r="B714" s="5">
        <v>8</v>
      </c>
      <c r="C714" s="32">
        <f>VLOOKUP(B714,'area in m2'!B$2:C$10,2,FALSE)</f>
        <v>142</v>
      </c>
      <c r="D714" s="5" t="s">
        <v>11</v>
      </c>
      <c r="E714" s="6">
        <v>525.89618979125407</v>
      </c>
      <c r="F714" s="33" t="str">
        <f t="shared" si="22"/>
        <v>Below 530</v>
      </c>
      <c r="G714" s="33">
        <f t="shared" si="23"/>
        <v>552.19099928081675</v>
      </c>
      <c r="H714" s="7">
        <v>0</v>
      </c>
      <c r="I714" s="5" t="s">
        <v>15</v>
      </c>
      <c r="J714" s="5">
        <v>21</v>
      </c>
      <c r="K714" s="2"/>
      <c r="L714" s="2"/>
      <c r="M714" s="1"/>
    </row>
    <row r="715" spans="1:13" ht="14.4" x14ac:dyDescent="0.3">
      <c r="A715" s="14">
        <v>44918</v>
      </c>
      <c r="B715" s="5">
        <v>9</v>
      </c>
      <c r="C715" s="32">
        <f>VLOOKUP(B715,'area in m2'!B$2:C$10,2,FALSE)</f>
        <v>140</v>
      </c>
      <c r="D715" s="5" t="s">
        <v>12</v>
      </c>
      <c r="E715" s="6">
        <v>536.49640644151441</v>
      </c>
      <c r="F715" s="33" t="str">
        <f t="shared" si="22"/>
        <v>Over 530</v>
      </c>
      <c r="G715" s="33">
        <f t="shared" si="23"/>
        <v>563.32122676359018</v>
      </c>
      <c r="H715" s="7">
        <v>0.02</v>
      </c>
      <c r="I715" s="5" t="s">
        <v>14</v>
      </c>
      <c r="J715" s="5">
        <v>32</v>
      </c>
      <c r="K715" s="2"/>
      <c r="L715" s="2"/>
      <c r="M715" s="1"/>
    </row>
    <row r="716" spans="1:13" ht="14.4" x14ac:dyDescent="0.3">
      <c r="A716" s="14">
        <v>44902</v>
      </c>
      <c r="B716" s="5">
        <v>5</v>
      </c>
      <c r="C716" s="32">
        <f>VLOOKUP(B716,'area in m2'!B$2:C$10,2,FALSE)</f>
        <v>200</v>
      </c>
      <c r="D716" s="5" t="s">
        <v>13</v>
      </c>
      <c r="E716" s="6">
        <v>526.53663855911327</v>
      </c>
      <c r="F716" s="33" t="str">
        <f t="shared" si="22"/>
        <v>Below 530</v>
      </c>
      <c r="G716" s="33">
        <f t="shared" si="23"/>
        <v>552.86347048706898</v>
      </c>
      <c r="H716" s="7">
        <v>0.02</v>
      </c>
      <c r="I716" s="5" t="s">
        <v>14</v>
      </c>
      <c r="J716" s="5">
        <v>48</v>
      </c>
      <c r="K716" s="2"/>
      <c r="L716" s="2"/>
      <c r="M716" s="1"/>
    </row>
    <row r="717" spans="1:13" ht="14.4" x14ac:dyDescent="0.3">
      <c r="A717" s="14">
        <v>44653</v>
      </c>
      <c r="B717" s="5">
        <v>2</v>
      </c>
      <c r="C717" s="32">
        <f>VLOOKUP(B717,'area in m2'!B$2:C$10,2,FALSE)</f>
        <v>250</v>
      </c>
      <c r="D717" s="5" t="s">
        <v>11</v>
      </c>
      <c r="E717" s="6">
        <v>501.51521435603627</v>
      </c>
      <c r="F717" s="33" t="str">
        <f t="shared" si="22"/>
        <v>Below 530</v>
      </c>
      <c r="G717" s="33">
        <f t="shared" si="23"/>
        <v>526.59097507383808</v>
      </c>
      <c r="H717" s="7">
        <v>0.01</v>
      </c>
      <c r="I717" s="5" t="s">
        <v>14</v>
      </c>
      <c r="J717" s="5">
        <v>43</v>
      </c>
      <c r="K717" s="2"/>
      <c r="L717" s="2"/>
      <c r="M717" s="1"/>
    </row>
    <row r="718" spans="1:13" ht="14.4" x14ac:dyDescent="0.3">
      <c r="A718" s="14">
        <v>44693</v>
      </c>
      <c r="B718" s="5">
        <v>2</v>
      </c>
      <c r="C718" s="32">
        <f>VLOOKUP(B718,'area in m2'!B$2:C$10,2,FALSE)</f>
        <v>250</v>
      </c>
      <c r="D718" s="5" t="s">
        <v>11</v>
      </c>
      <c r="E718" s="6">
        <v>544.86811314442821</v>
      </c>
      <c r="F718" s="33" t="str">
        <f t="shared" si="22"/>
        <v>Over 530</v>
      </c>
      <c r="G718" s="33">
        <f t="shared" si="23"/>
        <v>572.11151880164959</v>
      </c>
      <c r="H718" s="7">
        <v>0.02</v>
      </c>
      <c r="I718" s="5" t="s">
        <v>14</v>
      </c>
      <c r="J718" s="5">
        <v>39</v>
      </c>
      <c r="K718" s="2"/>
      <c r="L718" s="2"/>
      <c r="M718" s="1"/>
    </row>
    <row r="719" spans="1:13" ht="14.4" x14ac:dyDescent="0.3">
      <c r="A719" s="14">
        <v>44625</v>
      </c>
      <c r="B719" s="5">
        <v>3</v>
      </c>
      <c r="C719" s="32">
        <f>VLOOKUP(B719,'area in m2'!B$2:C$10,2,FALSE)</f>
        <v>195</v>
      </c>
      <c r="D719" s="5" t="s">
        <v>11</v>
      </c>
      <c r="E719" s="6">
        <v>536.09505375334538</v>
      </c>
      <c r="F719" s="33" t="str">
        <f t="shared" si="22"/>
        <v>Over 530</v>
      </c>
      <c r="G719" s="33">
        <f t="shared" si="23"/>
        <v>562.89980644101263</v>
      </c>
      <c r="H719" s="7">
        <v>0.03</v>
      </c>
      <c r="I719" s="5" t="s">
        <v>15</v>
      </c>
      <c r="J719" s="5">
        <v>33</v>
      </c>
      <c r="K719" s="2"/>
      <c r="L719" s="2"/>
      <c r="M719" s="1"/>
    </row>
    <row r="720" spans="1:13" ht="14.4" x14ac:dyDescent="0.3">
      <c r="A720" s="14">
        <v>44750</v>
      </c>
      <c r="B720" s="5">
        <v>5</v>
      </c>
      <c r="C720" s="32">
        <f>VLOOKUP(B720,'area in m2'!B$2:C$10,2,FALSE)</f>
        <v>200</v>
      </c>
      <c r="D720" s="5" t="s">
        <v>13</v>
      </c>
      <c r="E720" s="6">
        <v>546.34797305946449</v>
      </c>
      <c r="F720" s="33" t="str">
        <f t="shared" si="22"/>
        <v>Over 530</v>
      </c>
      <c r="G720" s="33">
        <f t="shared" si="23"/>
        <v>573.66537171243772</v>
      </c>
      <c r="H720" s="7">
        <v>0.01</v>
      </c>
      <c r="I720" s="5" t="s">
        <v>14</v>
      </c>
      <c r="J720" s="5">
        <v>31</v>
      </c>
      <c r="K720" s="2"/>
      <c r="L720" s="2"/>
      <c r="M720" s="1"/>
    </row>
    <row r="721" spans="1:13" ht="14.4" x14ac:dyDescent="0.3">
      <c r="A721" s="14">
        <v>44693</v>
      </c>
      <c r="B721" s="5">
        <v>4</v>
      </c>
      <c r="C721" s="32">
        <f>VLOOKUP(B721,'area in m2'!B$2:C$10,2,FALSE)</f>
        <v>188</v>
      </c>
      <c r="D721" s="5" t="s">
        <v>11</v>
      </c>
      <c r="E721" s="6">
        <v>501.09398567226708</v>
      </c>
      <c r="F721" s="33" t="str">
        <f t="shared" si="22"/>
        <v>Below 530</v>
      </c>
      <c r="G721" s="33">
        <f t="shared" si="23"/>
        <v>526.14868495588041</v>
      </c>
      <c r="H721" s="7">
        <v>0.03</v>
      </c>
      <c r="I721" s="5" t="s">
        <v>14</v>
      </c>
      <c r="J721" s="5">
        <v>50</v>
      </c>
      <c r="K721" s="2"/>
      <c r="L721" s="2"/>
      <c r="M721" s="1"/>
    </row>
    <row r="722" spans="1:13" ht="14.4" x14ac:dyDescent="0.3">
      <c r="A722" s="14">
        <v>44757</v>
      </c>
      <c r="B722" s="5">
        <v>1</v>
      </c>
      <c r="C722" s="32">
        <f>VLOOKUP(B722,'area in m2'!B$2:C$10,2,FALSE)</f>
        <v>280</v>
      </c>
      <c r="D722" s="5" t="s">
        <v>11</v>
      </c>
      <c r="E722" s="6">
        <v>537.8737787348764</v>
      </c>
      <c r="F722" s="33" t="str">
        <f t="shared" si="22"/>
        <v>Over 530</v>
      </c>
      <c r="G722" s="33">
        <f t="shared" si="23"/>
        <v>564.76746767162024</v>
      </c>
      <c r="H722" s="7">
        <v>0.01</v>
      </c>
      <c r="I722" s="5" t="s">
        <v>14</v>
      </c>
      <c r="J722" s="5">
        <v>33</v>
      </c>
      <c r="K722" s="2"/>
      <c r="L722" s="2"/>
      <c r="M722" s="1"/>
    </row>
    <row r="723" spans="1:13" ht="14.4" x14ac:dyDescent="0.3">
      <c r="A723" s="14">
        <v>44576</v>
      </c>
      <c r="B723" s="5">
        <v>7</v>
      </c>
      <c r="C723" s="32">
        <f>VLOOKUP(B723,'area in m2'!B$2:C$10,2,FALSE)</f>
        <v>166</v>
      </c>
      <c r="D723" s="5" t="s">
        <v>12</v>
      </c>
      <c r="E723" s="6">
        <v>544.18732495628137</v>
      </c>
      <c r="F723" s="33" t="str">
        <f t="shared" si="22"/>
        <v>Over 530</v>
      </c>
      <c r="G723" s="33">
        <f t="shared" si="23"/>
        <v>571.39669120409542</v>
      </c>
      <c r="H723" s="7">
        <v>0.02</v>
      </c>
      <c r="I723" s="5" t="s">
        <v>15</v>
      </c>
      <c r="J723" s="5">
        <v>19</v>
      </c>
      <c r="K723" s="2"/>
      <c r="L723" s="2"/>
      <c r="M723" s="1"/>
    </row>
    <row r="724" spans="1:13" ht="14.4" x14ac:dyDescent="0.3">
      <c r="A724" s="14">
        <v>44753</v>
      </c>
      <c r="B724" s="5">
        <v>8</v>
      </c>
      <c r="C724" s="32">
        <f>VLOOKUP(B724,'area in m2'!B$2:C$10,2,FALSE)</f>
        <v>142</v>
      </c>
      <c r="D724" s="5" t="s">
        <v>12</v>
      </c>
      <c r="E724" s="6">
        <v>534.31615411692655</v>
      </c>
      <c r="F724" s="33" t="str">
        <f t="shared" si="22"/>
        <v>Over 530</v>
      </c>
      <c r="G724" s="33">
        <f t="shared" si="23"/>
        <v>561.03196182277293</v>
      </c>
      <c r="H724" s="7">
        <v>0.01</v>
      </c>
      <c r="I724" s="5" t="s">
        <v>15</v>
      </c>
      <c r="J724" s="5">
        <v>64</v>
      </c>
      <c r="K724" s="2"/>
      <c r="L724" s="2"/>
      <c r="M724" s="1"/>
    </row>
    <row r="725" spans="1:13" ht="14.4" x14ac:dyDescent="0.3">
      <c r="A725" s="14">
        <v>44573</v>
      </c>
      <c r="B725" s="5">
        <v>6</v>
      </c>
      <c r="C725" s="32">
        <f>VLOOKUP(B725,'area in m2'!B$2:C$10,2,FALSE)</f>
        <v>175</v>
      </c>
      <c r="D725" s="5" t="s">
        <v>13</v>
      </c>
      <c r="E725" s="6">
        <v>533.48738384847911</v>
      </c>
      <c r="F725" s="33" t="str">
        <f t="shared" si="22"/>
        <v>Over 530</v>
      </c>
      <c r="G725" s="33">
        <f t="shared" si="23"/>
        <v>560.16175304090314</v>
      </c>
      <c r="H725" s="7">
        <v>0</v>
      </c>
      <c r="I725" s="5" t="s">
        <v>14</v>
      </c>
      <c r="J725" s="5">
        <v>41</v>
      </c>
      <c r="K725" s="2"/>
      <c r="L725" s="2"/>
      <c r="M725" s="1"/>
    </row>
    <row r="726" spans="1:13" ht="14.4" x14ac:dyDescent="0.3">
      <c r="A726" s="14">
        <v>44850</v>
      </c>
      <c r="B726" s="5">
        <v>1</v>
      </c>
      <c r="C726" s="32">
        <f>VLOOKUP(B726,'area in m2'!B$2:C$10,2,FALSE)</f>
        <v>280</v>
      </c>
      <c r="D726" s="5" t="s">
        <v>11</v>
      </c>
      <c r="E726" s="6">
        <v>507.93660460957108</v>
      </c>
      <c r="F726" s="33" t="str">
        <f t="shared" si="22"/>
        <v>Below 530</v>
      </c>
      <c r="G726" s="33">
        <f t="shared" si="23"/>
        <v>533.33343484004968</v>
      </c>
      <c r="H726" s="7">
        <v>0.01</v>
      </c>
      <c r="I726" s="5" t="s">
        <v>14</v>
      </c>
      <c r="J726" s="5">
        <v>43</v>
      </c>
      <c r="K726" s="2"/>
      <c r="L726" s="2"/>
      <c r="M726" s="1"/>
    </row>
    <row r="727" spans="1:13" ht="14.4" x14ac:dyDescent="0.3">
      <c r="A727" s="14">
        <v>44640</v>
      </c>
      <c r="B727" s="5">
        <v>1</v>
      </c>
      <c r="C727" s="32">
        <f>VLOOKUP(B727,'area in m2'!B$2:C$10,2,FALSE)</f>
        <v>280</v>
      </c>
      <c r="D727" s="5" t="s">
        <v>11</v>
      </c>
      <c r="E727" s="6">
        <v>523.71531895304452</v>
      </c>
      <c r="F727" s="33" t="str">
        <f t="shared" si="22"/>
        <v>Below 530</v>
      </c>
      <c r="G727" s="33">
        <f t="shared" si="23"/>
        <v>549.90108490069679</v>
      </c>
      <c r="H727" s="7">
        <v>0</v>
      </c>
      <c r="I727" s="5" t="s">
        <v>14</v>
      </c>
      <c r="J727" s="5">
        <v>30</v>
      </c>
      <c r="K727" s="2"/>
      <c r="L727" s="2"/>
      <c r="M727" s="1"/>
    </row>
    <row r="728" spans="1:13" ht="14.4" x14ac:dyDescent="0.3">
      <c r="A728" s="14">
        <v>44571</v>
      </c>
      <c r="B728" s="5">
        <v>3</v>
      </c>
      <c r="C728" s="32">
        <f>VLOOKUP(B728,'area in m2'!B$2:C$10,2,FALSE)</f>
        <v>195</v>
      </c>
      <c r="D728" s="5" t="s">
        <v>11</v>
      </c>
      <c r="E728" s="6">
        <v>547.23405959444972</v>
      </c>
      <c r="F728" s="33" t="str">
        <f t="shared" si="22"/>
        <v>Over 530</v>
      </c>
      <c r="G728" s="33">
        <f t="shared" si="23"/>
        <v>574.59576257417223</v>
      </c>
      <c r="H728" s="7">
        <v>0</v>
      </c>
      <c r="I728" s="5" t="s">
        <v>15</v>
      </c>
      <c r="J728" s="5">
        <v>42</v>
      </c>
      <c r="K728" s="2"/>
      <c r="L728" s="2"/>
      <c r="M728" s="1"/>
    </row>
    <row r="729" spans="1:13" ht="14.4" x14ac:dyDescent="0.3">
      <c r="A729" s="14">
        <v>44635</v>
      </c>
      <c r="B729" s="5">
        <v>6</v>
      </c>
      <c r="C729" s="32">
        <f>VLOOKUP(B729,'area in m2'!B$2:C$10,2,FALSE)</f>
        <v>175</v>
      </c>
      <c r="D729" s="5" t="s">
        <v>13</v>
      </c>
      <c r="E729" s="6">
        <v>507.27889473413779</v>
      </c>
      <c r="F729" s="33" t="str">
        <f t="shared" si="22"/>
        <v>Below 530</v>
      </c>
      <c r="G729" s="33">
        <f t="shared" si="23"/>
        <v>532.64283947084471</v>
      </c>
      <c r="H729" s="7">
        <v>0.01</v>
      </c>
      <c r="I729" s="5" t="s">
        <v>14</v>
      </c>
      <c r="J729" s="5">
        <v>28</v>
      </c>
      <c r="K729" s="2"/>
      <c r="L729" s="2"/>
      <c r="M729" s="1"/>
    </row>
    <row r="730" spans="1:13" ht="14.4" x14ac:dyDescent="0.3">
      <c r="A730" s="14">
        <v>44766</v>
      </c>
      <c r="B730" s="5">
        <v>1</v>
      </c>
      <c r="C730" s="32">
        <f>VLOOKUP(B730,'area in m2'!B$2:C$10,2,FALSE)</f>
        <v>280</v>
      </c>
      <c r="D730" s="5" t="s">
        <v>11</v>
      </c>
      <c r="E730" s="6">
        <v>505.36821607134698</v>
      </c>
      <c r="F730" s="33" t="str">
        <f t="shared" si="22"/>
        <v>Below 530</v>
      </c>
      <c r="G730" s="33">
        <f t="shared" si="23"/>
        <v>530.63662687491433</v>
      </c>
      <c r="H730" s="7">
        <v>0.02</v>
      </c>
      <c r="I730" s="5" t="s">
        <v>14</v>
      </c>
      <c r="J730" s="5">
        <v>30</v>
      </c>
      <c r="K730" s="2"/>
      <c r="L730" s="2"/>
      <c r="M730" s="1"/>
    </row>
    <row r="731" spans="1:13" ht="14.4" x14ac:dyDescent="0.3">
      <c r="A731" s="14">
        <v>44796</v>
      </c>
      <c r="B731" s="5">
        <v>6</v>
      </c>
      <c r="C731" s="32">
        <f>VLOOKUP(B731,'area in m2'!B$2:C$10,2,FALSE)</f>
        <v>175</v>
      </c>
      <c r="D731" s="5" t="s">
        <v>13</v>
      </c>
      <c r="E731" s="6">
        <v>507.89616855035911</v>
      </c>
      <c r="F731" s="33" t="str">
        <f t="shared" si="22"/>
        <v>Below 530</v>
      </c>
      <c r="G731" s="33">
        <f t="shared" si="23"/>
        <v>533.29097697787711</v>
      </c>
      <c r="H731" s="7">
        <v>0.02</v>
      </c>
      <c r="I731" s="5" t="s">
        <v>15</v>
      </c>
      <c r="J731" s="5">
        <v>17</v>
      </c>
      <c r="K731" s="2"/>
      <c r="L731" s="2"/>
      <c r="M731" s="1"/>
    </row>
    <row r="732" spans="1:13" ht="14.4" x14ac:dyDescent="0.3">
      <c r="A732" s="14">
        <v>44717</v>
      </c>
      <c r="B732" s="5">
        <v>3</v>
      </c>
      <c r="C732" s="32">
        <f>VLOOKUP(B732,'area in m2'!B$2:C$10,2,FALSE)</f>
        <v>195</v>
      </c>
      <c r="D732" s="5" t="s">
        <v>11</v>
      </c>
      <c r="E732" s="6">
        <v>545.41809676782032</v>
      </c>
      <c r="F732" s="33" t="str">
        <f t="shared" si="22"/>
        <v>Over 530</v>
      </c>
      <c r="G732" s="33">
        <f t="shared" si="23"/>
        <v>572.68900160621138</v>
      </c>
      <c r="H732" s="7">
        <v>0</v>
      </c>
      <c r="I732" s="5" t="s">
        <v>14</v>
      </c>
      <c r="J732" s="5">
        <v>45</v>
      </c>
      <c r="K732" s="2"/>
      <c r="L732" s="2"/>
      <c r="M732" s="1"/>
    </row>
    <row r="733" spans="1:13" ht="14.4" x14ac:dyDescent="0.3">
      <c r="A733" s="14">
        <v>44807</v>
      </c>
      <c r="B733" s="5">
        <v>6</v>
      </c>
      <c r="C733" s="32">
        <f>VLOOKUP(B733,'area in m2'!B$2:C$10,2,FALSE)</f>
        <v>175</v>
      </c>
      <c r="D733" s="5" t="s">
        <v>13</v>
      </c>
      <c r="E733" s="6">
        <v>542.89278297311012</v>
      </c>
      <c r="F733" s="33" t="str">
        <f t="shared" si="22"/>
        <v>Over 530</v>
      </c>
      <c r="G733" s="33">
        <f t="shared" si="23"/>
        <v>570.03742212176564</v>
      </c>
      <c r="H733" s="7">
        <v>0.03</v>
      </c>
      <c r="I733" s="5" t="s">
        <v>14</v>
      </c>
      <c r="J733" s="5">
        <v>33</v>
      </c>
      <c r="K733" s="2"/>
      <c r="L733" s="2"/>
      <c r="M733" s="1"/>
    </row>
    <row r="734" spans="1:13" ht="14.4" x14ac:dyDescent="0.3">
      <c r="A734" s="14">
        <v>44671</v>
      </c>
      <c r="B734" s="5">
        <v>6</v>
      </c>
      <c r="C734" s="32">
        <f>VLOOKUP(B734,'area in m2'!B$2:C$10,2,FALSE)</f>
        <v>175</v>
      </c>
      <c r="D734" s="5" t="s">
        <v>13</v>
      </c>
      <c r="E734" s="6">
        <v>507.89616855035911</v>
      </c>
      <c r="F734" s="33" t="str">
        <f t="shared" si="22"/>
        <v>Below 530</v>
      </c>
      <c r="G734" s="33">
        <f t="shared" si="23"/>
        <v>533.29097697787711</v>
      </c>
      <c r="H734" s="7">
        <v>0.02</v>
      </c>
      <c r="I734" s="5" t="s">
        <v>14</v>
      </c>
      <c r="J734" s="5">
        <v>29</v>
      </c>
      <c r="K734" s="2"/>
      <c r="L734" s="2"/>
      <c r="M734" s="1"/>
    </row>
    <row r="735" spans="1:13" ht="14.4" x14ac:dyDescent="0.3">
      <c r="A735" s="14">
        <v>44613</v>
      </c>
      <c r="B735" s="5">
        <v>7</v>
      </c>
      <c r="C735" s="32">
        <f>VLOOKUP(B735,'area in m2'!B$2:C$10,2,FALSE)</f>
        <v>166</v>
      </c>
      <c r="D735" s="5" t="s">
        <v>12</v>
      </c>
      <c r="E735" s="6">
        <v>514.9970930647869</v>
      </c>
      <c r="F735" s="33" t="str">
        <f t="shared" si="22"/>
        <v>Below 530</v>
      </c>
      <c r="G735" s="33">
        <f t="shared" si="23"/>
        <v>540.74694771802626</v>
      </c>
      <c r="H735" s="7">
        <v>0.01</v>
      </c>
      <c r="I735" s="5" t="s">
        <v>14</v>
      </c>
      <c r="J735" s="5">
        <v>28</v>
      </c>
      <c r="K735" s="2"/>
      <c r="L735" s="2"/>
      <c r="M735" s="1"/>
    </row>
    <row r="736" spans="1:13" ht="14.4" x14ac:dyDescent="0.3">
      <c r="A736" s="14">
        <v>44745</v>
      </c>
      <c r="B736" s="5">
        <v>7</v>
      </c>
      <c r="C736" s="32">
        <f>VLOOKUP(B736,'area in m2'!B$2:C$10,2,FALSE)</f>
        <v>166</v>
      </c>
      <c r="D736" s="5" t="s">
        <v>12</v>
      </c>
      <c r="E736" s="6">
        <v>542.46370961570574</v>
      </c>
      <c r="F736" s="33" t="str">
        <f t="shared" si="22"/>
        <v>Over 530</v>
      </c>
      <c r="G736" s="33">
        <f t="shared" si="23"/>
        <v>569.58689509649105</v>
      </c>
      <c r="H736" s="7">
        <v>0.02</v>
      </c>
      <c r="I736" s="5" t="s">
        <v>15</v>
      </c>
      <c r="J736" s="5">
        <v>19</v>
      </c>
      <c r="K736" s="2"/>
      <c r="L736" s="2"/>
      <c r="M736" s="1"/>
    </row>
    <row r="737" spans="1:13" ht="14.4" x14ac:dyDescent="0.3">
      <c r="A737" s="14">
        <v>44754</v>
      </c>
      <c r="B737" s="5">
        <v>7</v>
      </c>
      <c r="C737" s="32">
        <f>VLOOKUP(B737,'area in m2'!B$2:C$10,2,FALSE)</f>
        <v>166</v>
      </c>
      <c r="D737" s="5" t="s">
        <v>12</v>
      </c>
      <c r="E737" s="6">
        <v>538.61618232653655</v>
      </c>
      <c r="F737" s="33" t="str">
        <f t="shared" si="22"/>
        <v>Over 530</v>
      </c>
      <c r="G737" s="33">
        <f t="shared" si="23"/>
        <v>565.54699144286337</v>
      </c>
      <c r="H737" s="7">
        <v>0.02</v>
      </c>
      <c r="I737" s="5" t="s">
        <v>14</v>
      </c>
      <c r="J737" s="5">
        <v>58</v>
      </c>
      <c r="K737" s="2"/>
      <c r="L737" s="2"/>
      <c r="M737" s="1"/>
    </row>
    <row r="738" spans="1:13" ht="14.4" x14ac:dyDescent="0.3">
      <c r="A738" s="14">
        <v>44587</v>
      </c>
      <c r="B738" s="5">
        <v>3</v>
      </c>
      <c r="C738" s="32">
        <f>VLOOKUP(B738,'area in m2'!B$2:C$10,2,FALSE)</f>
        <v>195</v>
      </c>
      <c r="D738" s="5" t="s">
        <v>11</v>
      </c>
      <c r="E738" s="6">
        <v>539.35666458718879</v>
      </c>
      <c r="F738" s="33" t="str">
        <f t="shared" si="22"/>
        <v>Over 530</v>
      </c>
      <c r="G738" s="33">
        <f t="shared" si="23"/>
        <v>566.32449781654827</v>
      </c>
      <c r="H738" s="7">
        <v>0.01</v>
      </c>
      <c r="I738" s="5" t="s">
        <v>14</v>
      </c>
      <c r="J738" s="5">
        <v>30</v>
      </c>
      <c r="K738" s="2"/>
      <c r="L738" s="2"/>
      <c r="M738" s="1"/>
    </row>
    <row r="739" spans="1:13" ht="14.4" x14ac:dyDescent="0.3">
      <c r="A739" s="14">
        <v>44763</v>
      </c>
      <c r="B739" s="5">
        <v>1</v>
      </c>
      <c r="C739" s="32">
        <f>VLOOKUP(B739,'area in m2'!B$2:C$10,2,FALSE)</f>
        <v>280</v>
      </c>
      <c r="D739" s="5" t="s">
        <v>11</v>
      </c>
      <c r="E739" s="6">
        <v>515.40966025181933</v>
      </c>
      <c r="F739" s="33" t="str">
        <f t="shared" si="22"/>
        <v>Below 530</v>
      </c>
      <c r="G739" s="33">
        <f t="shared" si="23"/>
        <v>541.18014326441028</v>
      </c>
      <c r="H739" s="7">
        <v>0.02</v>
      </c>
      <c r="I739" s="5" t="s">
        <v>14</v>
      </c>
      <c r="J739" s="5">
        <v>47</v>
      </c>
      <c r="K739" s="2"/>
      <c r="L739" s="2"/>
      <c r="M739" s="1"/>
    </row>
    <row r="740" spans="1:13" ht="14.4" x14ac:dyDescent="0.3">
      <c r="A740" s="14">
        <v>44792</v>
      </c>
      <c r="B740" s="5">
        <v>4</v>
      </c>
      <c r="C740" s="32">
        <f>VLOOKUP(B740,'area in m2'!B$2:C$10,2,FALSE)</f>
        <v>188</v>
      </c>
      <c r="D740" s="5" t="s">
        <v>11</v>
      </c>
      <c r="E740" s="6">
        <v>543.5296624419916</v>
      </c>
      <c r="F740" s="33" t="str">
        <f t="shared" si="22"/>
        <v>Over 530</v>
      </c>
      <c r="G740" s="33">
        <f t="shared" si="23"/>
        <v>570.70614556409123</v>
      </c>
      <c r="H740" s="7">
        <v>0.01</v>
      </c>
      <c r="I740" s="5" t="s">
        <v>14</v>
      </c>
      <c r="J740" s="5">
        <v>25</v>
      </c>
      <c r="K740" s="2"/>
      <c r="L740" s="2"/>
      <c r="M740" s="1"/>
    </row>
    <row r="741" spans="1:13" ht="14.4" x14ac:dyDescent="0.3">
      <c r="A741" s="14">
        <v>44580</v>
      </c>
      <c r="B741" s="5">
        <v>6</v>
      </c>
      <c r="C741" s="32">
        <f>VLOOKUP(B741,'area in m2'!B$2:C$10,2,FALSE)</f>
        <v>175</v>
      </c>
      <c r="D741" s="5" t="s">
        <v>13</v>
      </c>
      <c r="E741" s="6">
        <v>511.13727902466235</v>
      </c>
      <c r="F741" s="33" t="str">
        <f t="shared" si="22"/>
        <v>Below 530</v>
      </c>
      <c r="G741" s="33">
        <f t="shared" si="23"/>
        <v>536.69414297589549</v>
      </c>
      <c r="H741" s="7">
        <v>0</v>
      </c>
      <c r="I741" s="5" t="s">
        <v>14</v>
      </c>
      <c r="J741" s="5">
        <v>47</v>
      </c>
      <c r="K741" s="2"/>
      <c r="L741" s="2"/>
      <c r="M741" s="1"/>
    </row>
    <row r="742" spans="1:13" ht="14.4" x14ac:dyDescent="0.3">
      <c r="A742" s="14">
        <v>44563</v>
      </c>
      <c r="B742" s="5">
        <v>3</v>
      </c>
      <c r="C742" s="32">
        <f>VLOOKUP(B742,'area in m2'!B$2:C$10,2,FALSE)</f>
        <v>195</v>
      </c>
      <c r="D742" s="5" t="s">
        <v>11</v>
      </c>
      <c r="E742" s="6">
        <v>545.76401380552852</v>
      </c>
      <c r="F742" s="33" t="str">
        <f t="shared" si="22"/>
        <v>Over 530</v>
      </c>
      <c r="G742" s="33">
        <f t="shared" si="23"/>
        <v>573.05221449580495</v>
      </c>
      <c r="H742" s="7">
        <v>0.03</v>
      </c>
      <c r="I742" s="5" t="s">
        <v>15</v>
      </c>
      <c r="J742" s="5">
        <v>42</v>
      </c>
      <c r="K742" s="2"/>
      <c r="L742" s="2"/>
      <c r="M742" s="1"/>
    </row>
    <row r="743" spans="1:13" ht="14.4" x14ac:dyDescent="0.3">
      <c r="A743" s="14">
        <v>44891</v>
      </c>
      <c r="B743" s="5">
        <v>8</v>
      </c>
      <c r="C743" s="32">
        <f>VLOOKUP(B743,'area in m2'!B$2:C$10,2,FALSE)</f>
        <v>142</v>
      </c>
      <c r="D743" s="5" t="s">
        <v>12</v>
      </c>
      <c r="E743" s="6">
        <v>503.5986081194867</v>
      </c>
      <c r="F743" s="33" t="str">
        <f t="shared" si="22"/>
        <v>Below 530</v>
      </c>
      <c r="G743" s="33">
        <f t="shared" si="23"/>
        <v>528.77853852546104</v>
      </c>
      <c r="H743" s="7">
        <v>0.01</v>
      </c>
      <c r="I743" s="5" t="s">
        <v>14</v>
      </c>
      <c r="J743" s="5">
        <v>23</v>
      </c>
      <c r="K743" s="2"/>
      <c r="L743" s="2"/>
      <c r="M743" s="1"/>
    </row>
    <row r="744" spans="1:13" ht="14.4" x14ac:dyDescent="0.3">
      <c r="A744" s="14">
        <v>44775</v>
      </c>
      <c r="B744" s="5">
        <v>5</v>
      </c>
      <c r="C744" s="32">
        <f>VLOOKUP(B744,'area in m2'!B$2:C$10,2,FALSE)</f>
        <v>200</v>
      </c>
      <c r="D744" s="5" t="s">
        <v>13</v>
      </c>
      <c r="E744" s="6">
        <v>549.58272872960151</v>
      </c>
      <c r="F744" s="33" t="str">
        <f t="shared" si="22"/>
        <v>Over 530</v>
      </c>
      <c r="G744" s="33">
        <f t="shared" si="23"/>
        <v>577.06186516608159</v>
      </c>
      <c r="H744" s="7">
        <v>0.02</v>
      </c>
      <c r="I744" s="5" t="s">
        <v>15</v>
      </c>
      <c r="J744" s="5">
        <v>31</v>
      </c>
      <c r="K744" s="2"/>
      <c r="L744" s="2"/>
      <c r="M744" s="1"/>
    </row>
    <row r="745" spans="1:13" ht="14.4" x14ac:dyDescent="0.3">
      <c r="A745" s="14">
        <v>44920</v>
      </c>
      <c r="B745" s="5">
        <v>4</v>
      </c>
      <c r="C745" s="32">
        <f>VLOOKUP(B745,'area in m2'!B$2:C$10,2,FALSE)</f>
        <v>188</v>
      </c>
      <c r="D745" s="5" t="s">
        <v>11</v>
      </c>
      <c r="E745" s="6">
        <v>541.09857390431262</v>
      </c>
      <c r="F745" s="33" t="str">
        <f t="shared" si="22"/>
        <v>Over 530</v>
      </c>
      <c r="G745" s="33">
        <f t="shared" si="23"/>
        <v>568.15350259952822</v>
      </c>
      <c r="H745" s="7">
        <v>0.02</v>
      </c>
      <c r="I745" s="5" t="s">
        <v>14</v>
      </c>
      <c r="J745" s="5">
        <v>43</v>
      </c>
      <c r="K745" s="2"/>
      <c r="L745" s="2"/>
      <c r="M745" s="1"/>
    </row>
    <row r="746" spans="1:13" ht="14.4" x14ac:dyDescent="0.3">
      <c r="A746" s="14">
        <v>44775</v>
      </c>
      <c r="B746" s="5">
        <v>2</v>
      </c>
      <c r="C746" s="32">
        <f>VLOOKUP(B746,'area in m2'!B$2:C$10,2,FALSE)</f>
        <v>250</v>
      </c>
      <c r="D746" s="5" t="s">
        <v>11</v>
      </c>
      <c r="E746" s="6">
        <v>500.51155467037552</v>
      </c>
      <c r="F746" s="33" t="str">
        <f t="shared" si="22"/>
        <v>Below 530</v>
      </c>
      <c r="G746" s="33">
        <f t="shared" si="23"/>
        <v>525.53713240389436</v>
      </c>
      <c r="H746" s="7">
        <v>0.01</v>
      </c>
      <c r="I746" s="5" t="s">
        <v>14</v>
      </c>
      <c r="J746" s="5">
        <v>27</v>
      </c>
      <c r="K746" s="2"/>
      <c r="L746" s="2"/>
      <c r="M746" s="1"/>
    </row>
    <row r="747" spans="1:13" ht="14.4" x14ac:dyDescent="0.3">
      <c r="A747" s="14">
        <v>44916</v>
      </c>
      <c r="B747" s="5">
        <v>4</v>
      </c>
      <c r="C747" s="32">
        <f>VLOOKUP(B747,'area in m2'!B$2:C$10,2,FALSE)</f>
        <v>188</v>
      </c>
      <c r="D747" s="5" t="s">
        <v>11</v>
      </c>
      <c r="E747" s="6">
        <v>523.35905879624625</v>
      </c>
      <c r="F747" s="33" t="str">
        <f t="shared" si="22"/>
        <v>Below 530</v>
      </c>
      <c r="G747" s="33">
        <f t="shared" si="23"/>
        <v>549.52701173605863</v>
      </c>
      <c r="H747" s="7">
        <v>0.01</v>
      </c>
      <c r="I747" s="5" t="s">
        <v>14</v>
      </c>
      <c r="J747" s="5">
        <v>39</v>
      </c>
      <c r="K747" s="2"/>
      <c r="L747" s="2"/>
      <c r="M747" s="1"/>
    </row>
    <row r="748" spans="1:13" ht="14.4" x14ac:dyDescent="0.3">
      <c r="A748" s="14">
        <v>44696</v>
      </c>
      <c r="B748" s="5">
        <v>9</v>
      </c>
      <c r="C748" s="32">
        <f>VLOOKUP(B748,'area in m2'!B$2:C$10,2,FALSE)</f>
        <v>140</v>
      </c>
      <c r="D748" s="5" t="s">
        <v>12</v>
      </c>
      <c r="E748" s="6">
        <v>513.46040394408101</v>
      </c>
      <c r="F748" s="33" t="str">
        <f t="shared" si="22"/>
        <v>Below 530</v>
      </c>
      <c r="G748" s="33">
        <f t="shared" si="23"/>
        <v>539.1334241412851</v>
      </c>
      <c r="H748" s="7">
        <v>0.01</v>
      </c>
      <c r="I748" s="5" t="s">
        <v>14</v>
      </c>
      <c r="J748" s="5">
        <v>26</v>
      </c>
      <c r="K748" s="2"/>
      <c r="L748" s="2"/>
      <c r="M748" s="1"/>
    </row>
    <row r="749" spans="1:13" ht="14.4" x14ac:dyDescent="0.3">
      <c r="A749" s="14">
        <v>44758</v>
      </c>
      <c r="B749" s="5">
        <v>8</v>
      </c>
      <c r="C749" s="32">
        <f>VLOOKUP(B749,'area in m2'!B$2:C$10,2,FALSE)</f>
        <v>142</v>
      </c>
      <c r="D749" s="5" t="s">
        <v>12</v>
      </c>
      <c r="E749" s="6">
        <v>550.36148407439759</v>
      </c>
      <c r="F749" s="33" t="str">
        <f t="shared" si="22"/>
        <v>Over 530</v>
      </c>
      <c r="G749" s="33">
        <f t="shared" si="23"/>
        <v>577.87955827811754</v>
      </c>
      <c r="H749" s="7">
        <v>0.03</v>
      </c>
      <c r="I749" s="5" t="s">
        <v>14</v>
      </c>
      <c r="J749" s="5">
        <v>35</v>
      </c>
      <c r="K749" s="2"/>
      <c r="L749" s="2"/>
      <c r="M749" s="1"/>
    </row>
    <row r="750" spans="1:13" ht="14.4" x14ac:dyDescent="0.3">
      <c r="A750" s="14">
        <v>44602</v>
      </c>
      <c r="B750" s="5">
        <v>1</v>
      </c>
      <c r="C750" s="32">
        <f>VLOOKUP(B750,'area in m2'!B$2:C$10,2,FALSE)</f>
        <v>280</v>
      </c>
      <c r="D750" s="5" t="s">
        <v>11</v>
      </c>
      <c r="E750" s="6">
        <v>543.82097233426975</v>
      </c>
      <c r="F750" s="33" t="str">
        <f t="shared" si="22"/>
        <v>Over 530</v>
      </c>
      <c r="G750" s="33">
        <f t="shared" si="23"/>
        <v>571.01202095098324</v>
      </c>
      <c r="H750" s="7">
        <v>0.03</v>
      </c>
      <c r="I750" s="5" t="s">
        <v>15</v>
      </c>
      <c r="J750" s="5">
        <v>25</v>
      </c>
      <c r="K750" s="2"/>
      <c r="L750" s="2"/>
      <c r="M750" s="1"/>
    </row>
    <row r="751" spans="1:13" ht="14.4" x14ac:dyDescent="0.3">
      <c r="A751" s="14">
        <v>44808</v>
      </c>
      <c r="B751" s="5">
        <v>1</v>
      </c>
      <c r="C751" s="32">
        <f>VLOOKUP(B751,'area in m2'!B$2:C$10,2,FALSE)</f>
        <v>280</v>
      </c>
      <c r="D751" s="5" t="s">
        <v>11</v>
      </c>
      <c r="E751" s="6">
        <v>509.5478211519594</v>
      </c>
      <c r="F751" s="33" t="str">
        <f t="shared" si="22"/>
        <v>Below 530</v>
      </c>
      <c r="G751" s="33">
        <f t="shared" si="23"/>
        <v>535.02521220955737</v>
      </c>
      <c r="H751" s="7">
        <v>0.02</v>
      </c>
      <c r="I751" s="5" t="s">
        <v>15</v>
      </c>
      <c r="J751" s="5">
        <v>27</v>
      </c>
      <c r="K751" s="2"/>
      <c r="L751" s="2"/>
      <c r="M751" s="1"/>
    </row>
    <row r="752" spans="1:13" ht="14.4" x14ac:dyDescent="0.3">
      <c r="A752" s="14">
        <v>44640</v>
      </c>
      <c r="B752" s="5">
        <v>6</v>
      </c>
      <c r="C752" s="32">
        <f>VLOOKUP(B752,'area in m2'!B$2:C$10,2,FALSE)</f>
        <v>175</v>
      </c>
      <c r="D752" s="5" t="s">
        <v>13</v>
      </c>
      <c r="E752" s="6">
        <v>535.22551871216001</v>
      </c>
      <c r="F752" s="33" t="str">
        <f t="shared" si="22"/>
        <v>Over 530</v>
      </c>
      <c r="G752" s="33">
        <f t="shared" si="23"/>
        <v>561.98679464776808</v>
      </c>
      <c r="H752" s="7">
        <v>0.03</v>
      </c>
      <c r="I752" s="5" t="s">
        <v>14</v>
      </c>
      <c r="J752" s="5">
        <v>35</v>
      </c>
      <c r="K752" s="2"/>
      <c r="L752" s="2"/>
      <c r="M752" s="1"/>
    </row>
    <row r="753" spans="1:13" ht="14.4" x14ac:dyDescent="0.3">
      <c r="A753" s="14">
        <v>44919</v>
      </c>
      <c r="B753" s="5">
        <v>2</v>
      </c>
      <c r="C753" s="32">
        <f>VLOOKUP(B753,'area in m2'!B$2:C$10,2,FALSE)</f>
        <v>250</v>
      </c>
      <c r="D753" s="5" t="s">
        <v>11</v>
      </c>
      <c r="E753" s="6">
        <v>504.75070570974003</v>
      </c>
      <c r="F753" s="33" t="str">
        <f t="shared" si="22"/>
        <v>Below 530</v>
      </c>
      <c r="G753" s="33">
        <f t="shared" si="23"/>
        <v>529.9882409952271</v>
      </c>
      <c r="H753" s="7">
        <v>0</v>
      </c>
      <c r="I753" s="5" t="s">
        <v>15</v>
      </c>
      <c r="J753" s="5">
        <v>51</v>
      </c>
      <c r="K753" s="2"/>
      <c r="L753" s="2"/>
      <c r="M753" s="1"/>
    </row>
    <row r="754" spans="1:13" ht="14.4" x14ac:dyDescent="0.3">
      <c r="A754" s="14">
        <v>44661</v>
      </c>
      <c r="B754" s="5">
        <v>2</v>
      </c>
      <c r="C754" s="32">
        <f>VLOOKUP(B754,'area in m2'!B$2:C$10,2,FALSE)</f>
        <v>250</v>
      </c>
      <c r="D754" s="5" t="s">
        <v>11</v>
      </c>
      <c r="E754" s="6">
        <v>533.34037083643307</v>
      </c>
      <c r="F754" s="33" t="str">
        <f t="shared" si="22"/>
        <v>Over 530</v>
      </c>
      <c r="G754" s="33">
        <f t="shared" si="23"/>
        <v>560.00738937825474</v>
      </c>
      <c r="H754" s="7">
        <v>0.02</v>
      </c>
      <c r="I754" s="5" t="s">
        <v>14</v>
      </c>
      <c r="J754" s="5">
        <v>45</v>
      </c>
      <c r="K754" s="2"/>
      <c r="L754" s="2"/>
      <c r="M754" s="1"/>
    </row>
    <row r="755" spans="1:13" ht="14.4" x14ac:dyDescent="0.3">
      <c r="A755" s="14">
        <v>44871</v>
      </c>
      <c r="B755" s="5">
        <v>3</v>
      </c>
      <c r="C755" s="32">
        <f>VLOOKUP(B755,'area in m2'!B$2:C$10,2,FALSE)</f>
        <v>195</v>
      </c>
      <c r="D755" s="5" t="s">
        <v>11</v>
      </c>
      <c r="E755" s="6">
        <v>515.68118045896972</v>
      </c>
      <c r="F755" s="33" t="str">
        <f t="shared" si="22"/>
        <v>Below 530</v>
      </c>
      <c r="G755" s="33">
        <f t="shared" si="23"/>
        <v>541.46523948191827</v>
      </c>
      <c r="H755" s="7">
        <v>0.01</v>
      </c>
      <c r="I755" s="5" t="s">
        <v>14</v>
      </c>
      <c r="J755" s="5">
        <v>39</v>
      </c>
      <c r="K755" s="2"/>
      <c r="L755" s="2"/>
      <c r="M755" s="1"/>
    </row>
    <row r="756" spans="1:13" ht="14.4" x14ac:dyDescent="0.3">
      <c r="A756" s="14">
        <v>44822</v>
      </c>
      <c r="B756" s="5">
        <v>6</v>
      </c>
      <c r="C756" s="32">
        <f>VLOOKUP(B756,'area in m2'!B$2:C$10,2,FALSE)</f>
        <v>175</v>
      </c>
      <c r="D756" s="5" t="s">
        <v>13</v>
      </c>
      <c r="E756" s="6">
        <v>539.18567086526946</v>
      </c>
      <c r="F756" s="33" t="str">
        <f t="shared" si="22"/>
        <v>Over 530</v>
      </c>
      <c r="G756" s="33">
        <f t="shared" si="23"/>
        <v>566.14495440853295</v>
      </c>
      <c r="H756" s="7">
        <v>0.01</v>
      </c>
      <c r="I756" s="5" t="s">
        <v>14</v>
      </c>
      <c r="J756" s="5">
        <v>25</v>
      </c>
      <c r="K756" s="2"/>
      <c r="L756" s="2"/>
      <c r="M756" s="1"/>
    </row>
    <row r="757" spans="1:13" ht="14.4" x14ac:dyDescent="0.3">
      <c r="A757" s="14">
        <v>44693</v>
      </c>
      <c r="B757" s="5">
        <v>3</v>
      </c>
      <c r="C757" s="32">
        <f>VLOOKUP(B757,'area in m2'!B$2:C$10,2,FALSE)</f>
        <v>195</v>
      </c>
      <c r="D757" s="5" t="s">
        <v>11</v>
      </c>
      <c r="E757" s="6">
        <v>529.20852633157665</v>
      </c>
      <c r="F757" s="33" t="str">
        <f t="shared" si="22"/>
        <v>Below 530</v>
      </c>
      <c r="G757" s="33">
        <f t="shared" si="23"/>
        <v>555.66895264815548</v>
      </c>
      <c r="H757" s="7">
        <v>0.01</v>
      </c>
      <c r="I757" s="5" t="s">
        <v>14</v>
      </c>
      <c r="J757" s="5">
        <v>32</v>
      </c>
      <c r="K757" s="2"/>
      <c r="L757" s="2"/>
      <c r="M757" s="1"/>
    </row>
    <row r="758" spans="1:13" ht="14.4" x14ac:dyDescent="0.3">
      <c r="A758" s="14">
        <v>44904</v>
      </c>
      <c r="B758" s="5">
        <v>4</v>
      </c>
      <c r="C758" s="32">
        <f>VLOOKUP(B758,'area in m2'!B$2:C$10,2,FALSE)</f>
        <v>188</v>
      </c>
      <c r="D758" s="5" t="s">
        <v>11</v>
      </c>
      <c r="E758" s="6">
        <v>506.84599266231544</v>
      </c>
      <c r="F758" s="33" t="str">
        <f t="shared" si="22"/>
        <v>Below 530</v>
      </c>
      <c r="G758" s="33">
        <f t="shared" si="23"/>
        <v>532.18829229543121</v>
      </c>
      <c r="H758" s="7">
        <v>0.01</v>
      </c>
      <c r="I758" s="5" t="s">
        <v>14</v>
      </c>
      <c r="J758" s="5">
        <v>39</v>
      </c>
      <c r="K758" s="2"/>
      <c r="L758" s="2"/>
      <c r="M758" s="1"/>
    </row>
    <row r="759" spans="1:13" ht="14.4" x14ac:dyDescent="0.3">
      <c r="A759" s="14">
        <v>44797</v>
      </c>
      <c r="B759" s="5">
        <v>7</v>
      </c>
      <c r="C759" s="32">
        <f>VLOOKUP(B759,'area in m2'!B$2:C$10,2,FALSE)</f>
        <v>166</v>
      </c>
      <c r="D759" s="5" t="s">
        <v>12</v>
      </c>
      <c r="E759" s="6">
        <v>522.65932039593008</v>
      </c>
      <c r="F759" s="33" t="str">
        <f t="shared" si="22"/>
        <v>Below 530</v>
      </c>
      <c r="G759" s="33">
        <f t="shared" si="23"/>
        <v>548.79228641572661</v>
      </c>
      <c r="H759" s="7">
        <v>0.01</v>
      </c>
      <c r="I759" s="5" t="s">
        <v>14</v>
      </c>
      <c r="J759" s="5">
        <v>35</v>
      </c>
      <c r="K759" s="2"/>
      <c r="L759" s="2"/>
      <c r="M759" s="1"/>
    </row>
    <row r="760" spans="1:13" ht="14.4" x14ac:dyDescent="0.3">
      <c r="A760" s="14">
        <v>44576</v>
      </c>
      <c r="B760" s="5">
        <v>1</v>
      </c>
      <c r="C760" s="32">
        <f>VLOOKUP(B760,'area in m2'!B$2:C$10,2,FALSE)</f>
        <v>280</v>
      </c>
      <c r="D760" s="5" t="s">
        <v>11</v>
      </c>
      <c r="E760" s="6">
        <v>502.11650149895468</v>
      </c>
      <c r="F760" s="33" t="str">
        <f t="shared" si="22"/>
        <v>Below 530</v>
      </c>
      <c r="G760" s="33">
        <f t="shared" si="23"/>
        <v>527.22232657390248</v>
      </c>
      <c r="H760" s="7">
        <v>0.01</v>
      </c>
      <c r="I760" s="5" t="s">
        <v>14</v>
      </c>
      <c r="J760" s="5">
        <v>39</v>
      </c>
      <c r="K760" s="2"/>
      <c r="L760" s="2"/>
      <c r="M760" s="1"/>
    </row>
    <row r="761" spans="1:13" ht="14.4" x14ac:dyDescent="0.3">
      <c r="A761" s="14">
        <v>44811</v>
      </c>
      <c r="B761" s="5">
        <v>5</v>
      </c>
      <c r="C761" s="32">
        <f>VLOOKUP(B761,'area in m2'!B$2:C$10,2,FALSE)</f>
        <v>200</v>
      </c>
      <c r="D761" s="5" t="s">
        <v>13</v>
      </c>
      <c r="E761" s="6">
        <v>552.7262620403144</v>
      </c>
      <c r="F761" s="33" t="str">
        <f t="shared" si="22"/>
        <v>Over 530</v>
      </c>
      <c r="G761" s="33">
        <f t="shared" si="23"/>
        <v>580.36257514233012</v>
      </c>
      <c r="H761" s="7">
        <v>0.02</v>
      </c>
      <c r="I761" s="5" t="s">
        <v>15</v>
      </c>
      <c r="J761" s="5">
        <v>25</v>
      </c>
      <c r="K761" s="2"/>
      <c r="L761" s="2"/>
      <c r="M761" s="1"/>
    </row>
    <row r="762" spans="1:13" ht="14.4" x14ac:dyDescent="0.3">
      <c r="A762" s="14">
        <v>44598</v>
      </c>
      <c r="B762" s="5">
        <v>7</v>
      </c>
      <c r="C762" s="32">
        <f>VLOOKUP(B762,'area in m2'!B$2:C$10,2,FALSE)</f>
        <v>166</v>
      </c>
      <c r="D762" s="5" t="s">
        <v>12</v>
      </c>
      <c r="E762" s="6">
        <v>518.43565114083776</v>
      </c>
      <c r="F762" s="33" t="str">
        <f t="shared" si="22"/>
        <v>Below 530</v>
      </c>
      <c r="G762" s="33">
        <f t="shared" si="23"/>
        <v>544.35743369787963</v>
      </c>
      <c r="H762" s="7">
        <v>0.02</v>
      </c>
      <c r="I762" s="5" t="s">
        <v>14</v>
      </c>
      <c r="J762" s="5">
        <v>23</v>
      </c>
      <c r="K762" s="2"/>
      <c r="L762" s="2"/>
      <c r="M762" s="1"/>
    </row>
    <row r="763" spans="1:13" ht="14.4" x14ac:dyDescent="0.3">
      <c r="A763" s="14">
        <v>44750</v>
      </c>
      <c r="B763" s="5">
        <v>4</v>
      </c>
      <c r="C763" s="32">
        <f>VLOOKUP(B763,'area in m2'!B$2:C$10,2,FALSE)</f>
        <v>188</v>
      </c>
      <c r="D763" s="5" t="s">
        <v>11</v>
      </c>
      <c r="E763" s="6">
        <v>531.76137612871025</v>
      </c>
      <c r="F763" s="33" t="str">
        <f t="shared" si="22"/>
        <v>Over 530</v>
      </c>
      <c r="G763" s="33">
        <f t="shared" si="23"/>
        <v>558.34944493514581</v>
      </c>
      <c r="H763" s="7">
        <v>0.03</v>
      </c>
      <c r="I763" s="5" t="s">
        <v>15</v>
      </c>
      <c r="J763" s="5">
        <v>39</v>
      </c>
      <c r="K763" s="2"/>
      <c r="L763" s="2"/>
      <c r="M763" s="1"/>
    </row>
    <row r="764" spans="1:13" ht="14.4" x14ac:dyDescent="0.3">
      <c r="A764" s="14">
        <v>44628</v>
      </c>
      <c r="B764" s="5">
        <v>8</v>
      </c>
      <c r="C764" s="32">
        <f>VLOOKUP(B764,'area in m2'!B$2:C$10,2,FALSE)</f>
        <v>142</v>
      </c>
      <c r="D764" s="5" t="s">
        <v>12</v>
      </c>
      <c r="E764" s="6">
        <v>540.7835666829651</v>
      </c>
      <c r="F764" s="33" t="str">
        <f t="shared" si="22"/>
        <v>Over 530</v>
      </c>
      <c r="G764" s="33">
        <f t="shared" si="23"/>
        <v>567.82274501711333</v>
      </c>
      <c r="H764" s="7">
        <v>0.01</v>
      </c>
      <c r="I764" s="5" t="s">
        <v>14</v>
      </c>
      <c r="J764" s="5">
        <v>34</v>
      </c>
      <c r="K764" s="2"/>
      <c r="L764" s="2"/>
      <c r="M764" s="1"/>
    </row>
    <row r="765" spans="1:13" ht="14.4" x14ac:dyDescent="0.3">
      <c r="A765" s="14">
        <v>44705</v>
      </c>
      <c r="B765" s="5">
        <v>9</v>
      </c>
      <c r="C765" s="32">
        <f>VLOOKUP(B765,'area in m2'!B$2:C$10,2,FALSE)</f>
        <v>140</v>
      </c>
      <c r="D765" s="5" t="s">
        <v>12</v>
      </c>
      <c r="E765" s="6">
        <v>521.75968466355698</v>
      </c>
      <c r="F765" s="33" t="str">
        <f t="shared" si="22"/>
        <v>Below 530</v>
      </c>
      <c r="G765" s="33">
        <f t="shared" si="23"/>
        <v>547.84766889673483</v>
      </c>
      <c r="H765" s="7">
        <v>0</v>
      </c>
      <c r="I765" s="5" t="s">
        <v>14</v>
      </c>
      <c r="J765" s="5">
        <v>25</v>
      </c>
      <c r="K765" s="2"/>
      <c r="L765" s="2"/>
      <c r="M765" s="1"/>
    </row>
    <row r="766" spans="1:13" ht="14.4" x14ac:dyDescent="0.3">
      <c r="A766" s="14">
        <v>44724</v>
      </c>
      <c r="B766" s="5">
        <v>1</v>
      </c>
      <c r="C766" s="32">
        <f>VLOOKUP(B766,'area in m2'!B$2:C$10,2,FALSE)</f>
        <v>280</v>
      </c>
      <c r="D766" s="5" t="s">
        <v>11</v>
      </c>
      <c r="E766" s="6">
        <v>542.01291510223018</v>
      </c>
      <c r="F766" s="33" t="str">
        <f t="shared" si="22"/>
        <v>Over 530</v>
      </c>
      <c r="G766" s="33">
        <f t="shared" si="23"/>
        <v>569.11356085734167</v>
      </c>
      <c r="H766" s="7">
        <v>0.02</v>
      </c>
      <c r="I766" s="5" t="s">
        <v>15</v>
      </c>
      <c r="J766" s="5">
        <v>45</v>
      </c>
      <c r="K766" s="2"/>
      <c r="L766" s="2"/>
      <c r="M766" s="1"/>
    </row>
    <row r="767" spans="1:13" ht="14.4" x14ac:dyDescent="0.3">
      <c r="A767" s="14">
        <v>44570</v>
      </c>
      <c r="B767" s="5">
        <v>5</v>
      </c>
      <c r="C767" s="32">
        <f>VLOOKUP(B767,'area in m2'!B$2:C$10,2,FALSE)</f>
        <v>200</v>
      </c>
      <c r="D767" s="5" t="s">
        <v>13</v>
      </c>
      <c r="E767" s="6">
        <v>550.23</v>
      </c>
      <c r="F767" s="33" t="str">
        <f t="shared" si="22"/>
        <v>Over 530</v>
      </c>
      <c r="G767" s="33">
        <f t="shared" si="23"/>
        <v>577.74150000000009</v>
      </c>
      <c r="H767" s="7">
        <v>0.02</v>
      </c>
      <c r="I767" s="5" t="s">
        <v>14</v>
      </c>
      <c r="J767" s="5">
        <v>30</v>
      </c>
      <c r="K767" s="2"/>
      <c r="L767" s="2"/>
      <c r="M767" s="1"/>
    </row>
    <row r="768" spans="1:13" ht="14.4" x14ac:dyDescent="0.3">
      <c r="A768" s="14">
        <v>44795</v>
      </c>
      <c r="B768" s="5">
        <v>8</v>
      </c>
      <c r="C768" s="32">
        <f>VLOOKUP(B768,'area in m2'!B$2:C$10,2,FALSE)</f>
        <v>142</v>
      </c>
      <c r="D768" s="5" t="s">
        <v>12</v>
      </c>
      <c r="E768" s="6">
        <v>509.38746090465338</v>
      </c>
      <c r="F768" s="33" t="str">
        <f t="shared" si="22"/>
        <v>Below 530</v>
      </c>
      <c r="G768" s="33">
        <f t="shared" si="23"/>
        <v>534.8568339498861</v>
      </c>
      <c r="H768" s="7">
        <v>0.01</v>
      </c>
      <c r="I768" s="5" t="s">
        <v>14</v>
      </c>
      <c r="J768" s="5">
        <v>50</v>
      </c>
      <c r="K768" s="2"/>
      <c r="L768" s="2"/>
      <c r="M768" s="1"/>
    </row>
    <row r="769" spans="1:13" ht="14.4" x14ac:dyDescent="0.3">
      <c r="A769" s="14">
        <v>44622</v>
      </c>
      <c r="B769" s="5">
        <v>5</v>
      </c>
      <c r="C769" s="32">
        <f>VLOOKUP(B769,'area in m2'!B$2:C$10,2,FALSE)</f>
        <v>200</v>
      </c>
      <c r="D769" s="5" t="s">
        <v>13</v>
      </c>
      <c r="E769" s="6">
        <v>522.35211865455312</v>
      </c>
      <c r="F769" s="33" t="str">
        <f t="shared" si="22"/>
        <v>Below 530</v>
      </c>
      <c r="G769" s="33">
        <f t="shared" si="23"/>
        <v>548.46972458728078</v>
      </c>
      <c r="H769" s="7">
        <v>0.02</v>
      </c>
      <c r="I769" s="5" t="s">
        <v>15</v>
      </c>
      <c r="J769" s="5">
        <v>60</v>
      </c>
      <c r="K769" s="2"/>
      <c r="L769" s="2"/>
      <c r="M769" s="1"/>
    </row>
    <row r="770" spans="1:13" ht="14.4" x14ac:dyDescent="0.3">
      <c r="A770" s="14">
        <v>44701</v>
      </c>
      <c r="B770" s="5">
        <v>6</v>
      </c>
      <c r="C770" s="32">
        <f>VLOOKUP(B770,'area in m2'!B$2:C$10,2,FALSE)</f>
        <v>175</v>
      </c>
      <c r="D770" s="5" t="s">
        <v>13</v>
      </c>
      <c r="E770" s="6">
        <v>521.22803130376178</v>
      </c>
      <c r="F770" s="33" t="str">
        <f t="shared" si="22"/>
        <v>Below 530</v>
      </c>
      <c r="G770" s="33">
        <f t="shared" si="23"/>
        <v>547.28943286894992</v>
      </c>
      <c r="H770" s="7">
        <v>0</v>
      </c>
      <c r="I770" s="5" t="s">
        <v>15</v>
      </c>
      <c r="J770" s="5">
        <v>32</v>
      </c>
      <c r="K770" s="2"/>
      <c r="L770" s="2"/>
      <c r="M770" s="1"/>
    </row>
    <row r="771" spans="1:13" ht="14.4" x14ac:dyDescent="0.3">
      <c r="A771" s="14">
        <v>44642</v>
      </c>
      <c r="B771" s="5">
        <v>1</v>
      </c>
      <c r="C771" s="32">
        <f>VLOOKUP(B771,'area in m2'!B$2:C$10,2,FALSE)</f>
        <v>280</v>
      </c>
      <c r="D771" s="5" t="s">
        <v>11</v>
      </c>
      <c r="E771" s="6">
        <v>544.05514084133029</v>
      </c>
      <c r="F771" s="33" t="str">
        <f t="shared" si="22"/>
        <v>Over 530</v>
      </c>
      <c r="G771" s="33">
        <f t="shared" si="23"/>
        <v>571.25789788339682</v>
      </c>
      <c r="H771" s="7">
        <v>0</v>
      </c>
      <c r="I771" s="5" t="s">
        <v>15</v>
      </c>
      <c r="J771" s="5">
        <v>42</v>
      </c>
      <c r="K771" s="2"/>
      <c r="L771" s="2"/>
      <c r="M771" s="1"/>
    </row>
    <row r="772" spans="1:13" ht="14.4" x14ac:dyDescent="0.3">
      <c r="A772" s="14">
        <v>44636</v>
      </c>
      <c r="B772" s="5">
        <v>7</v>
      </c>
      <c r="C772" s="32">
        <f>VLOOKUP(B772,'area in m2'!B$2:C$10,2,FALSE)</f>
        <v>166</v>
      </c>
      <c r="D772" s="5" t="s">
        <v>12</v>
      </c>
      <c r="E772" s="6">
        <v>526.81526501976532</v>
      </c>
      <c r="F772" s="33" t="str">
        <f t="shared" si="22"/>
        <v>Below 530</v>
      </c>
      <c r="G772" s="33">
        <f t="shared" si="23"/>
        <v>553.15602827075361</v>
      </c>
      <c r="H772" s="7">
        <v>0</v>
      </c>
      <c r="I772" s="5" t="s">
        <v>15</v>
      </c>
      <c r="J772" s="5">
        <v>49</v>
      </c>
      <c r="K772" s="2"/>
      <c r="L772" s="2"/>
      <c r="M772" s="1"/>
    </row>
    <row r="773" spans="1:13" ht="14.4" x14ac:dyDescent="0.3">
      <c r="A773" s="14">
        <v>44923</v>
      </c>
      <c r="B773" s="5">
        <v>8</v>
      </c>
      <c r="C773" s="32">
        <f>VLOOKUP(B773,'area in m2'!B$2:C$10,2,FALSE)</f>
        <v>142</v>
      </c>
      <c r="D773" s="5" t="s">
        <v>12</v>
      </c>
      <c r="E773" s="6">
        <v>518.88024891440273</v>
      </c>
      <c r="F773" s="33" t="str">
        <f t="shared" ref="F773:F836" si="24">IF(E773&gt;530,"Over 530","Below 530")</f>
        <v>Below 530</v>
      </c>
      <c r="G773" s="33">
        <f t="shared" ref="G773:G836" si="25">+E773*1.05</f>
        <v>544.82426136012293</v>
      </c>
      <c r="H773" s="7">
        <v>0.03</v>
      </c>
      <c r="I773" s="5" t="s">
        <v>14</v>
      </c>
      <c r="J773" s="5">
        <v>22</v>
      </c>
      <c r="K773" s="2"/>
      <c r="L773" s="2"/>
      <c r="M773" s="1"/>
    </row>
    <row r="774" spans="1:13" ht="14.4" x14ac:dyDescent="0.3">
      <c r="A774" s="14">
        <v>44698</v>
      </c>
      <c r="B774" s="5">
        <v>9</v>
      </c>
      <c r="C774" s="32">
        <f>VLOOKUP(B774,'area in m2'!B$2:C$10,2,FALSE)</f>
        <v>140</v>
      </c>
      <c r="D774" s="5" t="s">
        <v>12</v>
      </c>
      <c r="E774" s="6">
        <v>539.68497452919564</v>
      </c>
      <c r="F774" s="33" t="str">
        <f t="shared" si="24"/>
        <v>Over 530</v>
      </c>
      <c r="G774" s="33">
        <f t="shared" si="25"/>
        <v>566.66922325565542</v>
      </c>
      <c r="H774" s="7">
        <v>0.03</v>
      </c>
      <c r="I774" s="5" t="s">
        <v>14</v>
      </c>
      <c r="J774" s="5">
        <v>24</v>
      </c>
      <c r="K774" s="2"/>
      <c r="L774" s="2"/>
      <c r="M774" s="1"/>
    </row>
    <row r="775" spans="1:13" ht="14.4" x14ac:dyDescent="0.3">
      <c r="A775" s="14">
        <v>44762</v>
      </c>
      <c r="B775" s="5">
        <v>5</v>
      </c>
      <c r="C775" s="32">
        <f>VLOOKUP(B775,'area in m2'!B$2:C$10,2,FALSE)</f>
        <v>200</v>
      </c>
      <c r="D775" s="5" t="s">
        <v>13</v>
      </c>
      <c r="E775" s="6">
        <v>541.59818431397343</v>
      </c>
      <c r="F775" s="33" t="str">
        <f t="shared" si="24"/>
        <v>Over 530</v>
      </c>
      <c r="G775" s="33">
        <f t="shared" si="25"/>
        <v>568.67809352967208</v>
      </c>
      <c r="H775" s="7">
        <v>0.03</v>
      </c>
      <c r="I775" s="5" t="s">
        <v>14</v>
      </c>
      <c r="J775" s="5">
        <v>29</v>
      </c>
      <c r="K775" s="2"/>
      <c r="L775" s="2"/>
      <c r="M775" s="1"/>
    </row>
    <row r="776" spans="1:13" ht="14.4" x14ac:dyDescent="0.3">
      <c r="A776" s="14">
        <v>44594</v>
      </c>
      <c r="B776" s="5">
        <v>7</v>
      </c>
      <c r="C776" s="32">
        <f>VLOOKUP(B776,'area in m2'!B$2:C$10,2,FALSE)</f>
        <v>166</v>
      </c>
      <c r="D776" s="5" t="s">
        <v>12</v>
      </c>
      <c r="E776" s="6">
        <v>549.87678997211151</v>
      </c>
      <c r="F776" s="33" t="str">
        <f t="shared" si="24"/>
        <v>Over 530</v>
      </c>
      <c r="G776" s="33">
        <f t="shared" si="25"/>
        <v>577.37062947071706</v>
      </c>
      <c r="H776" s="7">
        <v>0.01</v>
      </c>
      <c r="I776" s="5" t="s">
        <v>14</v>
      </c>
      <c r="J776" s="5">
        <v>58</v>
      </c>
      <c r="K776" s="2"/>
      <c r="L776" s="2"/>
      <c r="M776" s="1"/>
    </row>
    <row r="777" spans="1:13" ht="14.4" x14ac:dyDescent="0.3">
      <c r="A777" s="14">
        <v>44648</v>
      </c>
      <c r="B777" s="5">
        <v>1</v>
      </c>
      <c r="C777" s="32">
        <f>VLOOKUP(B777,'area in m2'!B$2:C$10,2,FALSE)</f>
        <v>280</v>
      </c>
      <c r="D777" s="5" t="s">
        <v>11</v>
      </c>
      <c r="E777" s="6">
        <v>523.8288389247673</v>
      </c>
      <c r="F777" s="33" t="str">
        <f t="shared" si="24"/>
        <v>Below 530</v>
      </c>
      <c r="G777" s="33">
        <f t="shared" si="25"/>
        <v>550.02028087100564</v>
      </c>
      <c r="H777" s="7">
        <v>0.02</v>
      </c>
      <c r="I777" s="5" t="s">
        <v>14</v>
      </c>
      <c r="J777" s="5">
        <v>23</v>
      </c>
      <c r="K777" s="2"/>
      <c r="L777" s="2"/>
      <c r="M777" s="1"/>
    </row>
    <row r="778" spans="1:13" ht="14.4" x14ac:dyDescent="0.3">
      <c r="A778" s="14">
        <v>44642</v>
      </c>
      <c r="B778" s="5">
        <v>4</v>
      </c>
      <c r="C778" s="32">
        <f>VLOOKUP(B778,'area in m2'!B$2:C$10,2,FALSE)</f>
        <v>188</v>
      </c>
      <c r="D778" s="5" t="s">
        <v>11</v>
      </c>
      <c r="E778" s="6">
        <v>525.40700059648134</v>
      </c>
      <c r="F778" s="33" t="str">
        <f t="shared" si="24"/>
        <v>Below 530</v>
      </c>
      <c r="G778" s="33">
        <f t="shared" si="25"/>
        <v>551.67735062630538</v>
      </c>
      <c r="H778" s="7">
        <v>0.02</v>
      </c>
      <c r="I778" s="5" t="s">
        <v>15</v>
      </c>
      <c r="J778" s="5">
        <v>17</v>
      </c>
      <c r="K778" s="2"/>
      <c r="L778" s="2"/>
      <c r="M778" s="1"/>
    </row>
    <row r="779" spans="1:13" ht="14.4" x14ac:dyDescent="0.3">
      <c r="A779" s="14">
        <v>44693</v>
      </c>
      <c r="B779" s="5">
        <v>1</v>
      </c>
      <c r="C779" s="32">
        <f>VLOOKUP(B779,'area in m2'!B$2:C$10,2,FALSE)</f>
        <v>280</v>
      </c>
      <c r="D779" s="5" t="s">
        <v>11</v>
      </c>
      <c r="E779" s="6">
        <v>519.39564906714531</v>
      </c>
      <c r="F779" s="33" t="str">
        <f t="shared" si="24"/>
        <v>Below 530</v>
      </c>
      <c r="G779" s="33">
        <f t="shared" si="25"/>
        <v>545.36543152050263</v>
      </c>
      <c r="H779" s="7">
        <v>0</v>
      </c>
      <c r="I779" s="5" t="s">
        <v>14</v>
      </c>
      <c r="J779" s="5">
        <v>34</v>
      </c>
      <c r="K779" s="2"/>
      <c r="L779" s="2"/>
      <c r="M779" s="1"/>
    </row>
    <row r="780" spans="1:13" ht="14.4" x14ac:dyDescent="0.3">
      <c r="A780" s="14">
        <v>44866</v>
      </c>
      <c r="B780" s="5">
        <v>1</v>
      </c>
      <c r="C780" s="32">
        <f>VLOOKUP(B780,'area in m2'!B$2:C$10,2,FALSE)</f>
        <v>280</v>
      </c>
      <c r="D780" s="5" t="s">
        <v>11</v>
      </c>
      <c r="E780" s="6">
        <v>505.69337008163711</v>
      </c>
      <c r="F780" s="33" t="str">
        <f t="shared" si="24"/>
        <v>Below 530</v>
      </c>
      <c r="G780" s="33">
        <f t="shared" si="25"/>
        <v>530.97803858571899</v>
      </c>
      <c r="H780" s="7">
        <v>0.03</v>
      </c>
      <c r="I780" s="5" t="s">
        <v>14</v>
      </c>
      <c r="J780" s="5">
        <v>42</v>
      </c>
      <c r="K780" s="2"/>
      <c r="L780" s="2"/>
      <c r="M780" s="1"/>
    </row>
    <row r="781" spans="1:13" ht="14.4" x14ac:dyDescent="0.3">
      <c r="A781" s="14">
        <v>44787</v>
      </c>
      <c r="B781" s="5">
        <v>1</v>
      </c>
      <c r="C781" s="32">
        <f>VLOOKUP(B781,'area in m2'!B$2:C$10,2,FALSE)</f>
        <v>280</v>
      </c>
      <c r="D781" s="5" t="s">
        <v>11</v>
      </c>
      <c r="E781" s="6">
        <v>511.90812827056834</v>
      </c>
      <c r="F781" s="33" t="str">
        <f t="shared" si="24"/>
        <v>Below 530</v>
      </c>
      <c r="G781" s="33">
        <f t="shared" si="25"/>
        <v>537.50353468409673</v>
      </c>
      <c r="H781" s="7">
        <v>0.03</v>
      </c>
      <c r="I781" s="5" t="s">
        <v>14</v>
      </c>
      <c r="J781" s="5">
        <v>31</v>
      </c>
      <c r="K781" s="2"/>
      <c r="L781" s="2"/>
      <c r="M781" s="1"/>
    </row>
    <row r="782" spans="1:13" ht="14.4" x14ac:dyDescent="0.3">
      <c r="A782" s="14">
        <v>44839</v>
      </c>
      <c r="B782" s="5">
        <v>6</v>
      </c>
      <c r="C782" s="32">
        <f>VLOOKUP(B782,'area in m2'!B$2:C$10,2,FALSE)</f>
        <v>175</v>
      </c>
      <c r="D782" s="5" t="s">
        <v>13</v>
      </c>
      <c r="E782" s="6">
        <v>511.13727902466235</v>
      </c>
      <c r="F782" s="33" t="str">
        <f t="shared" si="24"/>
        <v>Below 530</v>
      </c>
      <c r="G782" s="33">
        <f t="shared" si="25"/>
        <v>536.69414297589549</v>
      </c>
      <c r="H782" s="7">
        <v>0.01</v>
      </c>
      <c r="I782" s="5" t="s">
        <v>15</v>
      </c>
      <c r="J782" s="5">
        <v>22</v>
      </c>
      <c r="K782" s="2"/>
      <c r="L782" s="2"/>
      <c r="M782" s="1"/>
    </row>
    <row r="783" spans="1:13" ht="14.4" x14ac:dyDescent="0.3">
      <c r="A783" s="14">
        <v>44852</v>
      </c>
      <c r="B783" s="5">
        <v>1</v>
      </c>
      <c r="C783" s="32">
        <f>VLOOKUP(B783,'area in m2'!B$2:C$10,2,FALSE)</f>
        <v>280</v>
      </c>
      <c r="D783" s="5" t="s">
        <v>11</v>
      </c>
      <c r="E783" s="6">
        <v>537.83785990057368</v>
      </c>
      <c r="F783" s="33" t="str">
        <f t="shared" si="24"/>
        <v>Over 530</v>
      </c>
      <c r="G783" s="33">
        <f t="shared" si="25"/>
        <v>564.72975289560236</v>
      </c>
      <c r="H783" s="7">
        <v>0.03</v>
      </c>
      <c r="I783" s="5" t="s">
        <v>15</v>
      </c>
      <c r="J783" s="5">
        <v>37</v>
      </c>
      <c r="K783" s="2"/>
      <c r="L783" s="2"/>
      <c r="M783" s="1"/>
    </row>
    <row r="784" spans="1:13" ht="14.4" x14ac:dyDescent="0.3">
      <c r="A784" s="14">
        <v>44822</v>
      </c>
      <c r="B784" s="5">
        <v>6</v>
      </c>
      <c r="C784" s="32">
        <f>VLOOKUP(B784,'area in m2'!B$2:C$10,2,FALSE)</f>
        <v>175</v>
      </c>
      <c r="D784" s="5" t="s">
        <v>13</v>
      </c>
      <c r="E784" s="6">
        <v>511.13727902466235</v>
      </c>
      <c r="F784" s="33" t="str">
        <f t="shared" si="24"/>
        <v>Below 530</v>
      </c>
      <c r="G784" s="33">
        <f t="shared" si="25"/>
        <v>536.69414297589549</v>
      </c>
      <c r="H784" s="7">
        <v>0.01</v>
      </c>
      <c r="I784" s="5" t="s">
        <v>15</v>
      </c>
      <c r="J784" s="5">
        <v>50</v>
      </c>
      <c r="K784" s="2"/>
      <c r="L784" s="2"/>
      <c r="M784" s="1"/>
    </row>
    <row r="785" spans="1:13" ht="14.4" x14ac:dyDescent="0.3">
      <c r="A785" s="14">
        <v>44638</v>
      </c>
      <c r="B785" s="5">
        <v>9</v>
      </c>
      <c r="C785" s="32">
        <f>VLOOKUP(B785,'area in m2'!B$2:C$10,2,FALSE)</f>
        <v>140</v>
      </c>
      <c r="D785" s="5" t="s">
        <v>12</v>
      </c>
      <c r="E785" s="6">
        <v>511.62442806610215</v>
      </c>
      <c r="F785" s="33" t="str">
        <f t="shared" si="24"/>
        <v>Below 530</v>
      </c>
      <c r="G785" s="33">
        <f t="shared" si="25"/>
        <v>537.20564946940726</v>
      </c>
      <c r="H785" s="7">
        <v>0.01</v>
      </c>
      <c r="I785" s="5" t="s">
        <v>14</v>
      </c>
      <c r="J785" s="5">
        <v>23</v>
      </c>
      <c r="K785" s="2"/>
      <c r="L785" s="2"/>
      <c r="M785" s="1"/>
    </row>
    <row r="786" spans="1:13" ht="14.4" x14ac:dyDescent="0.3">
      <c r="A786" s="14">
        <v>44791</v>
      </c>
      <c r="B786" s="5">
        <v>3</v>
      </c>
      <c r="C786" s="32">
        <f>VLOOKUP(B786,'area in m2'!B$2:C$10,2,FALSE)</f>
        <v>195</v>
      </c>
      <c r="D786" s="5" t="s">
        <v>11</v>
      </c>
      <c r="E786" s="6">
        <v>504.37596945427686</v>
      </c>
      <c r="F786" s="33" t="str">
        <f t="shared" si="24"/>
        <v>Below 530</v>
      </c>
      <c r="G786" s="33">
        <f t="shared" si="25"/>
        <v>529.5947679269907</v>
      </c>
      <c r="H786" s="7">
        <v>0.01</v>
      </c>
      <c r="I786" s="5" t="s">
        <v>15</v>
      </c>
      <c r="J786" s="5">
        <v>25</v>
      </c>
      <c r="K786" s="2"/>
      <c r="L786" s="2"/>
      <c r="M786" s="1"/>
    </row>
    <row r="787" spans="1:13" ht="14.4" x14ac:dyDescent="0.3">
      <c r="A787" s="14">
        <v>44799</v>
      </c>
      <c r="B787" s="5">
        <v>3</v>
      </c>
      <c r="C787" s="32">
        <f>VLOOKUP(B787,'area in m2'!B$2:C$10,2,FALSE)</f>
        <v>195</v>
      </c>
      <c r="D787" s="5" t="s">
        <v>11</v>
      </c>
      <c r="E787" s="6">
        <v>549.30949865262846</v>
      </c>
      <c r="F787" s="33" t="str">
        <f t="shared" si="24"/>
        <v>Over 530</v>
      </c>
      <c r="G787" s="33">
        <f t="shared" si="25"/>
        <v>576.77497358525989</v>
      </c>
      <c r="H787" s="7">
        <v>0</v>
      </c>
      <c r="I787" s="5" t="s">
        <v>14</v>
      </c>
      <c r="J787" s="5">
        <v>29</v>
      </c>
      <c r="K787" s="2"/>
      <c r="L787" s="2"/>
      <c r="M787" s="1"/>
    </row>
    <row r="788" spans="1:13" ht="14.4" x14ac:dyDescent="0.3">
      <c r="A788" s="14">
        <v>44920</v>
      </c>
      <c r="B788" s="5">
        <v>3</v>
      </c>
      <c r="C788" s="32">
        <f>VLOOKUP(B788,'area in m2'!B$2:C$10,2,FALSE)</f>
        <v>195</v>
      </c>
      <c r="D788" s="5" t="s">
        <v>11</v>
      </c>
      <c r="E788" s="6">
        <v>514.31888562843051</v>
      </c>
      <c r="F788" s="33" t="str">
        <f t="shared" si="24"/>
        <v>Below 530</v>
      </c>
      <c r="G788" s="33">
        <f t="shared" si="25"/>
        <v>540.03482990985208</v>
      </c>
      <c r="H788" s="7">
        <v>0.03</v>
      </c>
      <c r="I788" s="5" t="s">
        <v>14</v>
      </c>
      <c r="J788" s="5">
        <v>39</v>
      </c>
      <c r="K788" s="2"/>
      <c r="L788" s="2"/>
      <c r="M788" s="1"/>
    </row>
    <row r="789" spans="1:13" ht="14.4" x14ac:dyDescent="0.3">
      <c r="A789" s="14">
        <v>44723</v>
      </c>
      <c r="B789" s="5">
        <v>1</v>
      </c>
      <c r="C789" s="32">
        <f>VLOOKUP(B789,'area in m2'!B$2:C$10,2,FALSE)</f>
        <v>280</v>
      </c>
      <c r="D789" s="5" t="s">
        <v>11</v>
      </c>
      <c r="E789" s="6">
        <v>549.88080863228606</v>
      </c>
      <c r="F789" s="33" t="str">
        <f t="shared" si="24"/>
        <v>Over 530</v>
      </c>
      <c r="G789" s="33">
        <f t="shared" si="25"/>
        <v>577.37484906390034</v>
      </c>
      <c r="H789" s="7">
        <v>0.01</v>
      </c>
      <c r="I789" s="5" t="s">
        <v>14</v>
      </c>
      <c r="J789" s="5">
        <v>46</v>
      </c>
      <c r="K789" s="2"/>
      <c r="L789" s="2"/>
      <c r="M789" s="1"/>
    </row>
    <row r="790" spans="1:13" ht="14.4" x14ac:dyDescent="0.3">
      <c r="A790" s="14">
        <v>44743</v>
      </c>
      <c r="B790" s="5">
        <v>7</v>
      </c>
      <c r="C790" s="32">
        <f>VLOOKUP(B790,'area in m2'!B$2:C$10,2,FALSE)</f>
        <v>166</v>
      </c>
      <c r="D790" s="5" t="s">
        <v>12</v>
      </c>
      <c r="E790" s="6">
        <v>543.43548538063988</v>
      </c>
      <c r="F790" s="33" t="str">
        <f t="shared" si="24"/>
        <v>Over 530</v>
      </c>
      <c r="G790" s="33">
        <f t="shared" si="25"/>
        <v>570.60725964967185</v>
      </c>
      <c r="H790" s="7">
        <v>0</v>
      </c>
      <c r="I790" s="5" t="s">
        <v>14</v>
      </c>
      <c r="J790" s="5">
        <v>39</v>
      </c>
      <c r="K790" s="2"/>
      <c r="L790" s="2"/>
      <c r="M790" s="1"/>
    </row>
    <row r="791" spans="1:13" ht="14.4" x14ac:dyDescent="0.3">
      <c r="A791" s="14">
        <v>44745</v>
      </c>
      <c r="B791" s="5">
        <v>9</v>
      </c>
      <c r="C791" s="32">
        <f>VLOOKUP(B791,'area in m2'!B$2:C$10,2,FALSE)</f>
        <v>140</v>
      </c>
      <c r="D791" s="5" t="s">
        <v>12</v>
      </c>
      <c r="E791" s="6">
        <v>546.73292111387127</v>
      </c>
      <c r="F791" s="33" t="str">
        <f t="shared" si="24"/>
        <v>Over 530</v>
      </c>
      <c r="G791" s="33">
        <f t="shared" si="25"/>
        <v>574.06956716956483</v>
      </c>
      <c r="H791" s="7">
        <v>0.02</v>
      </c>
      <c r="I791" s="5" t="s">
        <v>15</v>
      </c>
      <c r="J791" s="5">
        <v>19</v>
      </c>
      <c r="K791" s="2"/>
      <c r="L791" s="2"/>
      <c r="M791" s="1"/>
    </row>
    <row r="792" spans="1:13" ht="14.4" x14ac:dyDescent="0.3">
      <c r="A792" s="14">
        <v>44709</v>
      </c>
      <c r="B792" s="5">
        <v>5</v>
      </c>
      <c r="C792" s="32">
        <f>VLOOKUP(B792,'area in m2'!B$2:C$10,2,FALSE)</f>
        <v>200</v>
      </c>
      <c r="D792" s="5" t="s">
        <v>13</v>
      </c>
      <c r="E792" s="6">
        <v>527.9324894266274</v>
      </c>
      <c r="F792" s="33" t="str">
        <f t="shared" si="24"/>
        <v>Below 530</v>
      </c>
      <c r="G792" s="33">
        <f t="shared" si="25"/>
        <v>554.32911389795879</v>
      </c>
      <c r="H792" s="7">
        <v>0.03</v>
      </c>
      <c r="I792" s="5" t="s">
        <v>14</v>
      </c>
      <c r="J792" s="5">
        <v>40</v>
      </c>
      <c r="K792" s="2"/>
      <c r="L792" s="2"/>
      <c r="M792" s="1"/>
    </row>
    <row r="793" spans="1:13" ht="14.4" x14ac:dyDescent="0.3">
      <c r="A793" s="14">
        <v>44685</v>
      </c>
      <c r="B793" s="5">
        <v>6</v>
      </c>
      <c r="C793" s="32">
        <f>VLOOKUP(B793,'area in m2'!B$2:C$10,2,FALSE)</f>
        <v>175</v>
      </c>
      <c r="D793" s="5" t="s">
        <v>13</v>
      </c>
      <c r="E793" s="6">
        <v>510.80253447598898</v>
      </c>
      <c r="F793" s="33" t="str">
        <f t="shared" si="24"/>
        <v>Below 530</v>
      </c>
      <c r="G793" s="33">
        <f t="shared" si="25"/>
        <v>536.34266119978849</v>
      </c>
      <c r="H793" s="7">
        <v>0.02</v>
      </c>
      <c r="I793" s="5" t="s">
        <v>15</v>
      </c>
      <c r="J793" s="5">
        <v>49</v>
      </c>
      <c r="K793" s="2"/>
      <c r="L793" s="2"/>
      <c r="M793" s="1"/>
    </row>
    <row r="794" spans="1:13" ht="14.4" x14ac:dyDescent="0.3">
      <c r="A794" s="14">
        <v>44612</v>
      </c>
      <c r="B794" s="5">
        <v>6</v>
      </c>
      <c r="C794" s="32">
        <f>VLOOKUP(B794,'area in m2'!B$2:C$10,2,FALSE)</f>
        <v>175</v>
      </c>
      <c r="D794" s="5" t="s">
        <v>13</v>
      </c>
      <c r="E794" s="6">
        <v>506.03597139820249</v>
      </c>
      <c r="F794" s="33" t="str">
        <f t="shared" si="24"/>
        <v>Below 530</v>
      </c>
      <c r="G794" s="33">
        <f t="shared" si="25"/>
        <v>531.33776996811264</v>
      </c>
      <c r="H794" s="7">
        <v>0.01</v>
      </c>
      <c r="I794" s="5" t="s">
        <v>14</v>
      </c>
      <c r="J794" s="5">
        <v>33</v>
      </c>
      <c r="K794" s="2"/>
      <c r="L794" s="2"/>
      <c r="M794" s="1"/>
    </row>
    <row r="795" spans="1:13" ht="14.4" x14ac:dyDescent="0.3">
      <c r="A795" s="14">
        <v>44719</v>
      </c>
      <c r="B795" s="5">
        <v>3</v>
      </c>
      <c r="C795" s="32">
        <f>VLOOKUP(B795,'area in m2'!B$2:C$10,2,FALSE)</f>
        <v>195</v>
      </c>
      <c r="D795" s="5" t="s">
        <v>11</v>
      </c>
      <c r="E795" s="6">
        <v>512.36059930430201</v>
      </c>
      <c r="F795" s="33" t="str">
        <f t="shared" si="24"/>
        <v>Below 530</v>
      </c>
      <c r="G795" s="33">
        <f t="shared" si="25"/>
        <v>537.97862926951711</v>
      </c>
      <c r="H795" s="7">
        <v>0.02</v>
      </c>
      <c r="I795" s="5" t="s">
        <v>15</v>
      </c>
      <c r="J795" s="5">
        <v>42</v>
      </c>
      <c r="K795" s="2"/>
      <c r="L795" s="2"/>
      <c r="M795" s="1"/>
    </row>
    <row r="796" spans="1:13" ht="14.4" x14ac:dyDescent="0.3">
      <c r="A796" s="14">
        <v>44640</v>
      </c>
      <c r="B796" s="5">
        <v>7</v>
      </c>
      <c r="C796" s="32">
        <f>VLOOKUP(B796,'area in m2'!B$2:C$10,2,FALSE)</f>
        <v>166</v>
      </c>
      <c r="D796" s="5" t="s">
        <v>12</v>
      </c>
      <c r="E796" s="6">
        <v>545.43857372992352</v>
      </c>
      <c r="F796" s="33" t="str">
        <f t="shared" si="24"/>
        <v>Over 530</v>
      </c>
      <c r="G796" s="33">
        <f t="shared" si="25"/>
        <v>572.71050241641967</v>
      </c>
      <c r="H796" s="7">
        <v>0.02</v>
      </c>
      <c r="I796" s="5" t="s">
        <v>14</v>
      </c>
      <c r="J796" s="5">
        <v>50</v>
      </c>
      <c r="K796" s="2"/>
      <c r="L796" s="2"/>
      <c r="M796" s="1"/>
    </row>
    <row r="797" spans="1:13" ht="14.4" x14ac:dyDescent="0.3">
      <c r="A797" s="14">
        <v>44907</v>
      </c>
      <c r="B797" s="5">
        <v>3</v>
      </c>
      <c r="C797" s="32">
        <f>VLOOKUP(B797,'area in m2'!B$2:C$10,2,FALSE)</f>
        <v>195</v>
      </c>
      <c r="D797" s="5" t="s">
        <v>11</v>
      </c>
      <c r="E797" s="6">
        <v>509.48861206059473</v>
      </c>
      <c r="F797" s="33" t="str">
        <f t="shared" si="24"/>
        <v>Below 530</v>
      </c>
      <c r="G797" s="33">
        <f t="shared" si="25"/>
        <v>534.96304266362449</v>
      </c>
      <c r="H797" s="7">
        <v>0.03</v>
      </c>
      <c r="I797" s="5" t="s">
        <v>14</v>
      </c>
      <c r="J797" s="5">
        <v>40</v>
      </c>
      <c r="K797" s="2"/>
      <c r="L797" s="2"/>
      <c r="M797" s="1"/>
    </row>
    <row r="798" spans="1:13" ht="14.4" x14ac:dyDescent="0.3">
      <c r="A798" s="14">
        <v>44819</v>
      </c>
      <c r="B798" s="5">
        <v>1</v>
      </c>
      <c r="C798" s="32">
        <f>VLOOKUP(B798,'area in m2'!B$2:C$10,2,FALSE)</f>
        <v>280</v>
      </c>
      <c r="D798" s="5" t="s">
        <v>11</v>
      </c>
      <c r="E798" s="6">
        <v>522.93276759475248</v>
      </c>
      <c r="F798" s="33" t="str">
        <f t="shared" si="24"/>
        <v>Below 530</v>
      </c>
      <c r="G798" s="33">
        <f t="shared" si="25"/>
        <v>549.0794059744901</v>
      </c>
      <c r="H798" s="7">
        <v>0</v>
      </c>
      <c r="I798" s="5" t="s">
        <v>14</v>
      </c>
      <c r="J798" s="5">
        <v>28</v>
      </c>
      <c r="K798" s="2"/>
      <c r="L798" s="2"/>
      <c r="M798" s="1"/>
    </row>
    <row r="799" spans="1:13" ht="14.4" x14ac:dyDescent="0.3">
      <c r="A799" s="14">
        <v>44879</v>
      </c>
      <c r="B799" s="5">
        <v>6</v>
      </c>
      <c r="C799" s="32">
        <f>VLOOKUP(B799,'area in m2'!B$2:C$10,2,FALSE)</f>
        <v>175</v>
      </c>
      <c r="D799" s="5" t="s">
        <v>13</v>
      </c>
      <c r="E799" s="6">
        <v>550.69887278524402</v>
      </c>
      <c r="F799" s="33" t="str">
        <f t="shared" si="24"/>
        <v>Over 530</v>
      </c>
      <c r="G799" s="33">
        <f t="shared" si="25"/>
        <v>578.23381642450624</v>
      </c>
      <c r="H799" s="7">
        <v>0.03</v>
      </c>
      <c r="I799" s="5" t="s">
        <v>14</v>
      </c>
      <c r="J799" s="5">
        <v>47</v>
      </c>
      <c r="K799" s="2"/>
      <c r="L799" s="2"/>
      <c r="M799" s="1"/>
    </row>
    <row r="800" spans="1:13" ht="14.4" x14ac:dyDescent="0.3">
      <c r="A800" s="14">
        <v>44920</v>
      </c>
      <c r="B800" s="5">
        <v>5</v>
      </c>
      <c r="C800" s="32">
        <f>VLOOKUP(B800,'area in m2'!B$2:C$10,2,FALSE)</f>
        <v>200</v>
      </c>
      <c r="D800" s="5" t="s">
        <v>13</v>
      </c>
      <c r="E800" s="6">
        <v>525.25626345450928</v>
      </c>
      <c r="F800" s="33" t="str">
        <f t="shared" si="24"/>
        <v>Below 530</v>
      </c>
      <c r="G800" s="33">
        <f t="shared" si="25"/>
        <v>551.51907662723477</v>
      </c>
      <c r="H800" s="7">
        <v>0.02</v>
      </c>
      <c r="I800" s="5" t="s">
        <v>15</v>
      </c>
      <c r="J800" s="5">
        <v>25</v>
      </c>
      <c r="K800" s="2"/>
      <c r="L800" s="2"/>
      <c r="M800" s="1"/>
    </row>
    <row r="801" spans="1:13" ht="14.4" x14ac:dyDescent="0.3">
      <c r="A801" s="14">
        <v>44778</v>
      </c>
      <c r="B801" s="5">
        <v>6</v>
      </c>
      <c r="C801" s="32">
        <f>VLOOKUP(B801,'area in m2'!B$2:C$10,2,FALSE)</f>
        <v>175</v>
      </c>
      <c r="D801" s="5" t="s">
        <v>13</v>
      </c>
      <c r="E801" s="6">
        <v>500.15743807026956</v>
      </c>
      <c r="F801" s="33" t="str">
        <f t="shared" si="24"/>
        <v>Below 530</v>
      </c>
      <c r="G801" s="33">
        <f t="shared" si="25"/>
        <v>525.16530997378311</v>
      </c>
      <c r="H801" s="7">
        <v>0.01</v>
      </c>
      <c r="I801" s="5" t="s">
        <v>14</v>
      </c>
      <c r="J801" s="5">
        <v>46</v>
      </c>
      <c r="K801" s="2"/>
      <c r="L801" s="2"/>
      <c r="M801" s="1"/>
    </row>
    <row r="802" spans="1:13" ht="14.4" x14ac:dyDescent="0.3">
      <c r="A802" s="14">
        <v>44924</v>
      </c>
      <c r="B802" s="5">
        <v>7</v>
      </c>
      <c r="C802" s="32">
        <f>VLOOKUP(B802,'area in m2'!B$2:C$10,2,FALSE)</f>
        <v>166</v>
      </c>
      <c r="D802" s="5" t="s">
        <v>12</v>
      </c>
      <c r="E802" s="6">
        <v>504.88748385214603</v>
      </c>
      <c r="F802" s="33" t="str">
        <f t="shared" si="24"/>
        <v>Below 530</v>
      </c>
      <c r="G802" s="33">
        <f t="shared" si="25"/>
        <v>530.13185804475336</v>
      </c>
      <c r="H802" s="7">
        <v>0.01</v>
      </c>
      <c r="I802" s="5" t="s">
        <v>14</v>
      </c>
      <c r="J802" s="5">
        <v>50</v>
      </c>
      <c r="K802" s="2"/>
      <c r="L802" s="2"/>
      <c r="M802" s="1"/>
    </row>
    <row r="803" spans="1:13" ht="14.4" x14ac:dyDescent="0.3">
      <c r="A803" s="14">
        <v>44906</v>
      </c>
      <c r="B803" s="5">
        <v>2</v>
      </c>
      <c r="C803" s="32">
        <f>VLOOKUP(B803,'area in m2'!B$2:C$10,2,FALSE)</f>
        <v>250</v>
      </c>
      <c r="D803" s="5" t="s">
        <v>11</v>
      </c>
      <c r="E803" s="6">
        <v>536.14217715672567</v>
      </c>
      <c r="F803" s="33" t="str">
        <f t="shared" si="24"/>
        <v>Over 530</v>
      </c>
      <c r="G803" s="33">
        <f t="shared" si="25"/>
        <v>562.94928601456195</v>
      </c>
      <c r="H803" s="7">
        <v>0.02</v>
      </c>
      <c r="I803" s="5" t="s">
        <v>14</v>
      </c>
      <c r="J803" s="5">
        <v>43</v>
      </c>
      <c r="K803" s="2"/>
      <c r="L803" s="2"/>
      <c r="M803" s="1"/>
    </row>
    <row r="804" spans="1:13" ht="14.4" x14ac:dyDescent="0.3">
      <c r="A804" s="14">
        <v>44873</v>
      </c>
      <c r="B804" s="5">
        <v>4</v>
      </c>
      <c r="C804" s="32">
        <f>VLOOKUP(B804,'area in m2'!B$2:C$10,2,FALSE)</f>
        <v>188</v>
      </c>
      <c r="D804" s="5" t="s">
        <v>11</v>
      </c>
      <c r="E804" s="6">
        <v>536.6389636261747</v>
      </c>
      <c r="F804" s="33" t="str">
        <f t="shared" si="24"/>
        <v>Over 530</v>
      </c>
      <c r="G804" s="33">
        <f t="shared" si="25"/>
        <v>563.4709118074835</v>
      </c>
      <c r="H804" s="7">
        <v>0.02</v>
      </c>
      <c r="I804" s="5" t="s">
        <v>14</v>
      </c>
      <c r="J804" s="5">
        <v>39</v>
      </c>
      <c r="K804" s="2"/>
      <c r="L804" s="2"/>
      <c r="M804" s="1"/>
    </row>
    <row r="805" spans="1:13" ht="14.4" x14ac:dyDescent="0.3">
      <c r="A805" s="14">
        <v>44755</v>
      </c>
      <c r="B805" s="5">
        <v>1</v>
      </c>
      <c r="C805" s="32">
        <f>VLOOKUP(B805,'area in m2'!B$2:C$10,2,FALSE)</f>
        <v>280</v>
      </c>
      <c r="D805" s="5" t="s">
        <v>11</v>
      </c>
      <c r="E805" s="6">
        <v>513.85051910167658</v>
      </c>
      <c r="F805" s="33" t="str">
        <f t="shared" si="24"/>
        <v>Below 530</v>
      </c>
      <c r="G805" s="33">
        <f t="shared" si="25"/>
        <v>539.54304505676043</v>
      </c>
      <c r="H805" s="7">
        <v>0.01</v>
      </c>
      <c r="I805" s="5" t="s">
        <v>15</v>
      </c>
      <c r="J805" s="5">
        <v>57</v>
      </c>
      <c r="K805" s="2"/>
      <c r="L805" s="2"/>
      <c r="M805" s="1"/>
    </row>
    <row r="806" spans="1:13" ht="14.4" x14ac:dyDescent="0.3">
      <c r="A806" s="14">
        <v>44917</v>
      </c>
      <c r="B806" s="5">
        <v>8</v>
      </c>
      <c r="C806" s="32">
        <f>VLOOKUP(B806,'area in m2'!B$2:C$10,2,FALSE)</f>
        <v>142</v>
      </c>
      <c r="D806" s="5" t="s">
        <v>12</v>
      </c>
      <c r="E806" s="6">
        <v>530.23858942246261</v>
      </c>
      <c r="F806" s="33" t="str">
        <f t="shared" si="24"/>
        <v>Over 530</v>
      </c>
      <c r="G806" s="33">
        <f t="shared" si="25"/>
        <v>556.75051889358576</v>
      </c>
      <c r="H806" s="7">
        <v>0</v>
      </c>
      <c r="I806" s="5" t="s">
        <v>14</v>
      </c>
      <c r="J806" s="5">
        <v>41</v>
      </c>
      <c r="K806" s="2"/>
      <c r="L806" s="2"/>
      <c r="M806" s="1"/>
    </row>
    <row r="807" spans="1:13" ht="14.4" x14ac:dyDescent="0.3">
      <c r="A807" s="14">
        <v>44833</v>
      </c>
      <c r="B807" s="5">
        <v>4</v>
      </c>
      <c r="C807" s="32">
        <f>VLOOKUP(B807,'area in m2'!B$2:C$10,2,FALSE)</f>
        <v>188</v>
      </c>
      <c r="D807" s="5" t="s">
        <v>11</v>
      </c>
      <c r="E807" s="6">
        <v>523.09852963302637</v>
      </c>
      <c r="F807" s="33" t="str">
        <f t="shared" si="24"/>
        <v>Below 530</v>
      </c>
      <c r="G807" s="33">
        <f t="shared" si="25"/>
        <v>549.25345611467776</v>
      </c>
      <c r="H807" s="7">
        <v>0</v>
      </c>
      <c r="I807" s="5" t="s">
        <v>14</v>
      </c>
      <c r="J807" s="5">
        <v>28</v>
      </c>
      <c r="K807" s="2"/>
      <c r="L807" s="2"/>
      <c r="M807" s="1"/>
    </row>
    <row r="808" spans="1:13" ht="14.4" x14ac:dyDescent="0.3">
      <c r="A808" s="14">
        <v>44898</v>
      </c>
      <c r="B808" s="5">
        <v>4</v>
      </c>
      <c r="C808" s="32">
        <f>VLOOKUP(B808,'area in m2'!B$2:C$10,2,FALSE)</f>
        <v>188</v>
      </c>
      <c r="D808" s="5" t="s">
        <v>11</v>
      </c>
      <c r="E808" s="6">
        <v>545.32441632987502</v>
      </c>
      <c r="F808" s="33" t="str">
        <f t="shared" si="24"/>
        <v>Over 530</v>
      </c>
      <c r="G808" s="33">
        <f t="shared" si="25"/>
        <v>572.59063714636875</v>
      </c>
      <c r="H808" s="7">
        <v>0.03</v>
      </c>
      <c r="I808" s="5" t="s">
        <v>15</v>
      </c>
      <c r="J808" s="5">
        <v>22</v>
      </c>
      <c r="K808" s="2"/>
      <c r="L808" s="2"/>
      <c r="M808" s="1"/>
    </row>
    <row r="809" spans="1:13" ht="14.4" x14ac:dyDescent="0.3">
      <c r="A809" s="14">
        <v>44636</v>
      </c>
      <c r="B809" s="5">
        <v>5</v>
      </c>
      <c r="C809" s="32">
        <f>VLOOKUP(B809,'area in m2'!B$2:C$10,2,FALSE)</f>
        <v>200</v>
      </c>
      <c r="D809" s="5" t="s">
        <v>13</v>
      </c>
      <c r="E809" s="6">
        <v>544.96252415606887</v>
      </c>
      <c r="F809" s="33" t="str">
        <f t="shared" si="24"/>
        <v>Over 530</v>
      </c>
      <c r="G809" s="33">
        <f t="shared" si="25"/>
        <v>572.21065036387233</v>
      </c>
      <c r="H809" s="7">
        <v>0.02</v>
      </c>
      <c r="I809" s="5" t="s">
        <v>15</v>
      </c>
      <c r="J809" s="5">
        <v>61</v>
      </c>
      <c r="K809" s="2"/>
      <c r="L809" s="2"/>
      <c r="M809" s="1"/>
    </row>
    <row r="810" spans="1:13" ht="14.4" x14ac:dyDescent="0.3">
      <c r="A810" s="14">
        <v>44817</v>
      </c>
      <c r="B810" s="5">
        <v>7</v>
      </c>
      <c r="C810" s="32">
        <f>VLOOKUP(B810,'area in m2'!B$2:C$10,2,FALSE)</f>
        <v>166</v>
      </c>
      <c r="D810" s="5" t="s">
        <v>12</v>
      </c>
      <c r="E810" s="6">
        <v>521.8587499495934</v>
      </c>
      <c r="F810" s="33" t="str">
        <f t="shared" si="24"/>
        <v>Below 530</v>
      </c>
      <c r="G810" s="33">
        <f t="shared" si="25"/>
        <v>547.95168744707314</v>
      </c>
      <c r="H810" s="7">
        <v>0.03</v>
      </c>
      <c r="I810" s="5" t="s">
        <v>15</v>
      </c>
      <c r="J810" s="5">
        <v>53</v>
      </c>
      <c r="K810" s="2"/>
      <c r="L810" s="2"/>
      <c r="M810" s="1"/>
    </row>
    <row r="811" spans="1:13" ht="14.4" x14ac:dyDescent="0.3">
      <c r="A811" s="14">
        <v>44726</v>
      </c>
      <c r="B811" s="5">
        <v>9</v>
      </c>
      <c r="C811" s="32">
        <f>VLOOKUP(B811,'area in m2'!B$2:C$10,2,FALSE)</f>
        <v>140</v>
      </c>
      <c r="D811" s="5" t="s">
        <v>12</v>
      </c>
      <c r="E811" s="6">
        <v>504.35288780899828</v>
      </c>
      <c r="F811" s="33" t="str">
        <f t="shared" si="24"/>
        <v>Below 530</v>
      </c>
      <c r="G811" s="33">
        <f t="shared" si="25"/>
        <v>529.57053219944817</v>
      </c>
      <c r="H811" s="7">
        <v>0</v>
      </c>
      <c r="I811" s="5" t="s">
        <v>15</v>
      </c>
      <c r="J811" s="5">
        <v>41</v>
      </c>
      <c r="K811" s="2"/>
      <c r="L811" s="2"/>
      <c r="M811" s="1"/>
    </row>
    <row r="812" spans="1:13" ht="14.4" x14ac:dyDescent="0.3">
      <c r="A812" s="14">
        <v>44578</v>
      </c>
      <c r="B812" s="5">
        <v>3</v>
      </c>
      <c r="C812" s="32">
        <f>VLOOKUP(B812,'area in m2'!B$2:C$10,2,FALSE)</f>
        <v>195</v>
      </c>
      <c r="D812" s="5" t="s">
        <v>11</v>
      </c>
      <c r="E812" s="6">
        <v>503.42017125951588</v>
      </c>
      <c r="F812" s="33" t="str">
        <f t="shared" si="24"/>
        <v>Below 530</v>
      </c>
      <c r="G812" s="33">
        <f t="shared" si="25"/>
        <v>528.59117982249165</v>
      </c>
      <c r="H812" s="7">
        <v>0</v>
      </c>
      <c r="I812" s="5" t="s">
        <v>14</v>
      </c>
      <c r="J812" s="5">
        <v>35</v>
      </c>
      <c r="K812" s="2"/>
      <c r="L812" s="2"/>
      <c r="M812" s="1"/>
    </row>
    <row r="813" spans="1:13" ht="14.4" x14ac:dyDescent="0.3">
      <c r="A813" s="14">
        <v>44760</v>
      </c>
      <c r="B813" s="5">
        <v>5</v>
      </c>
      <c r="C813" s="32">
        <f>VLOOKUP(B813,'area in m2'!B$2:C$10,2,FALSE)</f>
        <v>200</v>
      </c>
      <c r="D813" s="5" t="s">
        <v>13</v>
      </c>
      <c r="E813" s="6">
        <v>517.00613651371259</v>
      </c>
      <c r="F813" s="33" t="str">
        <f t="shared" si="24"/>
        <v>Below 530</v>
      </c>
      <c r="G813" s="33">
        <f t="shared" si="25"/>
        <v>542.8564433393982</v>
      </c>
      <c r="H813" s="7">
        <v>0.03</v>
      </c>
      <c r="I813" s="5" t="s">
        <v>14</v>
      </c>
      <c r="J813" s="5">
        <v>45</v>
      </c>
      <c r="K813" s="2"/>
      <c r="L813" s="2"/>
      <c r="M813" s="1"/>
    </row>
    <row r="814" spans="1:13" ht="14.4" x14ac:dyDescent="0.3">
      <c r="A814" s="14">
        <v>44806</v>
      </c>
      <c r="B814" s="5">
        <v>3</v>
      </c>
      <c r="C814" s="32">
        <f>VLOOKUP(B814,'area in m2'!B$2:C$10,2,FALSE)</f>
        <v>195</v>
      </c>
      <c r="D814" s="5" t="s">
        <v>11</v>
      </c>
      <c r="E814" s="6">
        <v>512.95297511575973</v>
      </c>
      <c r="F814" s="33" t="str">
        <f t="shared" si="24"/>
        <v>Below 530</v>
      </c>
      <c r="G814" s="33">
        <f t="shared" si="25"/>
        <v>538.60062387154778</v>
      </c>
      <c r="H814" s="7">
        <v>0.02</v>
      </c>
      <c r="I814" s="5" t="s">
        <v>14</v>
      </c>
      <c r="J814" s="5">
        <v>25</v>
      </c>
      <c r="K814" s="2"/>
      <c r="L814" s="2"/>
      <c r="M814" s="1"/>
    </row>
    <row r="815" spans="1:13" ht="14.4" x14ac:dyDescent="0.3">
      <c r="A815" s="14">
        <v>44891</v>
      </c>
      <c r="B815" s="5">
        <v>4</v>
      </c>
      <c r="C815" s="32">
        <f>VLOOKUP(B815,'area in m2'!B$2:C$10,2,FALSE)</f>
        <v>188</v>
      </c>
      <c r="D815" s="5" t="s">
        <v>11</v>
      </c>
      <c r="E815" s="6">
        <v>512.10084523337628</v>
      </c>
      <c r="F815" s="33" t="str">
        <f t="shared" si="24"/>
        <v>Below 530</v>
      </c>
      <c r="G815" s="33">
        <f t="shared" si="25"/>
        <v>537.70588749504509</v>
      </c>
      <c r="H815" s="7">
        <v>0</v>
      </c>
      <c r="I815" s="5" t="s">
        <v>14</v>
      </c>
      <c r="J815" s="5">
        <v>65</v>
      </c>
      <c r="K815" s="2"/>
      <c r="L815" s="2"/>
      <c r="M815" s="1"/>
    </row>
    <row r="816" spans="1:13" ht="14.4" x14ac:dyDescent="0.3">
      <c r="A816" s="14">
        <v>44825</v>
      </c>
      <c r="B816" s="5">
        <v>8</v>
      </c>
      <c r="C816" s="32">
        <f>VLOOKUP(B816,'area in m2'!B$2:C$10,2,FALSE)</f>
        <v>142</v>
      </c>
      <c r="D816" s="5" t="s">
        <v>12</v>
      </c>
      <c r="E816" s="6">
        <v>503.04288241823997</v>
      </c>
      <c r="F816" s="33" t="str">
        <f t="shared" si="24"/>
        <v>Below 530</v>
      </c>
      <c r="G816" s="33">
        <f t="shared" si="25"/>
        <v>528.19502653915197</v>
      </c>
      <c r="H816" s="7">
        <v>0.01</v>
      </c>
      <c r="I816" s="5" t="s">
        <v>14</v>
      </c>
      <c r="J816" s="5">
        <v>29</v>
      </c>
      <c r="K816" s="2"/>
      <c r="L816" s="2"/>
      <c r="M816" s="1"/>
    </row>
    <row r="817" spans="1:13" ht="14.4" x14ac:dyDescent="0.3">
      <c r="A817" s="14">
        <v>44782</v>
      </c>
      <c r="B817" s="5">
        <v>7</v>
      </c>
      <c r="C817" s="32">
        <f>VLOOKUP(B817,'area in m2'!B$2:C$10,2,FALSE)</f>
        <v>166</v>
      </c>
      <c r="D817" s="5" t="s">
        <v>12</v>
      </c>
      <c r="E817" s="6">
        <v>513.62162190760773</v>
      </c>
      <c r="F817" s="33" t="str">
        <f t="shared" si="24"/>
        <v>Below 530</v>
      </c>
      <c r="G817" s="33">
        <f t="shared" si="25"/>
        <v>539.3027030029881</v>
      </c>
      <c r="H817" s="7">
        <v>0.02</v>
      </c>
      <c r="I817" s="5" t="s">
        <v>14</v>
      </c>
      <c r="J817" s="5">
        <v>32</v>
      </c>
      <c r="K817" s="2"/>
      <c r="L817" s="2"/>
      <c r="M817" s="1"/>
    </row>
    <row r="818" spans="1:13" ht="14.4" x14ac:dyDescent="0.3">
      <c r="A818" s="14">
        <v>44632</v>
      </c>
      <c r="B818" s="5">
        <v>5</v>
      </c>
      <c r="C818" s="32">
        <f>VLOOKUP(B818,'area in m2'!B$2:C$10,2,FALSE)</f>
        <v>200</v>
      </c>
      <c r="D818" s="5" t="s">
        <v>13</v>
      </c>
      <c r="E818" s="6">
        <v>532.20328846236953</v>
      </c>
      <c r="F818" s="33" t="str">
        <f t="shared" si="24"/>
        <v>Over 530</v>
      </c>
      <c r="G818" s="33">
        <f t="shared" si="25"/>
        <v>558.813452885488</v>
      </c>
      <c r="H818" s="7">
        <v>0.03</v>
      </c>
      <c r="I818" s="5" t="s">
        <v>14</v>
      </c>
      <c r="J818" s="5">
        <v>38</v>
      </c>
      <c r="K818" s="2"/>
      <c r="L818" s="2"/>
      <c r="M818" s="1"/>
    </row>
    <row r="819" spans="1:13" ht="14.4" x14ac:dyDescent="0.3">
      <c r="A819" s="14">
        <v>44703</v>
      </c>
      <c r="B819" s="5">
        <v>1</v>
      </c>
      <c r="C819" s="32">
        <f>VLOOKUP(B819,'area in m2'!B$2:C$10,2,FALSE)</f>
        <v>280</v>
      </c>
      <c r="D819" s="5" t="s">
        <v>11</v>
      </c>
      <c r="E819" s="6">
        <v>516.53198709196477</v>
      </c>
      <c r="F819" s="33" t="str">
        <f t="shared" si="24"/>
        <v>Below 530</v>
      </c>
      <c r="G819" s="33">
        <f t="shared" si="25"/>
        <v>542.35858644656298</v>
      </c>
      <c r="H819" s="7">
        <v>0.02</v>
      </c>
      <c r="I819" s="5" t="s">
        <v>14</v>
      </c>
      <c r="J819" s="5">
        <v>48</v>
      </c>
      <c r="K819" s="2"/>
      <c r="L819" s="2"/>
      <c r="M819" s="1"/>
    </row>
    <row r="820" spans="1:13" ht="14.4" x14ac:dyDescent="0.3">
      <c r="A820" s="14">
        <v>44738</v>
      </c>
      <c r="B820" s="5">
        <v>3</v>
      </c>
      <c r="C820" s="32">
        <f>VLOOKUP(B820,'area in m2'!B$2:C$10,2,FALSE)</f>
        <v>195</v>
      </c>
      <c r="D820" s="5" t="s">
        <v>11</v>
      </c>
      <c r="E820" s="6">
        <v>502.50440534558311</v>
      </c>
      <c r="F820" s="33" t="str">
        <f t="shared" si="24"/>
        <v>Below 530</v>
      </c>
      <c r="G820" s="33">
        <f t="shared" si="25"/>
        <v>527.62962561286224</v>
      </c>
      <c r="H820" s="7">
        <v>0</v>
      </c>
      <c r="I820" s="5" t="s">
        <v>15</v>
      </c>
      <c r="J820" s="5">
        <v>30</v>
      </c>
      <c r="K820" s="2"/>
      <c r="L820" s="2"/>
      <c r="M820" s="1"/>
    </row>
    <row r="821" spans="1:13" ht="14.4" x14ac:dyDescent="0.3">
      <c r="A821" s="14">
        <v>44853</v>
      </c>
      <c r="B821" s="5">
        <v>3</v>
      </c>
      <c r="C821" s="32">
        <f>VLOOKUP(B821,'area in m2'!B$2:C$10,2,FALSE)</f>
        <v>195</v>
      </c>
      <c r="D821" s="5" t="s">
        <v>11</v>
      </c>
      <c r="E821" s="6">
        <v>511.2161216376071</v>
      </c>
      <c r="F821" s="33" t="str">
        <f t="shared" si="24"/>
        <v>Below 530</v>
      </c>
      <c r="G821" s="33">
        <f t="shared" si="25"/>
        <v>536.7769277194875</v>
      </c>
      <c r="H821" s="7">
        <v>0.03</v>
      </c>
      <c r="I821" s="5" t="s">
        <v>14</v>
      </c>
      <c r="J821" s="5">
        <v>22</v>
      </c>
      <c r="K821" s="2"/>
      <c r="L821" s="2"/>
      <c r="M821" s="1"/>
    </row>
    <row r="822" spans="1:13" ht="14.4" x14ac:dyDescent="0.3">
      <c r="A822" s="14">
        <v>44905</v>
      </c>
      <c r="B822" s="5">
        <v>5</v>
      </c>
      <c r="C822" s="32">
        <f>VLOOKUP(B822,'area in m2'!B$2:C$10,2,FALSE)</f>
        <v>200</v>
      </c>
      <c r="D822" s="5" t="s">
        <v>13</v>
      </c>
      <c r="E822" s="6">
        <v>524.47294378170125</v>
      </c>
      <c r="F822" s="33" t="str">
        <f t="shared" si="24"/>
        <v>Below 530</v>
      </c>
      <c r="G822" s="33">
        <f t="shared" si="25"/>
        <v>550.69659097078636</v>
      </c>
      <c r="H822" s="7">
        <v>0.01</v>
      </c>
      <c r="I822" s="5" t="s">
        <v>14</v>
      </c>
      <c r="J822" s="5">
        <v>49</v>
      </c>
      <c r="K822" s="2"/>
      <c r="L822" s="2"/>
      <c r="M822" s="1"/>
    </row>
    <row r="823" spans="1:13" ht="14.4" x14ac:dyDescent="0.3">
      <c r="A823" s="14">
        <v>44719</v>
      </c>
      <c r="B823" s="5">
        <v>1</v>
      </c>
      <c r="C823" s="32">
        <f>VLOOKUP(B823,'area in m2'!B$2:C$10,2,FALSE)</f>
        <v>280</v>
      </c>
      <c r="D823" s="5" t="s">
        <v>11</v>
      </c>
      <c r="E823" s="6">
        <v>534.62255010785248</v>
      </c>
      <c r="F823" s="33" t="str">
        <f t="shared" si="24"/>
        <v>Over 530</v>
      </c>
      <c r="G823" s="33">
        <f t="shared" si="25"/>
        <v>561.35367761324517</v>
      </c>
      <c r="H823" s="7">
        <v>0.03</v>
      </c>
      <c r="I823" s="5" t="s">
        <v>14</v>
      </c>
      <c r="J823" s="5">
        <v>41</v>
      </c>
      <c r="K823" s="2"/>
      <c r="L823" s="2"/>
      <c r="M823" s="1"/>
    </row>
    <row r="824" spans="1:13" ht="14.4" x14ac:dyDescent="0.3">
      <c r="A824" s="14">
        <v>44644</v>
      </c>
      <c r="B824" s="5">
        <v>3</v>
      </c>
      <c r="C824" s="32">
        <f>VLOOKUP(B824,'area in m2'!B$2:C$10,2,FALSE)</f>
        <v>195</v>
      </c>
      <c r="D824" s="5" t="s">
        <v>11</v>
      </c>
      <c r="E824" s="6">
        <v>527.95956815583122</v>
      </c>
      <c r="F824" s="33" t="str">
        <f t="shared" si="24"/>
        <v>Below 530</v>
      </c>
      <c r="G824" s="33">
        <f t="shared" si="25"/>
        <v>554.3575465636228</v>
      </c>
      <c r="H824" s="7">
        <v>0.02</v>
      </c>
      <c r="I824" s="5" t="s">
        <v>14</v>
      </c>
      <c r="J824" s="5">
        <v>37</v>
      </c>
      <c r="K824" s="2"/>
      <c r="L824" s="2"/>
      <c r="M824" s="1"/>
    </row>
    <row r="825" spans="1:13" ht="14.4" x14ac:dyDescent="0.3">
      <c r="A825" s="14">
        <v>44626</v>
      </c>
      <c r="B825" s="5">
        <v>1</v>
      </c>
      <c r="C825" s="32">
        <f>VLOOKUP(B825,'area in m2'!B$2:C$10,2,FALSE)</f>
        <v>280</v>
      </c>
      <c r="D825" s="5" t="s">
        <v>11</v>
      </c>
      <c r="E825" s="6">
        <v>547.55329246827023</v>
      </c>
      <c r="F825" s="33" t="str">
        <f t="shared" si="24"/>
        <v>Over 530</v>
      </c>
      <c r="G825" s="33">
        <f t="shared" si="25"/>
        <v>574.93095709168381</v>
      </c>
      <c r="H825" s="7">
        <v>0.01</v>
      </c>
      <c r="I825" s="5" t="s">
        <v>15</v>
      </c>
      <c r="J825" s="5">
        <v>54</v>
      </c>
      <c r="K825" s="2"/>
      <c r="L825" s="2"/>
      <c r="M825" s="1"/>
    </row>
    <row r="826" spans="1:13" ht="14.4" x14ac:dyDescent="0.3">
      <c r="A826" s="14">
        <v>44924</v>
      </c>
      <c r="B826" s="5">
        <v>6</v>
      </c>
      <c r="C826" s="32">
        <f>VLOOKUP(B826,'area in m2'!B$2:C$10,2,FALSE)</f>
        <v>175</v>
      </c>
      <c r="D826" s="5" t="s">
        <v>13</v>
      </c>
      <c r="E826" s="6">
        <v>514.90860208037975</v>
      </c>
      <c r="F826" s="33" t="str">
        <f t="shared" si="24"/>
        <v>Below 530</v>
      </c>
      <c r="G826" s="33">
        <f t="shared" si="25"/>
        <v>540.65403218439872</v>
      </c>
      <c r="H826" s="7">
        <v>0.03</v>
      </c>
      <c r="I826" s="5" t="s">
        <v>15</v>
      </c>
      <c r="J826" s="5">
        <v>54</v>
      </c>
      <c r="K826" s="2"/>
      <c r="L826" s="2"/>
      <c r="M826" s="1"/>
    </row>
    <row r="827" spans="1:13" ht="14.4" x14ac:dyDescent="0.3">
      <c r="A827" s="14">
        <v>44809</v>
      </c>
      <c r="B827" s="5">
        <v>9</v>
      </c>
      <c r="C827" s="32">
        <f>VLOOKUP(B827,'area in m2'!B$2:C$10,2,FALSE)</f>
        <v>140</v>
      </c>
      <c r="D827" s="5" t="s">
        <v>12</v>
      </c>
      <c r="E827" s="6">
        <v>512.5687110689978</v>
      </c>
      <c r="F827" s="33" t="str">
        <f t="shared" si="24"/>
        <v>Below 530</v>
      </c>
      <c r="G827" s="33">
        <f t="shared" si="25"/>
        <v>538.19714662244769</v>
      </c>
      <c r="H827" s="7">
        <v>0.01</v>
      </c>
      <c r="I827" s="5" t="s">
        <v>14</v>
      </c>
      <c r="J827" s="5">
        <v>39</v>
      </c>
      <c r="K827" s="2"/>
      <c r="L827" s="2"/>
      <c r="M827" s="1"/>
    </row>
    <row r="828" spans="1:13" ht="14.4" x14ac:dyDescent="0.3">
      <c r="A828" s="14">
        <v>44675</v>
      </c>
      <c r="B828" s="5">
        <v>1</v>
      </c>
      <c r="C828" s="32">
        <f>VLOOKUP(B828,'area in m2'!B$2:C$10,2,FALSE)</f>
        <v>280</v>
      </c>
      <c r="D828" s="5" t="s">
        <v>11</v>
      </c>
      <c r="E828" s="6">
        <v>525.66338145820828</v>
      </c>
      <c r="F828" s="33" t="str">
        <f t="shared" si="24"/>
        <v>Below 530</v>
      </c>
      <c r="G828" s="33">
        <f t="shared" si="25"/>
        <v>551.94655053111876</v>
      </c>
      <c r="H828" s="7">
        <v>0.03</v>
      </c>
      <c r="I828" s="5" t="s">
        <v>14</v>
      </c>
      <c r="J828" s="5">
        <v>42</v>
      </c>
      <c r="K828" s="2"/>
      <c r="L828" s="2"/>
      <c r="M828" s="1"/>
    </row>
    <row r="829" spans="1:13" ht="14.4" x14ac:dyDescent="0.3">
      <c r="A829" s="14">
        <v>44787</v>
      </c>
      <c r="B829" s="5">
        <v>8</v>
      </c>
      <c r="C829" s="32">
        <f>VLOOKUP(B829,'area in m2'!B$2:C$10,2,FALSE)</f>
        <v>142</v>
      </c>
      <c r="D829" s="5" t="s">
        <v>12</v>
      </c>
      <c r="E829" s="6">
        <v>531.94791846057433</v>
      </c>
      <c r="F829" s="33" t="str">
        <f t="shared" si="24"/>
        <v>Over 530</v>
      </c>
      <c r="G829" s="33">
        <f t="shared" si="25"/>
        <v>558.54531438360311</v>
      </c>
      <c r="H829" s="7">
        <v>0.02</v>
      </c>
      <c r="I829" s="5" t="s">
        <v>14</v>
      </c>
      <c r="J829" s="5">
        <v>28</v>
      </c>
      <c r="K829" s="2"/>
      <c r="L829" s="2"/>
      <c r="M829" s="1"/>
    </row>
    <row r="830" spans="1:13" ht="14.4" x14ac:dyDescent="0.3">
      <c r="A830" s="14">
        <v>44847</v>
      </c>
      <c r="B830" s="5">
        <v>5</v>
      </c>
      <c r="C830" s="32">
        <f>VLOOKUP(B830,'area in m2'!B$2:C$10,2,FALSE)</f>
        <v>200</v>
      </c>
      <c r="D830" s="5" t="s">
        <v>13</v>
      </c>
      <c r="E830" s="6">
        <v>550.59430766312926</v>
      </c>
      <c r="F830" s="33" t="str">
        <f t="shared" si="24"/>
        <v>Over 530</v>
      </c>
      <c r="G830" s="33">
        <f t="shared" si="25"/>
        <v>578.12402304628574</v>
      </c>
      <c r="H830" s="7">
        <v>0.03</v>
      </c>
      <c r="I830" s="5" t="s">
        <v>15</v>
      </c>
      <c r="J830" s="5">
        <v>25</v>
      </c>
      <c r="K830" s="2"/>
      <c r="L830" s="2"/>
      <c r="M830" s="1"/>
    </row>
    <row r="831" spans="1:13" ht="14.4" x14ac:dyDescent="0.3">
      <c r="A831" s="14">
        <v>44920</v>
      </c>
      <c r="B831" s="5">
        <v>1</v>
      </c>
      <c r="C831" s="32">
        <f>VLOOKUP(B831,'area in m2'!B$2:C$10,2,FALSE)</f>
        <v>280</v>
      </c>
      <c r="D831" s="5" t="s">
        <v>11</v>
      </c>
      <c r="E831" s="6">
        <v>524.78814551174128</v>
      </c>
      <c r="F831" s="33" t="str">
        <f t="shared" si="24"/>
        <v>Below 530</v>
      </c>
      <c r="G831" s="33">
        <f t="shared" si="25"/>
        <v>551.02755278732832</v>
      </c>
      <c r="H831" s="7">
        <v>0.02</v>
      </c>
      <c r="I831" s="5" t="s">
        <v>14</v>
      </c>
      <c r="J831" s="5">
        <v>35</v>
      </c>
      <c r="K831" s="2"/>
      <c r="L831" s="2"/>
      <c r="M831" s="1"/>
    </row>
    <row r="832" spans="1:13" ht="14.4" x14ac:dyDescent="0.3">
      <c r="A832" s="14">
        <v>44913</v>
      </c>
      <c r="B832" s="5">
        <v>8</v>
      </c>
      <c r="C832" s="32">
        <f>VLOOKUP(B832,'area in m2'!B$2:C$10,2,FALSE)</f>
        <v>142</v>
      </c>
      <c r="D832" s="5" t="s">
        <v>12</v>
      </c>
      <c r="E832" s="6">
        <v>517.6984407549262</v>
      </c>
      <c r="F832" s="33" t="str">
        <f t="shared" si="24"/>
        <v>Below 530</v>
      </c>
      <c r="G832" s="33">
        <f t="shared" si="25"/>
        <v>543.58336279267257</v>
      </c>
      <c r="H832" s="7">
        <v>0</v>
      </c>
      <c r="I832" s="5" t="s">
        <v>15</v>
      </c>
      <c r="J832" s="5">
        <v>64</v>
      </c>
      <c r="K832" s="2"/>
      <c r="L832" s="2"/>
      <c r="M832" s="1"/>
    </row>
    <row r="833" spans="1:13" ht="14.4" x14ac:dyDescent="0.3">
      <c r="A833" s="14">
        <v>44798</v>
      </c>
      <c r="B833" s="5">
        <v>9</v>
      </c>
      <c r="C833" s="32">
        <f>VLOOKUP(B833,'area in m2'!B$2:C$10,2,FALSE)</f>
        <v>140</v>
      </c>
      <c r="D833" s="5" t="s">
        <v>12</v>
      </c>
      <c r="E833" s="6">
        <v>537.84112625972648</v>
      </c>
      <c r="F833" s="33" t="str">
        <f t="shared" si="24"/>
        <v>Over 530</v>
      </c>
      <c r="G833" s="33">
        <f t="shared" si="25"/>
        <v>564.73318257271285</v>
      </c>
      <c r="H833" s="7">
        <v>0</v>
      </c>
      <c r="I833" s="5" t="s">
        <v>15</v>
      </c>
      <c r="J833" s="5">
        <v>20</v>
      </c>
      <c r="K833" s="2"/>
      <c r="L833" s="2"/>
      <c r="M833" s="1"/>
    </row>
    <row r="834" spans="1:13" ht="14.4" x14ac:dyDescent="0.3">
      <c r="A834" s="14">
        <v>44846</v>
      </c>
      <c r="B834" s="5">
        <v>2</v>
      </c>
      <c r="C834" s="32">
        <f>VLOOKUP(B834,'area in m2'!B$2:C$10,2,FALSE)</f>
        <v>250</v>
      </c>
      <c r="D834" s="5" t="s">
        <v>11</v>
      </c>
      <c r="E834" s="6">
        <v>524.0553035979874</v>
      </c>
      <c r="F834" s="33" t="str">
        <f t="shared" si="24"/>
        <v>Below 530</v>
      </c>
      <c r="G834" s="33">
        <f t="shared" si="25"/>
        <v>550.25806877788682</v>
      </c>
      <c r="H834" s="7">
        <v>0.02</v>
      </c>
      <c r="I834" s="5" t="s">
        <v>14</v>
      </c>
      <c r="J834" s="5">
        <v>19</v>
      </c>
      <c r="K834" s="2"/>
      <c r="L834" s="2"/>
      <c r="M834" s="1"/>
    </row>
    <row r="835" spans="1:13" ht="14.4" x14ac:dyDescent="0.3">
      <c r="A835" s="14">
        <v>44573</v>
      </c>
      <c r="B835" s="5">
        <v>5</v>
      </c>
      <c r="C835" s="32">
        <f>VLOOKUP(B835,'area in m2'!B$2:C$10,2,FALSE)</f>
        <v>200</v>
      </c>
      <c r="D835" s="5" t="s">
        <v>13</v>
      </c>
      <c r="E835" s="6">
        <v>545.22635656546481</v>
      </c>
      <c r="F835" s="33" t="str">
        <f t="shared" si="24"/>
        <v>Over 530</v>
      </c>
      <c r="G835" s="33">
        <f t="shared" si="25"/>
        <v>572.48767439373808</v>
      </c>
      <c r="H835" s="7">
        <v>0.02</v>
      </c>
      <c r="I835" s="5" t="s">
        <v>15</v>
      </c>
      <c r="J835" s="5">
        <v>53</v>
      </c>
      <c r="K835" s="2"/>
      <c r="L835" s="2"/>
      <c r="M835" s="1"/>
    </row>
    <row r="836" spans="1:13" ht="14.4" x14ac:dyDescent="0.3">
      <c r="A836" s="14">
        <v>44809</v>
      </c>
      <c r="B836" s="5">
        <v>5</v>
      </c>
      <c r="C836" s="32">
        <f>VLOOKUP(B836,'area in m2'!B$2:C$10,2,FALSE)</f>
        <v>200</v>
      </c>
      <c r="D836" s="5" t="s">
        <v>13</v>
      </c>
      <c r="E836" s="6">
        <v>503.73814241736363</v>
      </c>
      <c r="F836" s="33" t="str">
        <f t="shared" si="24"/>
        <v>Below 530</v>
      </c>
      <c r="G836" s="33">
        <f t="shared" si="25"/>
        <v>528.92504953823186</v>
      </c>
      <c r="H836" s="7">
        <v>0.01</v>
      </c>
      <c r="I836" s="5" t="s">
        <v>15</v>
      </c>
      <c r="J836" s="5">
        <v>48</v>
      </c>
      <c r="K836" s="2"/>
      <c r="L836" s="2"/>
      <c r="M836" s="1"/>
    </row>
    <row r="837" spans="1:13" ht="14.4" x14ac:dyDescent="0.3">
      <c r="A837" s="14">
        <v>44579</v>
      </c>
      <c r="B837" s="5">
        <v>4</v>
      </c>
      <c r="C837" s="32">
        <f>VLOOKUP(B837,'area in m2'!B$2:C$10,2,FALSE)</f>
        <v>188</v>
      </c>
      <c r="D837" s="5" t="s">
        <v>11</v>
      </c>
      <c r="E837" s="6">
        <v>525.28697720375749</v>
      </c>
      <c r="F837" s="33" t="str">
        <f t="shared" ref="F837:F900" si="26">IF(E837&gt;530,"Over 530","Below 530")</f>
        <v>Below 530</v>
      </c>
      <c r="G837" s="33">
        <f t="shared" ref="G837:G900" si="27">+E837*1.05</f>
        <v>551.55132606394534</v>
      </c>
      <c r="H837" s="7">
        <v>0</v>
      </c>
      <c r="I837" s="5" t="s">
        <v>14</v>
      </c>
      <c r="J837" s="5">
        <v>32</v>
      </c>
      <c r="K837" s="2"/>
      <c r="L837" s="2"/>
      <c r="M837" s="1"/>
    </row>
    <row r="838" spans="1:13" ht="14.4" x14ac:dyDescent="0.3">
      <c r="A838" s="14">
        <v>44677</v>
      </c>
      <c r="B838" s="5">
        <v>3</v>
      </c>
      <c r="C838" s="32">
        <f>VLOOKUP(B838,'area in m2'!B$2:C$10,2,FALSE)</f>
        <v>195</v>
      </c>
      <c r="D838" s="5" t="s">
        <v>11</v>
      </c>
      <c r="E838" s="6">
        <v>520.61798392423862</v>
      </c>
      <c r="F838" s="33" t="str">
        <f t="shared" si="26"/>
        <v>Below 530</v>
      </c>
      <c r="G838" s="33">
        <f t="shared" si="27"/>
        <v>546.64888312045059</v>
      </c>
      <c r="H838" s="7">
        <v>0.01</v>
      </c>
      <c r="I838" s="5" t="s">
        <v>14</v>
      </c>
      <c r="J838" s="5">
        <v>50</v>
      </c>
      <c r="K838" s="2"/>
      <c r="L838" s="2"/>
      <c r="M838" s="1"/>
    </row>
    <row r="839" spans="1:13" ht="14.4" x14ac:dyDescent="0.3">
      <c r="A839" s="14">
        <v>44705</v>
      </c>
      <c r="B839" s="5">
        <v>1</v>
      </c>
      <c r="C839" s="32">
        <f>VLOOKUP(B839,'area in m2'!B$2:C$10,2,FALSE)</f>
        <v>280</v>
      </c>
      <c r="D839" s="5" t="s">
        <v>11</v>
      </c>
      <c r="E839" s="6">
        <v>500.0695607629923</v>
      </c>
      <c r="F839" s="33" t="str">
        <f t="shared" si="26"/>
        <v>Below 530</v>
      </c>
      <c r="G839" s="33">
        <f t="shared" si="27"/>
        <v>525.07303880114193</v>
      </c>
      <c r="H839" s="7">
        <v>0.03</v>
      </c>
      <c r="I839" s="5" t="s">
        <v>14</v>
      </c>
      <c r="J839" s="5">
        <v>27</v>
      </c>
      <c r="K839" s="2"/>
      <c r="L839" s="2"/>
      <c r="M839" s="1"/>
    </row>
    <row r="840" spans="1:13" ht="14.4" x14ac:dyDescent="0.3">
      <c r="A840" s="14">
        <v>44710</v>
      </c>
      <c r="B840" s="5">
        <v>2</v>
      </c>
      <c r="C840" s="32">
        <f>VLOOKUP(B840,'area in m2'!B$2:C$10,2,FALSE)</f>
        <v>250</v>
      </c>
      <c r="D840" s="5" t="s">
        <v>11</v>
      </c>
      <c r="E840" s="6">
        <v>538.65748315434121</v>
      </c>
      <c r="F840" s="33" t="str">
        <f t="shared" si="26"/>
        <v>Over 530</v>
      </c>
      <c r="G840" s="33">
        <f t="shared" si="27"/>
        <v>565.59035731205825</v>
      </c>
      <c r="H840" s="7">
        <v>0.01</v>
      </c>
      <c r="I840" s="5" t="s">
        <v>14</v>
      </c>
      <c r="J840" s="5">
        <v>48</v>
      </c>
      <c r="K840" s="2"/>
      <c r="L840" s="2"/>
      <c r="M840" s="1"/>
    </row>
    <row r="841" spans="1:13" ht="14.4" x14ac:dyDescent="0.3">
      <c r="A841" s="14">
        <v>44764</v>
      </c>
      <c r="B841" s="5">
        <v>8</v>
      </c>
      <c r="C841" s="32">
        <f>VLOOKUP(B841,'area in m2'!B$2:C$10,2,FALSE)</f>
        <v>142</v>
      </c>
      <c r="D841" s="5" t="s">
        <v>11</v>
      </c>
      <c r="E841" s="6">
        <v>518.5553543680594</v>
      </c>
      <c r="F841" s="33" t="str">
        <f t="shared" si="26"/>
        <v>Below 530</v>
      </c>
      <c r="G841" s="33">
        <f t="shared" si="27"/>
        <v>544.48312208646234</v>
      </c>
      <c r="H841" s="7">
        <v>0</v>
      </c>
      <c r="I841" s="5" t="s">
        <v>14</v>
      </c>
      <c r="J841" s="5">
        <v>28</v>
      </c>
      <c r="K841" s="2"/>
      <c r="L841" s="2"/>
      <c r="M841" s="1"/>
    </row>
    <row r="842" spans="1:13" ht="14.4" x14ac:dyDescent="0.3">
      <c r="A842" s="14">
        <v>44778</v>
      </c>
      <c r="B842" s="5">
        <v>1</v>
      </c>
      <c r="C842" s="32">
        <f>VLOOKUP(B842,'area in m2'!B$2:C$10,2,FALSE)</f>
        <v>280</v>
      </c>
      <c r="D842" s="5" t="s">
        <v>11</v>
      </c>
      <c r="E842" s="6">
        <v>539.24792541262377</v>
      </c>
      <c r="F842" s="33" t="str">
        <f t="shared" si="26"/>
        <v>Over 530</v>
      </c>
      <c r="G842" s="33">
        <f t="shared" si="27"/>
        <v>566.21032168325496</v>
      </c>
      <c r="H842" s="7">
        <v>0.01</v>
      </c>
      <c r="I842" s="5" t="s">
        <v>15</v>
      </c>
      <c r="J842" s="5">
        <v>62</v>
      </c>
      <c r="K842" s="2"/>
      <c r="L842" s="2"/>
      <c r="M842" s="1"/>
    </row>
    <row r="843" spans="1:13" ht="14.4" x14ac:dyDescent="0.3">
      <c r="A843" s="14">
        <v>44836</v>
      </c>
      <c r="B843" s="5">
        <v>1</v>
      </c>
      <c r="C843" s="32">
        <f>VLOOKUP(B843,'area in m2'!B$2:C$10,2,FALSE)</f>
        <v>280</v>
      </c>
      <c r="D843" s="5" t="s">
        <v>11</v>
      </c>
      <c r="E843" s="6">
        <v>512.66464083393112</v>
      </c>
      <c r="F843" s="33" t="str">
        <f t="shared" si="26"/>
        <v>Below 530</v>
      </c>
      <c r="G843" s="33">
        <f t="shared" si="27"/>
        <v>538.29787287562772</v>
      </c>
      <c r="H843" s="7">
        <v>0.03</v>
      </c>
      <c r="I843" s="5" t="s">
        <v>15</v>
      </c>
      <c r="J843" s="5">
        <v>36</v>
      </c>
      <c r="K843" s="2"/>
      <c r="L843" s="2"/>
      <c r="M843" s="1"/>
    </row>
    <row r="844" spans="1:13" ht="14.4" x14ac:dyDescent="0.3">
      <c r="A844" s="14">
        <v>44591</v>
      </c>
      <c r="B844" s="5">
        <v>3</v>
      </c>
      <c r="C844" s="32">
        <f>VLOOKUP(B844,'area in m2'!B$2:C$10,2,FALSE)</f>
        <v>195</v>
      </c>
      <c r="D844" s="5" t="s">
        <v>11</v>
      </c>
      <c r="E844" s="6">
        <v>507.85912000002645</v>
      </c>
      <c r="F844" s="33" t="str">
        <f t="shared" si="26"/>
        <v>Below 530</v>
      </c>
      <c r="G844" s="33">
        <f t="shared" si="27"/>
        <v>533.25207600002784</v>
      </c>
      <c r="H844" s="7">
        <v>0.02</v>
      </c>
      <c r="I844" s="5" t="s">
        <v>15</v>
      </c>
      <c r="J844" s="5">
        <v>40</v>
      </c>
      <c r="K844" s="2"/>
      <c r="L844" s="2"/>
      <c r="M844" s="1"/>
    </row>
    <row r="845" spans="1:13" ht="14.4" x14ac:dyDescent="0.3">
      <c r="A845" s="14">
        <v>44677</v>
      </c>
      <c r="B845" s="5">
        <v>8</v>
      </c>
      <c r="C845" s="32">
        <f>VLOOKUP(B845,'area in m2'!B$2:C$10,2,FALSE)</f>
        <v>142</v>
      </c>
      <c r="D845" s="5" t="s">
        <v>12</v>
      </c>
      <c r="E845" s="6">
        <v>540.12436611571047</v>
      </c>
      <c r="F845" s="33" t="str">
        <f t="shared" si="26"/>
        <v>Over 530</v>
      </c>
      <c r="G845" s="33">
        <f t="shared" si="27"/>
        <v>567.130584421496</v>
      </c>
      <c r="H845" s="7">
        <v>0.02</v>
      </c>
      <c r="I845" s="5" t="s">
        <v>14</v>
      </c>
      <c r="J845" s="5">
        <v>39</v>
      </c>
      <c r="K845" s="2"/>
      <c r="L845" s="2"/>
      <c r="M845" s="1"/>
    </row>
    <row r="846" spans="1:13" ht="14.4" x14ac:dyDescent="0.3">
      <c r="A846" s="14">
        <v>44886</v>
      </c>
      <c r="B846" s="5">
        <v>1</v>
      </c>
      <c r="C846" s="32">
        <f>VLOOKUP(B846,'area in m2'!B$2:C$10,2,FALSE)</f>
        <v>280</v>
      </c>
      <c r="D846" s="5" t="s">
        <v>11</v>
      </c>
      <c r="E846" s="6">
        <v>510.60404242127879</v>
      </c>
      <c r="F846" s="33" t="str">
        <f t="shared" si="26"/>
        <v>Below 530</v>
      </c>
      <c r="G846" s="33">
        <f t="shared" si="27"/>
        <v>536.1342445423428</v>
      </c>
      <c r="H846" s="7">
        <v>0.03</v>
      </c>
      <c r="I846" s="5" t="s">
        <v>14</v>
      </c>
      <c r="J846" s="5">
        <v>21</v>
      </c>
      <c r="K846" s="2"/>
      <c r="L846" s="2"/>
      <c r="M846" s="1"/>
    </row>
    <row r="847" spans="1:13" ht="14.4" x14ac:dyDescent="0.3">
      <c r="A847" s="14">
        <v>44694</v>
      </c>
      <c r="B847" s="5">
        <v>2</v>
      </c>
      <c r="C847" s="32">
        <f>VLOOKUP(B847,'area in m2'!B$2:C$10,2,FALSE)</f>
        <v>250</v>
      </c>
      <c r="D847" s="5" t="s">
        <v>11</v>
      </c>
      <c r="E847" s="6">
        <v>528.07724235585465</v>
      </c>
      <c r="F847" s="33" t="str">
        <f t="shared" si="26"/>
        <v>Below 530</v>
      </c>
      <c r="G847" s="33">
        <f t="shared" si="27"/>
        <v>554.48110447364741</v>
      </c>
      <c r="H847" s="7">
        <v>0.02</v>
      </c>
      <c r="I847" s="5" t="s">
        <v>14</v>
      </c>
      <c r="J847" s="5">
        <v>44</v>
      </c>
      <c r="K847" s="2"/>
      <c r="L847" s="2"/>
      <c r="M847" s="1"/>
    </row>
    <row r="848" spans="1:13" ht="14.4" x14ac:dyDescent="0.3">
      <c r="A848" s="14">
        <v>44644</v>
      </c>
      <c r="B848" s="5">
        <v>6</v>
      </c>
      <c r="C848" s="32">
        <f>VLOOKUP(B848,'area in m2'!B$2:C$10,2,FALSE)</f>
        <v>175</v>
      </c>
      <c r="D848" s="5" t="s">
        <v>13</v>
      </c>
      <c r="E848" s="6">
        <v>519.28547295903081</v>
      </c>
      <c r="F848" s="33" t="str">
        <f t="shared" si="26"/>
        <v>Below 530</v>
      </c>
      <c r="G848" s="33">
        <f t="shared" si="27"/>
        <v>545.2497466069824</v>
      </c>
      <c r="H848" s="7">
        <v>0.02</v>
      </c>
      <c r="I848" s="5" t="s">
        <v>15</v>
      </c>
      <c r="J848" s="5">
        <v>48</v>
      </c>
      <c r="K848" s="2"/>
      <c r="L848" s="2"/>
      <c r="M848" s="1"/>
    </row>
    <row r="849" spans="1:13" ht="14.4" x14ac:dyDescent="0.3">
      <c r="A849" s="14">
        <v>44734</v>
      </c>
      <c r="B849" s="5">
        <v>8</v>
      </c>
      <c r="C849" s="32">
        <f>VLOOKUP(B849,'area in m2'!B$2:C$10,2,FALSE)</f>
        <v>142</v>
      </c>
      <c r="D849" s="5" t="s">
        <v>11</v>
      </c>
      <c r="E849" s="6">
        <v>516.37216607008577</v>
      </c>
      <c r="F849" s="33" t="str">
        <f t="shared" si="26"/>
        <v>Below 530</v>
      </c>
      <c r="G849" s="33">
        <f t="shared" si="27"/>
        <v>542.1907743735901</v>
      </c>
      <c r="H849" s="7">
        <v>0.03</v>
      </c>
      <c r="I849" s="5" t="s">
        <v>14</v>
      </c>
      <c r="J849" s="5">
        <v>37</v>
      </c>
      <c r="K849" s="2"/>
      <c r="L849" s="2"/>
      <c r="M849" s="1"/>
    </row>
    <row r="850" spans="1:13" ht="14.4" x14ac:dyDescent="0.3">
      <c r="A850" s="14">
        <v>44736</v>
      </c>
      <c r="B850" s="5">
        <v>6</v>
      </c>
      <c r="C850" s="32">
        <f>VLOOKUP(B850,'area in m2'!B$2:C$10,2,FALSE)</f>
        <v>175</v>
      </c>
      <c r="D850" s="5" t="s">
        <v>13</v>
      </c>
      <c r="E850" s="6">
        <v>512.60784521689584</v>
      </c>
      <c r="F850" s="33" t="str">
        <f t="shared" si="26"/>
        <v>Below 530</v>
      </c>
      <c r="G850" s="33">
        <f t="shared" si="27"/>
        <v>538.23823747774065</v>
      </c>
      <c r="H850" s="7">
        <v>0.03</v>
      </c>
      <c r="I850" s="5" t="s">
        <v>14</v>
      </c>
      <c r="J850" s="5">
        <v>22</v>
      </c>
      <c r="K850" s="2"/>
      <c r="L850" s="2"/>
      <c r="M850" s="1"/>
    </row>
    <row r="851" spans="1:13" ht="14.4" x14ac:dyDescent="0.3">
      <c r="A851" s="14">
        <v>44715</v>
      </c>
      <c r="B851" s="5">
        <v>8</v>
      </c>
      <c r="C851" s="32">
        <f>VLOOKUP(B851,'area in m2'!B$2:C$10,2,FALSE)</f>
        <v>142</v>
      </c>
      <c r="D851" s="5" t="s">
        <v>12</v>
      </c>
      <c r="E851" s="6">
        <v>506.56221988731613</v>
      </c>
      <c r="F851" s="33" t="str">
        <f t="shared" si="26"/>
        <v>Below 530</v>
      </c>
      <c r="G851" s="33">
        <f t="shared" si="27"/>
        <v>531.89033088168196</v>
      </c>
      <c r="H851" s="7">
        <v>0</v>
      </c>
      <c r="I851" s="5" t="s">
        <v>14</v>
      </c>
      <c r="J851" s="5">
        <v>32</v>
      </c>
      <c r="K851" s="2"/>
      <c r="L851" s="2"/>
      <c r="M851" s="1"/>
    </row>
    <row r="852" spans="1:13" ht="14.4" x14ac:dyDescent="0.3">
      <c r="A852" s="14">
        <v>44572</v>
      </c>
      <c r="B852" s="5">
        <v>7</v>
      </c>
      <c r="C852" s="32">
        <f>VLOOKUP(B852,'area in m2'!B$2:C$10,2,FALSE)</f>
        <v>166</v>
      </c>
      <c r="D852" s="5" t="s">
        <v>12</v>
      </c>
      <c r="E852" s="6">
        <v>509.6459187911214</v>
      </c>
      <c r="F852" s="33" t="str">
        <f t="shared" si="26"/>
        <v>Below 530</v>
      </c>
      <c r="G852" s="33">
        <f t="shared" si="27"/>
        <v>535.12821473067754</v>
      </c>
      <c r="H852" s="7">
        <v>0</v>
      </c>
      <c r="I852" s="5" t="s">
        <v>14</v>
      </c>
      <c r="J852" s="5">
        <v>33</v>
      </c>
      <c r="K852" s="2"/>
      <c r="L852" s="2"/>
      <c r="M852" s="1"/>
    </row>
    <row r="853" spans="1:13" ht="14.4" x14ac:dyDescent="0.3">
      <c r="A853" s="14">
        <v>44589</v>
      </c>
      <c r="B853" s="5">
        <v>4</v>
      </c>
      <c r="C853" s="32">
        <f>VLOOKUP(B853,'area in m2'!B$2:C$10,2,FALSE)</f>
        <v>188</v>
      </c>
      <c r="D853" s="5" t="s">
        <v>11</v>
      </c>
      <c r="E853" s="6">
        <v>538.79117699880499</v>
      </c>
      <c r="F853" s="33" t="str">
        <f t="shared" si="26"/>
        <v>Over 530</v>
      </c>
      <c r="G853" s="33">
        <f t="shared" si="27"/>
        <v>565.73073584874521</v>
      </c>
      <c r="H853" s="7">
        <v>0.01</v>
      </c>
      <c r="I853" s="5" t="s">
        <v>14</v>
      </c>
      <c r="J853" s="5">
        <v>47</v>
      </c>
      <c r="K853" s="2"/>
      <c r="L853" s="2"/>
      <c r="M853" s="1"/>
    </row>
    <row r="854" spans="1:13" ht="14.4" x14ac:dyDescent="0.3">
      <c r="A854" s="14">
        <v>44640</v>
      </c>
      <c r="B854" s="5">
        <v>7</v>
      </c>
      <c r="C854" s="32">
        <f>VLOOKUP(B854,'area in m2'!B$2:C$10,2,FALSE)</f>
        <v>166</v>
      </c>
      <c r="D854" s="5" t="s">
        <v>12</v>
      </c>
      <c r="E854" s="6">
        <v>510.29810371716121</v>
      </c>
      <c r="F854" s="33" t="str">
        <f t="shared" si="26"/>
        <v>Below 530</v>
      </c>
      <c r="G854" s="33">
        <f t="shared" si="27"/>
        <v>535.81300890301929</v>
      </c>
      <c r="H854" s="7">
        <v>0.03</v>
      </c>
      <c r="I854" s="5" t="s">
        <v>15</v>
      </c>
      <c r="J854" s="5">
        <v>42</v>
      </c>
      <c r="K854" s="2"/>
      <c r="L854" s="2"/>
      <c r="M854" s="1"/>
    </row>
    <row r="855" spans="1:13" ht="14.4" x14ac:dyDescent="0.3">
      <c r="A855" s="14">
        <v>44885</v>
      </c>
      <c r="B855" s="5">
        <v>6</v>
      </c>
      <c r="C855" s="32">
        <f>VLOOKUP(B855,'area in m2'!B$2:C$10,2,FALSE)</f>
        <v>175</v>
      </c>
      <c r="D855" s="5" t="s">
        <v>13</v>
      </c>
      <c r="E855" s="6">
        <v>513.24518597485894</v>
      </c>
      <c r="F855" s="33" t="str">
        <f t="shared" si="26"/>
        <v>Below 530</v>
      </c>
      <c r="G855" s="33">
        <f t="shared" si="27"/>
        <v>538.90744527360187</v>
      </c>
      <c r="H855" s="7">
        <v>0.03</v>
      </c>
      <c r="I855" s="5" t="s">
        <v>14</v>
      </c>
      <c r="J855" s="5">
        <v>41</v>
      </c>
      <c r="K855" s="2"/>
      <c r="L855" s="2"/>
      <c r="M855" s="1"/>
    </row>
    <row r="856" spans="1:13" ht="14.4" x14ac:dyDescent="0.3">
      <c r="A856" s="14">
        <v>44637</v>
      </c>
      <c r="B856" s="5">
        <v>1</v>
      </c>
      <c r="C856" s="32">
        <f>VLOOKUP(B856,'area in m2'!B$2:C$10,2,FALSE)</f>
        <v>280</v>
      </c>
      <c r="D856" s="5" t="s">
        <v>11</v>
      </c>
      <c r="E856" s="6">
        <v>535.83101830683609</v>
      </c>
      <c r="F856" s="33" t="str">
        <f t="shared" si="26"/>
        <v>Over 530</v>
      </c>
      <c r="G856" s="33">
        <f t="shared" si="27"/>
        <v>562.62256922217796</v>
      </c>
      <c r="H856" s="7">
        <v>0</v>
      </c>
      <c r="I856" s="5" t="s">
        <v>14</v>
      </c>
      <c r="J856" s="5">
        <v>42</v>
      </c>
      <c r="K856" s="2"/>
      <c r="L856" s="2"/>
      <c r="M856" s="1"/>
    </row>
    <row r="857" spans="1:13" ht="14.4" x14ac:dyDescent="0.3">
      <c r="A857" s="14">
        <v>44840</v>
      </c>
      <c r="B857" s="5">
        <v>6</v>
      </c>
      <c r="C857" s="32">
        <f>VLOOKUP(B857,'area in m2'!B$2:C$10,2,FALSE)</f>
        <v>175</v>
      </c>
      <c r="D857" s="5" t="s">
        <v>13</v>
      </c>
      <c r="E857" s="6">
        <v>515.65822749898416</v>
      </c>
      <c r="F857" s="33" t="str">
        <f t="shared" si="26"/>
        <v>Below 530</v>
      </c>
      <c r="G857" s="33">
        <f t="shared" si="27"/>
        <v>541.44113887393337</v>
      </c>
      <c r="H857" s="7">
        <v>0</v>
      </c>
      <c r="I857" s="5" t="s">
        <v>14</v>
      </c>
      <c r="J857" s="5">
        <v>46</v>
      </c>
      <c r="K857" s="2"/>
      <c r="L857" s="2"/>
      <c r="M857" s="1"/>
    </row>
    <row r="858" spans="1:13" ht="14.4" x14ac:dyDescent="0.3">
      <c r="A858" s="14">
        <v>44587</v>
      </c>
      <c r="B858" s="5">
        <v>5</v>
      </c>
      <c r="C858" s="32">
        <f>VLOOKUP(B858,'area in m2'!B$2:C$10,2,FALSE)</f>
        <v>200</v>
      </c>
      <c r="D858" s="5" t="s">
        <v>13</v>
      </c>
      <c r="E858" s="6">
        <v>546.14279888554665</v>
      </c>
      <c r="F858" s="33" t="str">
        <f t="shared" si="26"/>
        <v>Over 530</v>
      </c>
      <c r="G858" s="33">
        <f t="shared" si="27"/>
        <v>573.44993882982396</v>
      </c>
      <c r="H858" s="7">
        <v>0.02</v>
      </c>
      <c r="I858" s="5" t="s">
        <v>14</v>
      </c>
      <c r="J858" s="5">
        <v>38</v>
      </c>
      <c r="K858" s="2"/>
      <c r="L858" s="2"/>
      <c r="M858" s="1"/>
    </row>
    <row r="859" spans="1:13" ht="14.4" x14ac:dyDescent="0.3">
      <c r="A859" s="14">
        <v>44586</v>
      </c>
      <c r="B859" s="5">
        <v>2</v>
      </c>
      <c r="C859" s="32">
        <f>VLOOKUP(B859,'area in m2'!B$2:C$10,2,FALSE)</f>
        <v>250</v>
      </c>
      <c r="D859" s="5" t="s">
        <v>11</v>
      </c>
      <c r="E859" s="6">
        <v>522.4209918789702</v>
      </c>
      <c r="F859" s="33" t="str">
        <f t="shared" si="26"/>
        <v>Below 530</v>
      </c>
      <c r="G859" s="33">
        <f t="shared" si="27"/>
        <v>548.54204147291875</v>
      </c>
      <c r="H859" s="7">
        <v>0.01</v>
      </c>
      <c r="I859" s="5" t="s">
        <v>15</v>
      </c>
      <c r="J859" s="5">
        <v>35</v>
      </c>
      <c r="K859" s="2"/>
      <c r="L859" s="2"/>
      <c r="M859" s="1"/>
    </row>
    <row r="860" spans="1:13" ht="14.4" x14ac:dyDescent="0.3">
      <c r="A860" s="14">
        <v>44866</v>
      </c>
      <c r="B860" s="5">
        <v>2</v>
      </c>
      <c r="C860" s="32">
        <f>VLOOKUP(B860,'area in m2'!B$2:C$10,2,FALSE)</f>
        <v>250</v>
      </c>
      <c r="D860" s="5" t="s">
        <v>11</v>
      </c>
      <c r="E860" s="6">
        <v>521.82709859186889</v>
      </c>
      <c r="F860" s="33" t="str">
        <f t="shared" si="26"/>
        <v>Below 530</v>
      </c>
      <c r="G860" s="33">
        <f t="shared" si="27"/>
        <v>547.91845352146231</v>
      </c>
      <c r="H860" s="7">
        <v>0.01</v>
      </c>
      <c r="I860" s="5" t="s">
        <v>14</v>
      </c>
      <c r="J860" s="5">
        <v>42</v>
      </c>
      <c r="K860" s="2"/>
      <c r="L860" s="2"/>
      <c r="M860" s="1"/>
    </row>
    <row r="861" spans="1:13" ht="14.4" x14ac:dyDescent="0.3">
      <c r="A861" s="14">
        <v>44650</v>
      </c>
      <c r="B861" s="5">
        <v>2</v>
      </c>
      <c r="C861" s="32">
        <f>VLOOKUP(B861,'area in m2'!B$2:C$10,2,FALSE)</f>
        <v>250</v>
      </c>
      <c r="D861" s="5" t="s">
        <v>11</v>
      </c>
      <c r="E861" s="6">
        <v>532.10561668328137</v>
      </c>
      <c r="F861" s="33" t="str">
        <f t="shared" si="26"/>
        <v>Over 530</v>
      </c>
      <c r="G861" s="33">
        <f t="shared" si="27"/>
        <v>558.71089751744546</v>
      </c>
      <c r="H861" s="7">
        <v>0</v>
      </c>
      <c r="I861" s="5" t="s">
        <v>14</v>
      </c>
      <c r="J861" s="5">
        <v>26</v>
      </c>
      <c r="K861" s="2"/>
      <c r="L861" s="2"/>
      <c r="M861" s="1"/>
    </row>
    <row r="862" spans="1:13" ht="14.4" x14ac:dyDescent="0.3">
      <c r="A862" s="14">
        <v>44636</v>
      </c>
      <c r="B862" s="5">
        <v>7</v>
      </c>
      <c r="C862" s="32">
        <f>VLOOKUP(B862,'area in m2'!B$2:C$10,2,FALSE)</f>
        <v>166</v>
      </c>
      <c r="D862" s="5" t="s">
        <v>12</v>
      </c>
      <c r="E862" s="6">
        <v>543.17030865038032</v>
      </c>
      <c r="F862" s="33" t="str">
        <f t="shared" si="26"/>
        <v>Over 530</v>
      </c>
      <c r="G862" s="33">
        <f t="shared" si="27"/>
        <v>570.32882408289936</v>
      </c>
      <c r="H862" s="7">
        <v>0</v>
      </c>
      <c r="I862" s="5" t="s">
        <v>15</v>
      </c>
      <c r="J862" s="5">
        <v>58</v>
      </c>
      <c r="K862" s="2"/>
      <c r="L862" s="2"/>
      <c r="M862" s="1"/>
    </row>
    <row r="863" spans="1:13" ht="14.4" x14ac:dyDescent="0.3">
      <c r="A863" s="14">
        <v>44688</v>
      </c>
      <c r="B863" s="5">
        <v>8</v>
      </c>
      <c r="C863" s="32">
        <f>VLOOKUP(B863,'area in m2'!B$2:C$10,2,FALSE)</f>
        <v>142</v>
      </c>
      <c r="D863" s="5" t="s">
        <v>12</v>
      </c>
      <c r="E863" s="6">
        <v>525.75625703933201</v>
      </c>
      <c r="F863" s="33" t="str">
        <f t="shared" si="26"/>
        <v>Below 530</v>
      </c>
      <c r="G863" s="33">
        <f t="shared" si="27"/>
        <v>552.04406989129859</v>
      </c>
      <c r="H863" s="7">
        <v>0.03</v>
      </c>
      <c r="I863" s="5" t="s">
        <v>15</v>
      </c>
      <c r="J863" s="5">
        <v>30</v>
      </c>
      <c r="K863" s="2"/>
      <c r="L863" s="2"/>
      <c r="M863" s="1"/>
    </row>
    <row r="864" spans="1:13" ht="14.4" x14ac:dyDescent="0.3">
      <c r="A864" s="14">
        <v>44573</v>
      </c>
      <c r="B864" s="5">
        <v>3</v>
      </c>
      <c r="C864" s="32">
        <f>VLOOKUP(B864,'area in m2'!B$2:C$10,2,FALSE)</f>
        <v>195</v>
      </c>
      <c r="D864" s="5" t="s">
        <v>11</v>
      </c>
      <c r="E864" s="6">
        <v>533.81694524438353</v>
      </c>
      <c r="F864" s="33" t="str">
        <f t="shared" si="26"/>
        <v>Over 530</v>
      </c>
      <c r="G864" s="33">
        <f t="shared" si="27"/>
        <v>560.50779250660275</v>
      </c>
      <c r="H864" s="7">
        <v>0.02</v>
      </c>
      <c r="I864" s="5" t="s">
        <v>15</v>
      </c>
      <c r="J864" s="5">
        <v>45</v>
      </c>
      <c r="K864" s="2"/>
      <c r="L864" s="2"/>
      <c r="M864" s="1"/>
    </row>
    <row r="865" spans="1:13" ht="14.4" x14ac:dyDescent="0.3">
      <c r="A865" s="14">
        <v>44676</v>
      </c>
      <c r="B865" s="5">
        <v>4</v>
      </c>
      <c r="C865" s="32">
        <f>VLOOKUP(B865,'area in m2'!B$2:C$10,2,FALSE)</f>
        <v>188</v>
      </c>
      <c r="D865" s="5" t="s">
        <v>11</v>
      </c>
      <c r="E865" s="6">
        <v>518.72620027746143</v>
      </c>
      <c r="F865" s="33" t="str">
        <f t="shared" si="26"/>
        <v>Below 530</v>
      </c>
      <c r="G865" s="33">
        <f t="shared" si="27"/>
        <v>544.66251029133457</v>
      </c>
      <c r="H865" s="7">
        <v>0.03</v>
      </c>
      <c r="I865" s="5" t="s">
        <v>15</v>
      </c>
      <c r="J865" s="5">
        <v>25</v>
      </c>
      <c r="K865" s="2"/>
      <c r="L865" s="2"/>
      <c r="M865" s="1"/>
    </row>
    <row r="866" spans="1:13" ht="14.4" x14ac:dyDescent="0.3">
      <c r="A866" s="14">
        <v>44636</v>
      </c>
      <c r="B866" s="5">
        <v>5</v>
      </c>
      <c r="C866" s="32">
        <f>VLOOKUP(B866,'area in m2'!B$2:C$10,2,FALSE)</f>
        <v>200</v>
      </c>
      <c r="D866" s="5" t="s">
        <v>13</v>
      </c>
      <c r="E866" s="6">
        <v>522.36984915148423</v>
      </c>
      <c r="F866" s="33" t="str">
        <f t="shared" si="26"/>
        <v>Below 530</v>
      </c>
      <c r="G866" s="33">
        <f t="shared" si="27"/>
        <v>548.48834160905847</v>
      </c>
      <c r="H866" s="7">
        <v>0</v>
      </c>
      <c r="I866" s="5" t="s">
        <v>14</v>
      </c>
      <c r="J866" s="5">
        <v>33</v>
      </c>
      <c r="K866" s="2"/>
      <c r="L866" s="2"/>
      <c r="M866" s="1"/>
    </row>
    <row r="867" spans="1:13" ht="14.4" x14ac:dyDescent="0.3">
      <c r="A867" s="14">
        <v>44754</v>
      </c>
      <c r="B867" s="5">
        <v>2</v>
      </c>
      <c r="C867" s="32">
        <f>VLOOKUP(B867,'area in m2'!B$2:C$10,2,FALSE)</f>
        <v>250</v>
      </c>
      <c r="D867" s="5" t="s">
        <v>11</v>
      </c>
      <c r="E867" s="6">
        <v>548.14709788539403</v>
      </c>
      <c r="F867" s="33" t="str">
        <f t="shared" si="26"/>
        <v>Over 530</v>
      </c>
      <c r="G867" s="33">
        <f t="shared" si="27"/>
        <v>575.55445277966373</v>
      </c>
      <c r="H867" s="7">
        <v>0.03</v>
      </c>
      <c r="I867" s="5" t="s">
        <v>14</v>
      </c>
      <c r="J867" s="5">
        <v>26</v>
      </c>
      <c r="K867" s="2"/>
      <c r="L867" s="2"/>
      <c r="M867" s="1"/>
    </row>
    <row r="868" spans="1:13" ht="14.4" x14ac:dyDescent="0.3">
      <c r="A868" s="14">
        <v>44897</v>
      </c>
      <c r="B868" s="5">
        <v>6</v>
      </c>
      <c r="C868" s="32">
        <f>VLOOKUP(B868,'area in m2'!B$2:C$10,2,FALSE)</f>
        <v>175</v>
      </c>
      <c r="D868" s="5" t="s">
        <v>13</v>
      </c>
      <c r="E868" s="6">
        <v>518.25445927714645</v>
      </c>
      <c r="F868" s="33" t="str">
        <f t="shared" si="26"/>
        <v>Below 530</v>
      </c>
      <c r="G868" s="33">
        <f t="shared" si="27"/>
        <v>544.16718224100384</v>
      </c>
      <c r="H868" s="7">
        <v>0.03</v>
      </c>
      <c r="I868" s="5" t="s">
        <v>14</v>
      </c>
      <c r="J868" s="5">
        <v>47</v>
      </c>
      <c r="K868" s="2"/>
      <c r="L868" s="2"/>
      <c r="M868" s="1"/>
    </row>
    <row r="869" spans="1:13" ht="14.4" x14ac:dyDescent="0.3">
      <c r="A869" s="14">
        <v>44920</v>
      </c>
      <c r="B869" s="5">
        <v>8</v>
      </c>
      <c r="C869" s="32">
        <f>VLOOKUP(B869,'area in m2'!B$2:C$10,2,FALSE)</f>
        <v>142</v>
      </c>
      <c r="D869" s="5" t="s">
        <v>12</v>
      </c>
      <c r="E869" s="6">
        <v>509.45733688502423</v>
      </c>
      <c r="F869" s="33" t="str">
        <f t="shared" si="26"/>
        <v>Below 530</v>
      </c>
      <c r="G869" s="33">
        <f t="shared" si="27"/>
        <v>534.93020372927549</v>
      </c>
      <c r="H869" s="7">
        <v>0.01</v>
      </c>
      <c r="I869" s="5" t="s">
        <v>14</v>
      </c>
      <c r="J869" s="5">
        <v>38</v>
      </c>
      <c r="K869" s="2"/>
      <c r="L869" s="2"/>
      <c r="M869" s="1"/>
    </row>
    <row r="870" spans="1:13" ht="14.4" x14ac:dyDescent="0.3">
      <c r="A870" s="14">
        <v>44778</v>
      </c>
      <c r="B870" s="5">
        <v>5</v>
      </c>
      <c r="C870" s="32">
        <f>VLOOKUP(B870,'area in m2'!B$2:C$10,2,FALSE)</f>
        <v>200</v>
      </c>
      <c r="D870" s="5" t="s">
        <v>13</v>
      </c>
      <c r="E870" s="6">
        <v>537.10010834198147</v>
      </c>
      <c r="F870" s="33" t="str">
        <f t="shared" si="26"/>
        <v>Over 530</v>
      </c>
      <c r="G870" s="33">
        <f t="shared" si="27"/>
        <v>563.95511375908052</v>
      </c>
      <c r="H870" s="7">
        <v>0.01</v>
      </c>
      <c r="I870" s="5" t="s">
        <v>15</v>
      </c>
      <c r="J870" s="5">
        <v>42</v>
      </c>
      <c r="K870" s="2"/>
      <c r="L870" s="2"/>
      <c r="M870" s="1"/>
    </row>
    <row r="871" spans="1:13" ht="14.4" x14ac:dyDescent="0.3">
      <c r="A871" s="14">
        <v>44572</v>
      </c>
      <c r="B871" s="5">
        <v>9</v>
      </c>
      <c r="C871" s="32">
        <f>VLOOKUP(B871,'area in m2'!B$2:C$10,2,FALSE)</f>
        <v>140</v>
      </c>
      <c r="D871" s="5" t="s">
        <v>12</v>
      </c>
      <c r="E871" s="6">
        <v>500.3688099110841</v>
      </c>
      <c r="F871" s="33" t="str">
        <f t="shared" si="26"/>
        <v>Below 530</v>
      </c>
      <c r="G871" s="33">
        <f t="shared" si="27"/>
        <v>525.38725040663837</v>
      </c>
      <c r="H871" s="7">
        <v>0.03</v>
      </c>
      <c r="I871" s="5" t="s">
        <v>14</v>
      </c>
      <c r="J871" s="5">
        <v>43</v>
      </c>
      <c r="K871" s="2"/>
      <c r="L871" s="2"/>
      <c r="M871" s="1"/>
    </row>
    <row r="872" spans="1:13" ht="14.4" x14ac:dyDescent="0.3">
      <c r="A872" s="14">
        <v>44845</v>
      </c>
      <c r="B872" s="5">
        <v>6</v>
      </c>
      <c r="C872" s="32">
        <f>VLOOKUP(B872,'area in m2'!B$2:C$10,2,FALSE)</f>
        <v>175</v>
      </c>
      <c r="D872" s="5" t="s">
        <v>13</v>
      </c>
      <c r="E872" s="6">
        <v>518.27046302786675</v>
      </c>
      <c r="F872" s="33" t="str">
        <f t="shared" si="26"/>
        <v>Below 530</v>
      </c>
      <c r="G872" s="33">
        <f t="shared" si="27"/>
        <v>544.18398617926016</v>
      </c>
      <c r="H872" s="7">
        <v>0.01</v>
      </c>
      <c r="I872" s="5" t="s">
        <v>15</v>
      </c>
      <c r="J872" s="5">
        <v>65</v>
      </c>
      <c r="K872" s="2"/>
      <c r="L872" s="2"/>
      <c r="M872" s="1"/>
    </row>
    <row r="873" spans="1:13" ht="14.4" x14ac:dyDescent="0.3">
      <c r="A873" s="14">
        <v>44744</v>
      </c>
      <c r="B873" s="5">
        <v>9</v>
      </c>
      <c r="C873" s="32">
        <f>VLOOKUP(B873,'area in m2'!B$2:C$10,2,FALSE)</f>
        <v>140</v>
      </c>
      <c r="D873" s="5" t="s">
        <v>12</v>
      </c>
      <c r="E873" s="6">
        <v>521.76896680920981</v>
      </c>
      <c r="F873" s="33" t="str">
        <f t="shared" si="26"/>
        <v>Below 530</v>
      </c>
      <c r="G873" s="33">
        <f t="shared" si="27"/>
        <v>547.85741514967037</v>
      </c>
      <c r="H873" s="7">
        <v>0.02</v>
      </c>
      <c r="I873" s="5" t="s">
        <v>15</v>
      </c>
      <c r="J873" s="5">
        <v>34</v>
      </c>
      <c r="K873" s="2"/>
      <c r="L873" s="2"/>
      <c r="M873" s="1"/>
    </row>
    <row r="874" spans="1:13" ht="14.4" x14ac:dyDescent="0.3">
      <c r="A874" s="14">
        <v>44708</v>
      </c>
      <c r="B874" s="5">
        <v>2</v>
      </c>
      <c r="C874" s="32">
        <f>VLOOKUP(B874,'area in m2'!B$2:C$10,2,FALSE)</f>
        <v>250</v>
      </c>
      <c r="D874" s="5" t="s">
        <v>11</v>
      </c>
      <c r="E874" s="6">
        <v>504.48838529845125</v>
      </c>
      <c r="F874" s="33" t="str">
        <f t="shared" si="26"/>
        <v>Below 530</v>
      </c>
      <c r="G874" s="33">
        <f t="shared" si="27"/>
        <v>529.71280456337388</v>
      </c>
      <c r="H874" s="7">
        <v>0.03</v>
      </c>
      <c r="I874" s="5" t="s">
        <v>14</v>
      </c>
      <c r="J874" s="5">
        <v>43</v>
      </c>
      <c r="K874" s="2"/>
      <c r="L874" s="2"/>
      <c r="M874" s="1"/>
    </row>
    <row r="875" spans="1:13" ht="14.4" x14ac:dyDescent="0.3">
      <c r="A875" s="14">
        <v>44919</v>
      </c>
      <c r="B875" s="5">
        <v>2</v>
      </c>
      <c r="C875" s="32">
        <f>VLOOKUP(B875,'area in m2'!B$2:C$10,2,FALSE)</f>
        <v>250</v>
      </c>
      <c r="D875" s="5" t="s">
        <v>11</v>
      </c>
      <c r="E875" s="6">
        <v>540.43842704947747</v>
      </c>
      <c r="F875" s="33" t="str">
        <f t="shared" si="26"/>
        <v>Over 530</v>
      </c>
      <c r="G875" s="33">
        <f t="shared" si="27"/>
        <v>567.46034840195136</v>
      </c>
      <c r="H875" s="7">
        <v>0</v>
      </c>
      <c r="I875" s="5" t="s">
        <v>15</v>
      </c>
      <c r="J875" s="5">
        <v>23</v>
      </c>
      <c r="K875" s="2"/>
      <c r="L875" s="2"/>
      <c r="M875" s="1"/>
    </row>
    <row r="876" spans="1:13" ht="14.4" x14ac:dyDescent="0.3">
      <c r="A876" s="14">
        <v>44830</v>
      </c>
      <c r="B876" s="5">
        <v>8</v>
      </c>
      <c r="C876" s="32">
        <f>VLOOKUP(B876,'area in m2'!B$2:C$10,2,FALSE)</f>
        <v>142</v>
      </c>
      <c r="D876" s="5" t="s">
        <v>11</v>
      </c>
      <c r="E876" s="6">
        <v>538.07167201173888</v>
      </c>
      <c r="F876" s="33" t="str">
        <f t="shared" si="26"/>
        <v>Over 530</v>
      </c>
      <c r="G876" s="33">
        <f t="shared" si="27"/>
        <v>564.9752556123259</v>
      </c>
      <c r="H876" s="7">
        <v>0.03</v>
      </c>
      <c r="I876" s="5" t="s">
        <v>14</v>
      </c>
      <c r="J876" s="5">
        <v>21</v>
      </c>
      <c r="K876" s="2"/>
      <c r="L876" s="2"/>
      <c r="M876" s="1"/>
    </row>
    <row r="877" spans="1:13" ht="14.4" x14ac:dyDescent="0.3">
      <c r="A877" s="14">
        <v>44887</v>
      </c>
      <c r="B877" s="5">
        <v>1</v>
      </c>
      <c r="C877" s="32">
        <f>VLOOKUP(B877,'area in m2'!B$2:C$10,2,FALSE)</f>
        <v>280</v>
      </c>
      <c r="D877" s="5" t="s">
        <v>11</v>
      </c>
      <c r="E877" s="6">
        <v>521.52076680433493</v>
      </c>
      <c r="F877" s="33" t="str">
        <f t="shared" si="26"/>
        <v>Below 530</v>
      </c>
      <c r="G877" s="33">
        <f t="shared" si="27"/>
        <v>547.59680514455169</v>
      </c>
      <c r="H877" s="7">
        <v>0.01</v>
      </c>
      <c r="I877" s="5" t="s">
        <v>15</v>
      </c>
      <c r="J877" s="5">
        <v>38</v>
      </c>
      <c r="K877" s="2"/>
      <c r="L877" s="2"/>
      <c r="M877" s="1"/>
    </row>
    <row r="878" spans="1:13" ht="14.4" x14ac:dyDescent="0.3">
      <c r="A878" s="14">
        <v>44821</v>
      </c>
      <c r="B878" s="5">
        <v>3</v>
      </c>
      <c r="C878" s="32">
        <f>VLOOKUP(B878,'area in m2'!B$2:C$10,2,FALSE)</f>
        <v>195</v>
      </c>
      <c r="D878" s="5" t="s">
        <v>11</v>
      </c>
      <c r="E878" s="6">
        <v>522.23568809497556</v>
      </c>
      <c r="F878" s="33" t="str">
        <f t="shared" si="26"/>
        <v>Below 530</v>
      </c>
      <c r="G878" s="33">
        <f t="shared" si="27"/>
        <v>548.3474724997244</v>
      </c>
      <c r="H878" s="7">
        <v>0</v>
      </c>
      <c r="I878" s="5" t="s">
        <v>15</v>
      </c>
      <c r="J878" s="5">
        <v>42</v>
      </c>
      <c r="K878" s="2"/>
      <c r="L878" s="2"/>
      <c r="M878" s="1"/>
    </row>
    <row r="879" spans="1:13" ht="14.4" x14ac:dyDescent="0.3">
      <c r="A879" s="14">
        <v>44677</v>
      </c>
      <c r="B879" s="5">
        <v>4</v>
      </c>
      <c r="C879" s="32">
        <f>VLOOKUP(B879,'area in m2'!B$2:C$10,2,FALSE)</f>
        <v>188</v>
      </c>
      <c r="D879" s="5" t="s">
        <v>11</v>
      </c>
      <c r="E879" s="6">
        <v>511.45057095154971</v>
      </c>
      <c r="F879" s="33" t="str">
        <f t="shared" si="26"/>
        <v>Below 530</v>
      </c>
      <c r="G879" s="33">
        <f t="shared" si="27"/>
        <v>537.02309949912717</v>
      </c>
      <c r="H879" s="7">
        <v>0</v>
      </c>
      <c r="I879" s="5" t="s">
        <v>15</v>
      </c>
      <c r="J879" s="5">
        <v>23</v>
      </c>
      <c r="K879" s="2"/>
      <c r="L879" s="2"/>
      <c r="M879" s="1"/>
    </row>
    <row r="880" spans="1:13" ht="14.4" x14ac:dyDescent="0.3">
      <c r="A880" s="14">
        <v>44797</v>
      </c>
      <c r="B880" s="5">
        <v>3</v>
      </c>
      <c r="C880" s="32">
        <f>VLOOKUP(B880,'area in m2'!B$2:C$10,2,FALSE)</f>
        <v>195</v>
      </c>
      <c r="D880" s="5" t="s">
        <v>11</v>
      </c>
      <c r="E880" s="6">
        <v>521.10149236882808</v>
      </c>
      <c r="F880" s="33" t="str">
        <f t="shared" si="26"/>
        <v>Below 530</v>
      </c>
      <c r="G880" s="33">
        <f t="shared" si="27"/>
        <v>547.15656698726946</v>
      </c>
      <c r="H880" s="7">
        <v>0.01</v>
      </c>
      <c r="I880" s="5" t="s">
        <v>15</v>
      </c>
      <c r="J880" s="5">
        <v>61</v>
      </c>
      <c r="K880" s="2"/>
      <c r="L880" s="2"/>
      <c r="M880" s="1"/>
    </row>
    <row r="881" spans="1:13" ht="14.4" x14ac:dyDescent="0.3">
      <c r="A881" s="14">
        <v>44695</v>
      </c>
      <c r="B881" s="5">
        <v>7</v>
      </c>
      <c r="C881" s="32">
        <f>VLOOKUP(B881,'area in m2'!B$2:C$10,2,FALSE)</f>
        <v>166</v>
      </c>
      <c r="D881" s="5" t="s">
        <v>12</v>
      </c>
      <c r="E881" s="6">
        <v>513.77090762897114</v>
      </c>
      <c r="F881" s="33" t="str">
        <f t="shared" si="26"/>
        <v>Below 530</v>
      </c>
      <c r="G881" s="33">
        <f t="shared" si="27"/>
        <v>539.45945301041968</v>
      </c>
      <c r="H881" s="7">
        <v>0.02</v>
      </c>
      <c r="I881" s="5" t="s">
        <v>14</v>
      </c>
      <c r="J881" s="5">
        <v>34</v>
      </c>
      <c r="K881" s="2"/>
      <c r="L881" s="2"/>
      <c r="M881" s="1"/>
    </row>
    <row r="882" spans="1:13" ht="14.4" x14ac:dyDescent="0.3">
      <c r="A882" s="14">
        <v>44906</v>
      </c>
      <c r="B882" s="5">
        <v>5</v>
      </c>
      <c r="C882" s="32">
        <f>VLOOKUP(B882,'area in m2'!B$2:C$10,2,FALSE)</f>
        <v>200</v>
      </c>
      <c r="D882" s="5" t="s">
        <v>13</v>
      </c>
      <c r="E882" s="6">
        <v>520.78521068523605</v>
      </c>
      <c r="F882" s="33" t="str">
        <f t="shared" si="26"/>
        <v>Below 530</v>
      </c>
      <c r="G882" s="33">
        <f t="shared" si="27"/>
        <v>546.82447121949792</v>
      </c>
      <c r="H882" s="7">
        <v>0</v>
      </c>
      <c r="I882" s="5" t="s">
        <v>14</v>
      </c>
      <c r="J882" s="5">
        <v>30</v>
      </c>
      <c r="K882" s="2"/>
      <c r="L882" s="2"/>
      <c r="M882" s="1"/>
    </row>
    <row r="883" spans="1:13" ht="14.4" x14ac:dyDescent="0.3">
      <c r="A883" s="14">
        <v>44735</v>
      </c>
      <c r="B883" s="5">
        <v>9</v>
      </c>
      <c r="C883" s="32">
        <f>VLOOKUP(B883,'area in m2'!B$2:C$10,2,FALSE)</f>
        <v>140</v>
      </c>
      <c r="D883" s="5" t="s">
        <v>12</v>
      </c>
      <c r="E883" s="6">
        <v>542.5828881508296</v>
      </c>
      <c r="F883" s="33" t="str">
        <f t="shared" si="26"/>
        <v>Over 530</v>
      </c>
      <c r="G883" s="33">
        <f t="shared" si="27"/>
        <v>569.71203255837111</v>
      </c>
      <c r="H883" s="7">
        <v>0.02</v>
      </c>
      <c r="I883" s="5" t="s">
        <v>14</v>
      </c>
      <c r="J883" s="5">
        <v>25</v>
      </c>
      <c r="K883" s="2"/>
      <c r="L883" s="2"/>
      <c r="M883" s="1"/>
    </row>
    <row r="884" spans="1:13" ht="14.4" x14ac:dyDescent="0.3">
      <c r="A884" s="14">
        <v>44780</v>
      </c>
      <c r="B884" s="5">
        <v>6</v>
      </c>
      <c r="C884" s="32">
        <f>VLOOKUP(B884,'area in m2'!B$2:C$10,2,FALSE)</f>
        <v>175</v>
      </c>
      <c r="D884" s="5" t="s">
        <v>13</v>
      </c>
      <c r="E884" s="6">
        <v>511.13727902466235</v>
      </c>
      <c r="F884" s="33" t="str">
        <f t="shared" si="26"/>
        <v>Below 530</v>
      </c>
      <c r="G884" s="33">
        <f t="shared" si="27"/>
        <v>536.69414297589549</v>
      </c>
      <c r="H884" s="7">
        <v>0.01</v>
      </c>
      <c r="I884" s="5" t="s">
        <v>14</v>
      </c>
      <c r="J884" s="5">
        <v>42</v>
      </c>
      <c r="K884" s="2"/>
      <c r="L884" s="2"/>
      <c r="M884" s="1"/>
    </row>
    <row r="885" spans="1:13" ht="14.4" x14ac:dyDescent="0.3">
      <c r="A885" s="14">
        <v>44661</v>
      </c>
      <c r="B885" s="5">
        <v>5</v>
      </c>
      <c r="C885" s="32">
        <f>VLOOKUP(B885,'area in m2'!B$2:C$10,2,FALSE)</f>
        <v>200</v>
      </c>
      <c r="D885" s="5" t="s">
        <v>13</v>
      </c>
      <c r="E885" s="6">
        <v>525.9205092944012</v>
      </c>
      <c r="F885" s="33" t="str">
        <f t="shared" si="26"/>
        <v>Below 530</v>
      </c>
      <c r="G885" s="33">
        <f t="shared" si="27"/>
        <v>552.21653475912126</v>
      </c>
      <c r="H885" s="7">
        <v>0</v>
      </c>
      <c r="I885" s="5" t="s">
        <v>15</v>
      </c>
      <c r="J885" s="5">
        <v>58</v>
      </c>
      <c r="K885" s="2"/>
      <c r="L885" s="2"/>
      <c r="M885" s="1"/>
    </row>
    <row r="886" spans="1:13" ht="14.4" x14ac:dyDescent="0.3">
      <c r="A886" s="14">
        <v>44891</v>
      </c>
      <c r="B886" s="5">
        <v>5</v>
      </c>
      <c r="C886" s="32">
        <f>VLOOKUP(B886,'area in m2'!B$2:C$10,2,FALSE)</f>
        <v>200</v>
      </c>
      <c r="D886" s="5" t="s">
        <v>13</v>
      </c>
      <c r="E886" s="6">
        <v>528.86333820828986</v>
      </c>
      <c r="F886" s="33" t="str">
        <f t="shared" si="26"/>
        <v>Below 530</v>
      </c>
      <c r="G886" s="33">
        <f t="shared" si="27"/>
        <v>555.30650511870442</v>
      </c>
      <c r="H886" s="7">
        <v>0.03</v>
      </c>
      <c r="I886" s="5" t="s">
        <v>15</v>
      </c>
      <c r="J886" s="5">
        <v>38</v>
      </c>
      <c r="K886" s="2"/>
      <c r="L886" s="2"/>
      <c r="M886" s="1"/>
    </row>
    <row r="887" spans="1:13" ht="14.4" x14ac:dyDescent="0.3">
      <c r="A887" s="14">
        <v>44667</v>
      </c>
      <c r="B887" s="5">
        <v>8</v>
      </c>
      <c r="C887" s="32">
        <f>VLOOKUP(B887,'area in m2'!B$2:C$10,2,FALSE)</f>
        <v>142</v>
      </c>
      <c r="D887" s="5" t="s">
        <v>11</v>
      </c>
      <c r="E887" s="6">
        <v>519.55195623034888</v>
      </c>
      <c r="F887" s="33" t="str">
        <f t="shared" si="26"/>
        <v>Below 530</v>
      </c>
      <c r="G887" s="33">
        <f t="shared" si="27"/>
        <v>545.52955404186639</v>
      </c>
      <c r="H887" s="7">
        <v>0</v>
      </c>
      <c r="I887" s="5" t="s">
        <v>14</v>
      </c>
      <c r="J887" s="5">
        <v>25</v>
      </c>
      <c r="K887" s="2"/>
      <c r="L887" s="2"/>
      <c r="M887" s="1"/>
    </row>
    <row r="888" spans="1:13" ht="14.4" x14ac:dyDescent="0.3">
      <c r="A888" s="14">
        <v>44774</v>
      </c>
      <c r="B888" s="5">
        <v>7</v>
      </c>
      <c r="C888" s="32">
        <f>VLOOKUP(B888,'area in m2'!B$2:C$10,2,FALSE)</f>
        <v>166</v>
      </c>
      <c r="D888" s="5" t="s">
        <v>12</v>
      </c>
      <c r="E888" s="6">
        <v>538.27063836430716</v>
      </c>
      <c r="F888" s="33" t="str">
        <f t="shared" si="26"/>
        <v>Over 530</v>
      </c>
      <c r="G888" s="33">
        <f t="shared" si="27"/>
        <v>565.18417028252259</v>
      </c>
      <c r="H888" s="7">
        <v>0.03</v>
      </c>
      <c r="I888" s="5" t="s">
        <v>14</v>
      </c>
      <c r="J888" s="5">
        <v>24</v>
      </c>
      <c r="K888" s="2"/>
      <c r="L888" s="2"/>
      <c r="M888" s="1"/>
    </row>
    <row r="889" spans="1:13" ht="14.4" x14ac:dyDescent="0.3">
      <c r="A889" s="14">
        <v>44855</v>
      </c>
      <c r="B889" s="5">
        <v>3</v>
      </c>
      <c r="C889" s="32">
        <f>VLOOKUP(B889,'area in m2'!B$2:C$10,2,FALSE)</f>
        <v>195</v>
      </c>
      <c r="D889" s="5" t="s">
        <v>11</v>
      </c>
      <c r="E889" s="6">
        <v>523.69872419486546</v>
      </c>
      <c r="F889" s="33" t="str">
        <f t="shared" si="26"/>
        <v>Below 530</v>
      </c>
      <c r="G889" s="33">
        <f t="shared" si="27"/>
        <v>549.8836604046088</v>
      </c>
      <c r="H889" s="7">
        <v>0.02</v>
      </c>
      <c r="I889" s="5" t="s">
        <v>15</v>
      </c>
      <c r="J889" s="5">
        <v>30</v>
      </c>
      <c r="K889" s="2"/>
      <c r="L889" s="2"/>
      <c r="M889" s="1"/>
    </row>
    <row r="890" spans="1:13" ht="14.4" x14ac:dyDescent="0.3">
      <c r="A890" s="14">
        <v>44715</v>
      </c>
      <c r="B890" s="5">
        <v>3</v>
      </c>
      <c r="C890" s="32">
        <f>VLOOKUP(B890,'area in m2'!B$2:C$10,2,FALSE)</f>
        <v>195</v>
      </c>
      <c r="D890" s="5" t="s">
        <v>11</v>
      </c>
      <c r="E890" s="6">
        <v>504.60049294553892</v>
      </c>
      <c r="F890" s="33" t="str">
        <f t="shared" si="26"/>
        <v>Below 530</v>
      </c>
      <c r="G890" s="33">
        <f t="shared" si="27"/>
        <v>529.83051759281591</v>
      </c>
      <c r="H890" s="7">
        <v>0.01</v>
      </c>
      <c r="I890" s="5" t="s">
        <v>14</v>
      </c>
      <c r="J890" s="5">
        <v>31</v>
      </c>
      <c r="K890" s="2"/>
      <c r="L890" s="2"/>
      <c r="M890" s="1"/>
    </row>
    <row r="891" spans="1:13" ht="14.4" x14ac:dyDescent="0.3">
      <c r="A891" s="14">
        <v>44759</v>
      </c>
      <c r="B891" s="5">
        <v>5</v>
      </c>
      <c r="C891" s="32">
        <f>VLOOKUP(B891,'area in m2'!B$2:C$10,2,FALSE)</f>
        <v>200</v>
      </c>
      <c r="D891" s="5" t="s">
        <v>13</v>
      </c>
      <c r="E891" s="6">
        <v>551.92979771301452</v>
      </c>
      <c r="F891" s="33" t="str">
        <f t="shared" si="26"/>
        <v>Over 530</v>
      </c>
      <c r="G891" s="33">
        <f t="shared" si="27"/>
        <v>579.52628759866525</v>
      </c>
      <c r="H891" s="7">
        <v>0.03</v>
      </c>
      <c r="I891" s="5" t="s">
        <v>14</v>
      </c>
      <c r="J891" s="5">
        <v>32</v>
      </c>
      <c r="K891" s="2"/>
      <c r="L891" s="2"/>
      <c r="M891" s="1"/>
    </row>
    <row r="892" spans="1:13" ht="14.4" x14ac:dyDescent="0.3">
      <c r="A892" s="14">
        <v>44903</v>
      </c>
      <c r="B892" s="5">
        <v>6</v>
      </c>
      <c r="C892" s="32">
        <f>VLOOKUP(B892,'area in m2'!B$2:C$10,2,FALSE)</f>
        <v>175</v>
      </c>
      <c r="D892" s="5" t="s">
        <v>13</v>
      </c>
      <c r="E892" s="6">
        <v>515.87400451963276</v>
      </c>
      <c r="F892" s="33" t="str">
        <f t="shared" si="26"/>
        <v>Below 530</v>
      </c>
      <c r="G892" s="33">
        <f t="shared" si="27"/>
        <v>541.6677047456144</v>
      </c>
      <c r="H892" s="7">
        <v>0.02</v>
      </c>
      <c r="I892" s="5" t="s">
        <v>14</v>
      </c>
      <c r="J892" s="5">
        <v>42</v>
      </c>
      <c r="K892" s="2"/>
      <c r="L892" s="2"/>
      <c r="M892" s="1"/>
    </row>
    <row r="893" spans="1:13" ht="14.4" x14ac:dyDescent="0.3">
      <c r="A893" s="14">
        <v>44574</v>
      </c>
      <c r="B893" s="5">
        <v>2</v>
      </c>
      <c r="C893" s="32">
        <f>VLOOKUP(B893,'area in m2'!B$2:C$10,2,FALSE)</f>
        <v>250</v>
      </c>
      <c r="D893" s="5" t="s">
        <v>11</v>
      </c>
      <c r="E893" s="6">
        <v>547.45680116573749</v>
      </c>
      <c r="F893" s="33" t="str">
        <f t="shared" si="26"/>
        <v>Over 530</v>
      </c>
      <c r="G893" s="33">
        <f t="shared" si="27"/>
        <v>574.82964122402439</v>
      </c>
      <c r="H893" s="7">
        <v>0.03</v>
      </c>
      <c r="I893" s="5" t="s">
        <v>14</v>
      </c>
      <c r="J893" s="5">
        <v>21</v>
      </c>
      <c r="K893" s="2"/>
      <c r="L893" s="2"/>
      <c r="M893" s="1"/>
    </row>
    <row r="894" spans="1:13" ht="14.4" x14ac:dyDescent="0.3">
      <c r="A894" s="14">
        <v>44730</v>
      </c>
      <c r="B894" s="5">
        <v>7</v>
      </c>
      <c r="C894" s="32">
        <f>VLOOKUP(B894,'area in m2'!B$2:C$10,2,FALSE)</f>
        <v>166</v>
      </c>
      <c r="D894" s="5" t="s">
        <v>12</v>
      </c>
      <c r="E894" s="6">
        <v>539.77561972543208</v>
      </c>
      <c r="F894" s="33" t="str">
        <f t="shared" si="26"/>
        <v>Over 530</v>
      </c>
      <c r="G894" s="33">
        <f t="shared" si="27"/>
        <v>566.76440071170373</v>
      </c>
      <c r="H894" s="7">
        <v>0</v>
      </c>
      <c r="I894" s="5" t="s">
        <v>14</v>
      </c>
      <c r="J894" s="5">
        <v>29</v>
      </c>
      <c r="K894" s="2"/>
      <c r="L894" s="2"/>
      <c r="M894" s="1"/>
    </row>
    <row r="895" spans="1:13" ht="14.4" x14ac:dyDescent="0.3">
      <c r="A895" s="14">
        <v>44633</v>
      </c>
      <c r="B895" s="5">
        <v>5</v>
      </c>
      <c r="C895" s="32">
        <f>VLOOKUP(B895,'area in m2'!B$2:C$10,2,FALSE)</f>
        <v>200</v>
      </c>
      <c r="D895" s="5" t="s">
        <v>13</v>
      </c>
      <c r="E895" s="6">
        <v>538.87263656638333</v>
      </c>
      <c r="F895" s="33" t="str">
        <f t="shared" si="26"/>
        <v>Over 530</v>
      </c>
      <c r="G895" s="33">
        <f t="shared" si="27"/>
        <v>565.81626839470255</v>
      </c>
      <c r="H895" s="7">
        <v>0.01</v>
      </c>
      <c r="I895" s="5" t="s">
        <v>14</v>
      </c>
      <c r="J895" s="5">
        <v>45</v>
      </c>
      <c r="K895" s="2"/>
      <c r="L895" s="2"/>
      <c r="M895" s="1"/>
    </row>
    <row r="896" spans="1:13" ht="14.4" x14ac:dyDescent="0.3">
      <c r="A896" s="14">
        <v>44814</v>
      </c>
      <c r="B896" s="5">
        <v>1</v>
      </c>
      <c r="C896" s="32">
        <f>VLOOKUP(B896,'area in m2'!B$2:C$10,2,FALSE)</f>
        <v>280</v>
      </c>
      <c r="D896" s="5" t="s">
        <v>11</v>
      </c>
      <c r="E896" s="6">
        <v>510.42896741116056</v>
      </c>
      <c r="F896" s="33" t="str">
        <f t="shared" si="26"/>
        <v>Below 530</v>
      </c>
      <c r="G896" s="33">
        <f t="shared" si="27"/>
        <v>535.95041578171856</v>
      </c>
      <c r="H896" s="7">
        <v>0.03</v>
      </c>
      <c r="I896" s="5" t="s">
        <v>14</v>
      </c>
      <c r="J896" s="5">
        <v>35</v>
      </c>
      <c r="K896" s="2"/>
      <c r="L896" s="2"/>
      <c r="M896" s="1"/>
    </row>
    <row r="897" spans="1:13" ht="14.4" x14ac:dyDescent="0.3">
      <c r="A897" s="14">
        <v>44720</v>
      </c>
      <c r="B897" s="5">
        <v>7</v>
      </c>
      <c r="C897" s="32">
        <f>VLOOKUP(B897,'area in m2'!B$2:C$10,2,FALSE)</f>
        <v>166</v>
      </c>
      <c r="D897" s="5" t="s">
        <v>12</v>
      </c>
      <c r="E897" s="6">
        <v>531.90582908687702</v>
      </c>
      <c r="F897" s="33" t="str">
        <f t="shared" si="26"/>
        <v>Over 530</v>
      </c>
      <c r="G897" s="33">
        <f t="shared" si="27"/>
        <v>558.50112054122087</v>
      </c>
      <c r="H897" s="7">
        <v>0.01</v>
      </c>
      <c r="I897" s="5" t="s">
        <v>14</v>
      </c>
      <c r="J897" s="5">
        <v>23</v>
      </c>
      <c r="K897" s="2"/>
      <c r="L897" s="2"/>
      <c r="M897" s="1"/>
    </row>
    <row r="898" spans="1:13" ht="14.4" x14ac:dyDescent="0.3">
      <c r="A898" s="14">
        <v>44819</v>
      </c>
      <c r="B898" s="5">
        <v>1</v>
      </c>
      <c r="C898" s="32">
        <f>VLOOKUP(B898,'area in m2'!B$2:C$10,2,FALSE)</f>
        <v>280</v>
      </c>
      <c r="D898" s="5" t="s">
        <v>11</v>
      </c>
      <c r="E898" s="6">
        <v>519.06463378510125</v>
      </c>
      <c r="F898" s="33" t="str">
        <f t="shared" si="26"/>
        <v>Below 530</v>
      </c>
      <c r="G898" s="33">
        <f t="shared" si="27"/>
        <v>545.01786547435631</v>
      </c>
      <c r="H898" s="7">
        <v>0</v>
      </c>
      <c r="I898" s="5" t="s">
        <v>15</v>
      </c>
      <c r="J898" s="5">
        <v>52</v>
      </c>
      <c r="K898" s="2"/>
      <c r="L898" s="2"/>
      <c r="M898" s="1"/>
    </row>
    <row r="899" spans="1:13" ht="14.4" x14ac:dyDescent="0.3">
      <c r="A899" s="14">
        <v>44782</v>
      </c>
      <c r="B899" s="5">
        <v>3</v>
      </c>
      <c r="C899" s="32">
        <f>VLOOKUP(B899,'area in m2'!B$2:C$10,2,FALSE)</f>
        <v>195</v>
      </c>
      <c r="D899" s="5" t="s">
        <v>11</v>
      </c>
      <c r="E899" s="6">
        <v>509.72489246629357</v>
      </c>
      <c r="F899" s="33" t="str">
        <f t="shared" si="26"/>
        <v>Below 530</v>
      </c>
      <c r="G899" s="33">
        <f t="shared" si="27"/>
        <v>535.21113708960831</v>
      </c>
      <c r="H899" s="7">
        <v>0</v>
      </c>
      <c r="I899" s="5" t="s">
        <v>14</v>
      </c>
      <c r="J899" s="5">
        <v>50</v>
      </c>
      <c r="K899" s="2"/>
      <c r="L899" s="2"/>
      <c r="M899" s="1"/>
    </row>
    <row r="900" spans="1:13" ht="14.4" x14ac:dyDescent="0.3">
      <c r="A900" s="14">
        <v>44562</v>
      </c>
      <c r="B900" s="5">
        <v>8</v>
      </c>
      <c r="C900" s="32">
        <f>VLOOKUP(B900,'area in m2'!B$2:C$10,2,FALSE)</f>
        <v>142</v>
      </c>
      <c r="D900" s="5" t="s">
        <v>12</v>
      </c>
      <c r="E900" s="6">
        <v>530.98400640359978</v>
      </c>
      <c r="F900" s="33" t="str">
        <f t="shared" si="26"/>
        <v>Over 530</v>
      </c>
      <c r="G900" s="33">
        <f t="shared" si="27"/>
        <v>557.53320672377981</v>
      </c>
      <c r="H900" s="7">
        <v>0</v>
      </c>
      <c r="I900" s="5" t="s">
        <v>14</v>
      </c>
      <c r="J900" s="5">
        <v>25</v>
      </c>
      <c r="K900" s="2"/>
      <c r="L900" s="2"/>
      <c r="M900" s="1"/>
    </row>
    <row r="901" spans="1:13" ht="14.4" x14ac:dyDescent="0.3">
      <c r="A901" s="14">
        <v>44634</v>
      </c>
      <c r="B901" s="5">
        <v>4</v>
      </c>
      <c r="C901" s="32">
        <f>VLOOKUP(B901,'area in m2'!B$2:C$10,2,FALSE)</f>
        <v>188</v>
      </c>
      <c r="D901" s="5" t="s">
        <v>11</v>
      </c>
      <c r="E901" s="6">
        <v>530.85693253564659</v>
      </c>
      <c r="F901" s="33" t="str">
        <f t="shared" ref="F901:F964" si="28">IF(E901&gt;530,"Over 530","Below 530")</f>
        <v>Over 530</v>
      </c>
      <c r="G901" s="33">
        <f t="shared" ref="G901:G964" si="29">+E901*1.05</f>
        <v>557.3997791624289</v>
      </c>
      <c r="H901" s="7">
        <v>0.03</v>
      </c>
      <c r="I901" s="5" t="s">
        <v>14</v>
      </c>
      <c r="J901" s="5">
        <v>45</v>
      </c>
      <c r="K901" s="2"/>
      <c r="L901" s="2"/>
      <c r="M901" s="1"/>
    </row>
    <row r="902" spans="1:13" ht="14.4" x14ac:dyDescent="0.3">
      <c r="A902" s="14">
        <v>44562</v>
      </c>
      <c r="B902" s="5">
        <v>2</v>
      </c>
      <c r="C902" s="32">
        <f>VLOOKUP(B902,'area in m2'!B$2:C$10,2,FALSE)</f>
        <v>250</v>
      </c>
      <c r="D902" s="5" t="s">
        <v>11</v>
      </c>
      <c r="E902" s="6">
        <v>531.69098536496676</v>
      </c>
      <c r="F902" s="33" t="str">
        <f t="shared" si="28"/>
        <v>Over 530</v>
      </c>
      <c r="G902" s="33">
        <f t="shared" si="29"/>
        <v>558.2755346332151</v>
      </c>
      <c r="H902" s="7">
        <v>0.01</v>
      </c>
      <c r="I902" s="5" t="s">
        <v>14</v>
      </c>
      <c r="J902" s="5">
        <v>38</v>
      </c>
      <c r="K902" s="2"/>
      <c r="L902" s="2"/>
      <c r="M902" s="1"/>
    </row>
    <row r="903" spans="1:13" ht="14.4" x14ac:dyDescent="0.3">
      <c r="A903" s="14">
        <v>44786</v>
      </c>
      <c r="B903" s="5">
        <v>5</v>
      </c>
      <c r="C903" s="32">
        <f>VLOOKUP(B903,'area in m2'!B$2:C$10,2,FALSE)</f>
        <v>200</v>
      </c>
      <c r="D903" s="5" t="s">
        <v>13</v>
      </c>
      <c r="E903" s="6">
        <v>547.6052016602589</v>
      </c>
      <c r="F903" s="33" t="str">
        <f t="shared" si="28"/>
        <v>Over 530</v>
      </c>
      <c r="G903" s="33">
        <f t="shared" si="29"/>
        <v>574.98546174327191</v>
      </c>
      <c r="H903" s="7">
        <v>0.02</v>
      </c>
      <c r="I903" s="5" t="s">
        <v>15</v>
      </c>
      <c r="J903" s="5">
        <v>50</v>
      </c>
      <c r="K903" s="2"/>
      <c r="L903" s="2"/>
      <c r="M903" s="1"/>
    </row>
    <row r="904" spans="1:13" ht="14.4" x14ac:dyDescent="0.3">
      <c r="A904" s="14">
        <v>44852</v>
      </c>
      <c r="B904" s="5">
        <v>1</v>
      </c>
      <c r="C904" s="32">
        <f>VLOOKUP(B904,'area in m2'!B$2:C$10,2,FALSE)</f>
        <v>280</v>
      </c>
      <c r="D904" s="5" t="s">
        <v>11</v>
      </c>
      <c r="E904" s="6">
        <v>548.72374274629692</v>
      </c>
      <c r="F904" s="33" t="str">
        <f t="shared" si="28"/>
        <v>Over 530</v>
      </c>
      <c r="G904" s="33">
        <f t="shared" si="29"/>
        <v>576.15992988361177</v>
      </c>
      <c r="H904" s="7">
        <v>0</v>
      </c>
      <c r="I904" s="5" t="s">
        <v>14</v>
      </c>
      <c r="J904" s="5">
        <v>29</v>
      </c>
      <c r="K904" s="2"/>
      <c r="L904" s="2"/>
      <c r="M904" s="1"/>
    </row>
    <row r="905" spans="1:13" ht="14.4" x14ac:dyDescent="0.3">
      <c r="A905" s="14">
        <v>44749</v>
      </c>
      <c r="B905" s="5">
        <v>2</v>
      </c>
      <c r="C905" s="32">
        <f>VLOOKUP(B905,'area in m2'!B$2:C$10,2,FALSE)</f>
        <v>250</v>
      </c>
      <c r="D905" s="5" t="s">
        <v>11</v>
      </c>
      <c r="E905" s="6">
        <v>531.73425697314087</v>
      </c>
      <c r="F905" s="33" t="str">
        <f t="shared" si="28"/>
        <v>Over 530</v>
      </c>
      <c r="G905" s="33">
        <f t="shared" si="29"/>
        <v>558.32096982179792</v>
      </c>
      <c r="H905" s="7">
        <v>0.03</v>
      </c>
      <c r="I905" s="5" t="s">
        <v>14</v>
      </c>
      <c r="J905" s="5">
        <v>40</v>
      </c>
      <c r="K905" s="2"/>
      <c r="L905" s="2"/>
      <c r="M905" s="1"/>
    </row>
    <row r="906" spans="1:13" ht="14.4" x14ac:dyDescent="0.3">
      <c r="A906" s="14">
        <v>44585</v>
      </c>
      <c r="B906" s="5">
        <v>3</v>
      </c>
      <c r="C906" s="32">
        <f>VLOOKUP(B906,'area in m2'!B$2:C$10,2,FALSE)</f>
        <v>195</v>
      </c>
      <c r="D906" s="5" t="s">
        <v>11</v>
      </c>
      <c r="E906" s="6">
        <v>509.0573205742694</v>
      </c>
      <c r="F906" s="33" t="str">
        <f t="shared" si="28"/>
        <v>Below 530</v>
      </c>
      <c r="G906" s="33">
        <f t="shared" si="29"/>
        <v>534.51018660298291</v>
      </c>
      <c r="H906" s="7">
        <v>0.01</v>
      </c>
      <c r="I906" s="5" t="s">
        <v>14</v>
      </c>
      <c r="J906" s="5">
        <v>18</v>
      </c>
      <c r="K906" s="2"/>
      <c r="L906" s="2"/>
      <c r="M906" s="1"/>
    </row>
    <row r="907" spans="1:13" ht="14.4" x14ac:dyDescent="0.3">
      <c r="A907" s="14">
        <v>44623</v>
      </c>
      <c r="B907" s="5">
        <v>6</v>
      </c>
      <c r="C907" s="32">
        <f>VLOOKUP(B907,'area in m2'!B$2:C$10,2,FALSE)</f>
        <v>175</v>
      </c>
      <c r="D907" s="5" t="s">
        <v>13</v>
      </c>
      <c r="E907" s="6">
        <v>511.13727902466235</v>
      </c>
      <c r="F907" s="33" t="str">
        <f t="shared" si="28"/>
        <v>Below 530</v>
      </c>
      <c r="G907" s="33">
        <f t="shared" si="29"/>
        <v>536.69414297589549</v>
      </c>
      <c r="H907" s="7">
        <v>0</v>
      </c>
      <c r="I907" s="5" t="s">
        <v>14</v>
      </c>
      <c r="J907" s="5">
        <v>38</v>
      </c>
      <c r="K907" s="2"/>
      <c r="L907" s="2"/>
      <c r="M907" s="1"/>
    </row>
    <row r="908" spans="1:13" ht="14.4" x14ac:dyDescent="0.3">
      <c r="A908" s="14">
        <v>44591</v>
      </c>
      <c r="B908" s="5">
        <v>2</v>
      </c>
      <c r="C908" s="32">
        <f>VLOOKUP(B908,'area in m2'!B$2:C$10,2,FALSE)</f>
        <v>250</v>
      </c>
      <c r="D908" s="5" t="s">
        <v>11</v>
      </c>
      <c r="E908" s="6">
        <v>505.66000096601056</v>
      </c>
      <c r="F908" s="33" t="str">
        <f t="shared" si="28"/>
        <v>Below 530</v>
      </c>
      <c r="G908" s="33">
        <f t="shared" si="29"/>
        <v>530.94300101431111</v>
      </c>
      <c r="H908" s="7">
        <v>0</v>
      </c>
      <c r="I908" s="5" t="s">
        <v>14</v>
      </c>
      <c r="J908" s="5">
        <v>40</v>
      </c>
      <c r="K908" s="2"/>
      <c r="L908" s="2"/>
      <c r="M908" s="1"/>
    </row>
    <row r="909" spans="1:13" ht="14.4" x14ac:dyDescent="0.3">
      <c r="A909" s="14">
        <v>44730</v>
      </c>
      <c r="B909" s="5">
        <v>7</v>
      </c>
      <c r="C909" s="32">
        <f>VLOOKUP(B909,'area in m2'!B$2:C$10,2,FALSE)</f>
        <v>166</v>
      </c>
      <c r="D909" s="5" t="s">
        <v>12</v>
      </c>
      <c r="E909" s="6">
        <v>507.44696552903224</v>
      </c>
      <c r="F909" s="33" t="str">
        <f t="shared" si="28"/>
        <v>Below 530</v>
      </c>
      <c r="G909" s="33">
        <f t="shared" si="29"/>
        <v>532.81931380548383</v>
      </c>
      <c r="H909" s="7">
        <v>0</v>
      </c>
      <c r="I909" s="5" t="s">
        <v>14</v>
      </c>
      <c r="J909" s="5">
        <v>35</v>
      </c>
      <c r="K909" s="2"/>
      <c r="L909" s="2"/>
      <c r="M909" s="1"/>
    </row>
    <row r="910" spans="1:13" ht="14.4" x14ac:dyDescent="0.3">
      <c r="A910" s="14">
        <v>44636</v>
      </c>
      <c r="B910" s="5">
        <v>6</v>
      </c>
      <c r="C910" s="32">
        <f>VLOOKUP(B910,'area in m2'!B$2:C$10,2,FALSE)</f>
        <v>175</v>
      </c>
      <c r="D910" s="5" t="s">
        <v>13</v>
      </c>
      <c r="E910" s="6">
        <v>522.35858451270997</v>
      </c>
      <c r="F910" s="33" t="str">
        <f t="shared" si="28"/>
        <v>Below 530</v>
      </c>
      <c r="G910" s="33">
        <f t="shared" si="29"/>
        <v>548.47651373834549</v>
      </c>
      <c r="H910" s="7">
        <v>0.02</v>
      </c>
      <c r="I910" s="5" t="s">
        <v>15</v>
      </c>
      <c r="J910" s="5">
        <v>63</v>
      </c>
      <c r="K910" s="2"/>
      <c r="L910" s="2"/>
      <c r="M910" s="1"/>
    </row>
    <row r="911" spans="1:13" ht="14.4" x14ac:dyDescent="0.3">
      <c r="A911" s="14">
        <v>44667</v>
      </c>
      <c r="B911" s="5">
        <v>9</v>
      </c>
      <c r="C911" s="32">
        <f>VLOOKUP(B911,'area in m2'!B$2:C$10,2,FALSE)</f>
        <v>140</v>
      </c>
      <c r="D911" s="5" t="s">
        <v>12</v>
      </c>
      <c r="E911" s="6">
        <v>524.84921573084011</v>
      </c>
      <c r="F911" s="33" t="str">
        <f t="shared" si="28"/>
        <v>Below 530</v>
      </c>
      <c r="G911" s="33">
        <f t="shared" si="29"/>
        <v>551.0916765173821</v>
      </c>
      <c r="H911" s="7">
        <v>0.01</v>
      </c>
      <c r="I911" s="5" t="s">
        <v>15</v>
      </c>
      <c r="J911" s="5">
        <v>30</v>
      </c>
      <c r="K911" s="2"/>
      <c r="L911" s="2"/>
      <c r="M911" s="1"/>
    </row>
    <row r="912" spans="1:13" ht="14.4" x14ac:dyDescent="0.3">
      <c r="A912" s="14">
        <v>44925</v>
      </c>
      <c r="B912" s="5">
        <v>1</v>
      </c>
      <c r="C912" s="32">
        <f>VLOOKUP(B912,'area in m2'!B$2:C$10,2,FALSE)</f>
        <v>280</v>
      </c>
      <c r="D912" s="5" t="s">
        <v>11</v>
      </c>
      <c r="E912" s="6">
        <v>504.28649989844598</v>
      </c>
      <c r="F912" s="33" t="str">
        <f t="shared" si="28"/>
        <v>Below 530</v>
      </c>
      <c r="G912" s="33">
        <f t="shared" si="29"/>
        <v>529.5008248933683</v>
      </c>
      <c r="H912" s="7">
        <v>0.02</v>
      </c>
      <c r="I912" s="5" t="s">
        <v>14</v>
      </c>
      <c r="J912" s="5">
        <v>45</v>
      </c>
      <c r="K912" s="2"/>
      <c r="L912" s="2"/>
      <c r="M912" s="1"/>
    </row>
    <row r="913" spans="1:13" ht="14.4" x14ac:dyDescent="0.3">
      <c r="A913" s="14">
        <v>44878</v>
      </c>
      <c r="B913" s="5">
        <v>3</v>
      </c>
      <c r="C913" s="32">
        <f>VLOOKUP(B913,'area in m2'!B$2:C$10,2,FALSE)</f>
        <v>195</v>
      </c>
      <c r="D913" s="5" t="s">
        <v>11</v>
      </c>
      <c r="E913" s="6">
        <v>536.95007939676725</v>
      </c>
      <c r="F913" s="33" t="str">
        <f t="shared" si="28"/>
        <v>Over 530</v>
      </c>
      <c r="G913" s="33">
        <f t="shared" si="29"/>
        <v>563.79758336660564</v>
      </c>
      <c r="H913" s="7">
        <v>0.03</v>
      </c>
      <c r="I913" s="5" t="s">
        <v>14</v>
      </c>
      <c r="J913" s="5">
        <v>28</v>
      </c>
      <c r="K913" s="2"/>
      <c r="L913" s="2"/>
      <c r="M913" s="1"/>
    </row>
    <row r="914" spans="1:13" ht="14.4" x14ac:dyDescent="0.3">
      <c r="A914" s="14">
        <v>44889</v>
      </c>
      <c r="B914" s="5">
        <v>5</v>
      </c>
      <c r="C914" s="32">
        <f>VLOOKUP(B914,'area in m2'!B$2:C$10,2,FALSE)</f>
        <v>200</v>
      </c>
      <c r="D914" s="5" t="s">
        <v>13</v>
      </c>
      <c r="E914" s="6">
        <v>529.64990910984761</v>
      </c>
      <c r="F914" s="33" t="str">
        <f t="shared" si="28"/>
        <v>Below 530</v>
      </c>
      <c r="G914" s="33">
        <f t="shared" si="29"/>
        <v>556.13240456534004</v>
      </c>
      <c r="H914" s="7">
        <v>0.01</v>
      </c>
      <c r="I914" s="5" t="s">
        <v>15</v>
      </c>
      <c r="J914" s="5">
        <v>44</v>
      </c>
      <c r="K914" s="2"/>
      <c r="L914" s="2"/>
      <c r="M914" s="1"/>
    </row>
    <row r="915" spans="1:13" ht="14.4" x14ac:dyDescent="0.3">
      <c r="A915" s="14">
        <v>44753</v>
      </c>
      <c r="B915" s="5">
        <v>2</v>
      </c>
      <c r="C915" s="32">
        <f>VLOOKUP(B915,'area in m2'!B$2:C$10,2,FALSE)</f>
        <v>250</v>
      </c>
      <c r="D915" s="5" t="s">
        <v>11</v>
      </c>
      <c r="E915" s="6">
        <v>505.34374041569208</v>
      </c>
      <c r="F915" s="33" t="str">
        <f t="shared" si="28"/>
        <v>Below 530</v>
      </c>
      <c r="G915" s="33">
        <f t="shared" si="29"/>
        <v>530.61092743647669</v>
      </c>
      <c r="H915" s="7">
        <v>0.02</v>
      </c>
      <c r="I915" s="5" t="s">
        <v>14</v>
      </c>
      <c r="J915" s="5">
        <v>37</v>
      </c>
      <c r="K915" s="2"/>
      <c r="L915" s="2"/>
      <c r="M915" s="1"/>
    </row>
    <row r="916" spans="1:13" ht="14.4" x14ac:dyDescent="0.3">
      <c r="A916" s="14">
        <v>44747</v>
      </c>
      <c r="B916" s="5">
        <v>3</v>
      </c>
      <c r="C916" s="32">
        <f>VLOOKUP(B916,'area in m2'!B$2:C$10,2,FALSE)</f>
        <v>195</v>
      </c>
      <c r="D916" s="5" t="s">
        <v>11</v>
      </c>
      <c r="E916" s="6">
        <v>540.56898934090987</v>
      </c>
      <c r="F916" s="33" t="str">
        <f t="shared" si="28"/>
        <v>Over 530</v>
      </c>
      <c r="G916" s="33">
        <f t="shared" si="29"/>
        <v>567.59743880795543</v>
      </c>
      <c r="H916" s="7">
        <v>0.03</v>
      </c>
      <c r="I916" s="5" t="s">
        <v>15</v>
      </c>
      <c r="J916" s="5">
        <v>35</v>
      </c>
      <c r="K916" s="2"/>
      <c r="L916" s="2"/>
      <c r="M916" s="1"/>
    </row>
    <row r="917" spans="1:13" ht="14.4" x14ac:dyDescent="0.3">
      <c r="A917" s="14">
        <v>44573</v>
      </c>
      <c r="B917" s="5">
        <v>8</v>
      </c>
      <c r="C917" s="32">
        <f>VLOOKUP(B917,'area in m2'!B$2:C$10,2,FALSE)</f>
        <v>142</v>
      </c>
      <c r="D917" s="5" t="s">
        <v>12</v>
      </c>
      <c r="E917" s="6">
        <v>536.02934738317799</v>
      </c>
      <c r="F917" s="33" t="str">
        <f t="shared" si="28"/>
        <v>Over 530</v>
      </c>
      <c r="G917" s="33">
        <f t="shared" si="29"/>
        <v>562.83081475233689</v>
      </c>
      <c r="H917" s="7">
        <v>0.02</v>
      </c>
      <c r="I917" s="5" t="s">
        <v>14</v>
      </c>
      <c r="J917" s="5">
        <v>43</v>
      </c>
      <c r="K917" s="2"/>
      <c r="L917" s="2"/>
      <c r="M917" s="1"/>
    </row>
    <row r="918" spans="1:13" ht="14.4" x14ac:dyDescent="0.3">
      <c r="A918" s="14">
        <v>44812</v>
      </c>
      <c r="B918" s="5">
        <v>2</v>
      </c>
      <c r="C918" s="32">
        <f>VLOOKUP(B918,'area in m2'!B$2:C$10,2,FALSE)</f>
        <v>250</v>
      </c>
      <c r="D918" s="5" t="s">
        <v>11</v>
      </c>
      <c r="E918" s="6">
        <v>550.31431262702972</v>
      </c>
      <c r="F918" s="33" t="str">
        <f t="shared" si="28"/>
        <v>Over 530</v>
      </c>
      <c r="G918" s="33">
        <f t="shared" si="29"/>
        <v>577.83002825838128</v>
      </c>
      <c r="H918" s="7">
        <v>0</v>
      </c>
      <c r="I918" s="5" t="s">
        <v>14</v>
      </c>
      <c r="J918" s="5">
        <v>44</v>
      </c>
      <c r="K918" s="2"/>
      <c r="L918" s="2"/>
      <c r="M918" s="1"/>
    </row>
    <row r="919" spans="1:13" ht="14.4" x14ac:dyDescent="0.3">
      <c r="A919" s="14">
        <v>44813</v>
      </c>
      <c r="B919" s="5">
        <v>3</v>
      </c>
      <c r="C919" s="32">
        <f>VLOOKUP(B919,'area in m2'!B$2:C$10,2,FALSE)</f>
        <v>195</v>
      </c>
      <c r="D919" s="5" t="s">
        <v>11</v>
      </c>
      <c r="E919" s="6">
        <v>522.66132742271566</v>
      </c>
      <c r="F919" s="33" t="str">
        <f t="shared" si="28"/>
        <v>Below 530</v>
      </c>
      <c r="G919" s="33">
        <f t="shared" si="29"/>
        <v>548.79439379385144</v>
      </c>
      <c r="H919" s="7">
        <v>0.01</v>
      </c>
      <c r="I919" s="5" t="s">
        <v>15</v>
      </c>
      <c r="J919" s="5">
        <v>17</v>
      </c>
      <c r="K919" s="2"/>
      <c r="L919" s="2"/>
      <c r="M919" s="1"/>
    </row>
    <row r="920" spans="1:13" ht="14.4" x14ac:dyDescent="0.3">
      <c r="A920" s="14">
        <v>44780</v>
      </c>
      <c r="B920" s="5">
        <v>6</v>
      </c>
      <c r="C920" s="32">
        <f>VLOOKUP(B920,'area in m2'!B$2:C$10,2,FALSE)</f>
        <v>175</v>
      </c>
      <c r="D920" s="5" t="s">
        <v>13</v>
      </c>
      <c r="E920" s="6">
        <v>507.89616855035911</v>
      </c>
      <c r="F920" s="33" t="str">
        <f t="shared" si="28"/>
        <v>Below 530</v>
      </c>
      <c r="G920" s="33">
        <f t="shared" si="29"/>
        <v>533.29097697787711</v>
      </c>
      <c r="H920" s="7">
        <v>0</v>
      </c>
      <c r="I920" s="5" t="s">
        <v>14</v>
      </c>
      <c r="J920" s="5">
        <v>33</v>
      </c>
      <c r="K920" s="2"/>
      <c r="L920" s="2"/>
      <c r="M920" s="1"/>
    </row>
    <row r="921" spans="1:13" ht="14.4" x14ac:dyDescent="0.3">
      <c r="A921" s="14">
        <v>44618</v>
      </c>
      <c r="B921" s="5">
        <v>1</v>
      </c>
      <c r="C921" s="32">
        <f>VLOOKUP(B921,'area in m2'!B$2:C$10,2,FALSE)</f>
        <v>280</v>
      </c>
      <c r="D921" s="5" t="s">
        <v>11</v>
      </c>
      <c r="E921" s="6">
        <v>532.84396887959429</v>
      </c>
      <c r="F921" s="33" t="str">
        <f t="shared" si="28"/>
        <v>Over 530</v>
      </c>
      <c r="G921" s="33">
        <f t="shared" si="29"/>
        <v>559.48616732357402</v>
      </c>
      <c r="H921" s="7">
        <v>0.02</v>
      </c>
      <c r="I921" s="5" t="s">
        <v>14</v>
      </c>
      <c r="J921" s="5">
        <v>27</v>
      </c>
      <c r="K921" s="2"/>
      <c r="L921" s="2"/>
      <c r="M921" s="1"/>
    </row>
    <row r="922" spans="1:13" ht="14.4" x14ac:dyDescent="0.3">
      <c r="A922" s="14">
        <v>44607</v>
      </c>
      <c r="B922" s="5">
        <v>5</v>
      </c>
      <c r="C922" s="32">
        <f>VLOOKUP(B922,'area in m2'!B$2:C$10,2,FALSE)</f>
        <v>200</v>
      </c>
      <c r="D922" s="5" t="s">
        <v>13</v>
      </c>
      <c r="E922" s="6">
        <v>535.22664521156457</v>
      </c>
      <c r="F922" s="33" t="str">
        <f t="shared" si="28"/>
        <v>Over 530</v>
      </c>
      <c r="G922" s="33">
        <f t="shared" si="29"/>
        <v>561.9879774721428</v>
      </c>
      <c r="H922" s="7">
        <v>0.02</v>
      </c>
      <c r="I922" s="5" t="s">
        <v>14</v>
      </c>
      <c r="J922" s="5">
        <v>46</v>
      </c>
      <c r="K922" s="2"/>
      <c r="L922" s="2"/>
      <c r="M922" s="1"/>
    </row>
    <row r="923" spans="1:13" ht="14.4" x14ac:dyDescent="0.3">
      <c r="A923" s="14">
        <v>44607</v>
      </c>
      <c r="B923" s="5">
        <v>5</v>
      </c>
      <c r="C923" s="32">
        <f>VLOOKUP(B923,'area in m2'!B$2:C$10,2,FALSE)</f>
        <v>200</v>
      </c>
      <c r="D923" s="5" t="s">
        <v>13</v>
      </c>
      <c r="E923" s="6">
        <v>551.34416342425357</v>
      </c>
      <c r="F923" s="33" t="str">
        <f t="shared" si="28"/>
        <v>Over 530</v>
      </c>
      <c r="G923" s="33">
        <f t="shared" si="29"/>
        <v>578.91137159546622</v>
      </c>
      <c r="H923" s="7">
        <v>0.03</v>
      </c>
      <c r="I923" s="5" t="s">
        <v>14</v>
      </c>
      <c r="J923" s="5">
        <v>26</v>
      </c>
      <c r="K923" s="2"/>
      <c r="L923" s="2"/>
      <c r="M923" s="1"/>
    </row>
    <row r="924" spans="1:13" ht="14.4" x14ac:dyDescent="0.3">
      <c r="A924" s="14">
        <v>44879</v>
      </c>
      <c r="B924" s="5">
        <v>5</v>
      </c>
      <c r="C924" s="32">
        <f>VLOOKUP(B924,'area in m2'!B$2:C$10,2,FALSE)</f>
        <v>200</v>
      </c>
      <c r="D924" s="5" t="s">
        <v>13</v>
      </c>
      <c r="E924" s="6">
        <v>550.11022919093011</v>
      </c>
      <c r="F924" s="33" t="str">
        <f t="shared" si="28"/>
        <v>Over 530</v>
      </c>
      <c r="G924" s="33">
        <f t="shared" si="29"/>
        <v>577.6157406504766</v>
      </c>
      <c r="H924" s="7">
        <v>0.03</v>
      </c>
      <c r="I924" s="5" t="s">
        <v>14</v>
      </c>
      <c r="J924" s="5">
        <v>43</v>
      </c>
      <c r="K924" s="2"/>
      <c r="L924" s="2"/>
      <c r="M924" s="1"/>
    </row>
    <row r="925" spans="1:13" ht="14.4" x14ac:dyDescent="0.3">
      <c r="A925" s="14">
        <v>44620</v>
      </c>
      <c r="B925" s="5">
        <v>6</v>
      </c>
      <c r="C925" s="32">
        <f>VLOOKUP(B925,'area in m2'!B$2:C$10,2,FALSE)</f>
        <v>175</v>
      </c>
      <c r="D925" s="5" t="s">
        <v>13</v>
      </c>
      <c r="E925" s="6">
        <v>525.1279664961321</v>
      </c>
      <c r="F925" s="33" t="str">
        <f t="shared" si="28"/>
        <v>Below 530</v>
      </c>
      <c r="G925" s="33">
        <f t="shared" si="29"/>
        <v>551.38436482093869</v>
      </c>
      <c r="H925" s="7">
        <v>0</v>
      </c>
      <c r="I925" s="5" t="s">
        <v>15</v>
      </c>
      <c r="J925" s="5">
        <v>55</v>
      </c>
      <c r="K925" s="2"/>
      <c r="L925" s="2"/>
      <c r="M925" s="1"/>
    </row>
    <row r="926" spans="1:13" ht="14.4" x14ac:dyDescent="0.3">
      <c r="A926" s="14">
        <v>44752</v>
      </c>
      <c r="B926" s="5">
        <v>5</v>
      </c>
      <c r="C926" s="32">
        <f>VLOOKUP(B926,'area in m2'!B$2:C$10,2,FALSE)</f>
        <v>200</v>
      </c>
      <c r="D926" s="5" t="s">
        <v>13</v>
      </c>
      <c r="E926" s="6">
        <v>530.0870444747261</v>
      </c>
      <c r="F926" s="33" t="str">
        <f t="shared" si="28"/>
        <v>Over 530</v>
      </c>
      <c r="G926" s="33">
        <f t="shared" si="29"/>
        <v>556.5913966984624</v>
      </c>
      <c r="H926" s="7">
        <v>0</v>
      </c>
      <c r="I926" s="5" t="s">
        <v>14</v>
      </c>
      <c r="J926" s="5">
        <v>32</v>
      </c>
      <c r="K926" s="2"/>
      <c r="L926" s="2"/>
      <c r="M926" s="1"/>
    </row>
    <row r="927" spans="1:13" ht="14.4" x14ac:dyDescent="0.3">
      <c r="A927" s="14">
        <v>44709</v>
      </c>
      <c r="B927" s="5">
        <v>9</v>
      </c>
      <c r="C927" s="32">
        <f>VLOOKUP(B927,'area in m2'!B$2:C$10,2,FALSE)</f>
        <v>140</v>
      </c>
      <c r="D927" s="5" t="s">
        <v>12</v>
      </c>
      <c r="E927" s="6">
        <v>512.11005681064762</v>
      </c>
      <c r="F927" s="33" t="str">
        <f t="shared" si="28"/>
        <v>Below 530</v>
      </c>
      <c r="G927" s="33">
        <f t="shared" si="29"/>
        <v>537.71555965118</v>
      </c>
      <c r="H927" s="7">
        <v>0</v>
      </c>
      <c r="I927" s="5" t="s">
        <v>14</v>
      </c>
      <c r="J927" s="5">
        <v>36</v>
      </c>
      <c r="K927" s="2"/>
      <c r="L927" s="2"/>
      <c r="M927" s="1"/>
    </row>
    <row r="928" spans="1:13" ht="14.4" x14ac:dyDescent="0.3">
      <c r="A928" s="14">
        <v>44578</v>
      </c>
      <c r="B928" s="5">
        <v>1</v>
      </c>
      <c r="C928" s="32">
        <f>VLOOKUP(B928,'area in m2'!B$2:C$10,2,FALSE)</f>
        <v>280</v>
      </c>
      <c r="D928" s="5" t="s">
        <v>11</v>
      </c>
      <c r="E928" s="6">
        <v>530.80128828675151</v>
      </c>
      <c r="F928" s="33" t="str">
        <f t="shared" si="28"/>
        <v>Over 530</v>
      </c>
      <c r="G928" s="33">
        <f t="shared" si="29"/>
        <v>557.34135270108914</v>
      </c>
      <c r="H928" s="7">
        <v>0.01</v>
      </c>
      <c r="I928" s="5" t="s">
        <v>14</v>
      </c>
      <c r="J928" s="5">
        <v>46</v>
      </c>
      <c r="K928" s="2"/>
      <c r="L928" s="2"/>
      <c r="M928" s="1"/>
    </row>
    <row r="929" spans="1:13" ht="14.4" x14ac:dyDescent="0.3">
      <c r="A929" s="14">
        <v>44755</v>
      </c>
      <c r="B929" s="5">
        <v>8</v>
      </c>
      <c r="C929" s="32">
        <f>VLOOKUP(B929,'area in m2'!B$2:C$10,2,FALSE)</f>
        <v>142</v>
      </c>
      <c r="D929" s="5" t="s">
        <v>12</v>
      </c>
      <c r="E929" s="6">
        <v>506.01014753085019</v>
      </c>
      <c r="F929" s="33" t="str">
        <f t="shared" si="28"/>
        <v>Below 530</v>
      </c>
      <c r="G929" s="33">
        <f t="shared" si="29"/>
        <v>531.31065490739275</v>
      </c>
      <c r="H929" s="7">
        <v>0.03</v>
      </c>
      <c r="I929" s="5" t="s">
        <v>14</v>
      </c>
      <c r="J929" s="5">
        <v>37</v>
      </c>
      <c r="K929" s="2"/>
      <c r="L929" s="2"/>
      <c r="M929" s="1"/>
    </row>
    <row r="930" spans="1:13" ht="14.4" x14ac:dyDescent="0.3">
      <c r="A930" s="14">
        <v>44907</v>
      </c>
      <c r="B930" s="5">
        <v>4</v>
      </c>
      <c r="C930" s="32">
        <f>VLOOKUP(B930,'area in m2'!B$2:C$10,2,FALSE)</f>
        <v>188</v>
      </c>
      <c r="D930" s="5" t="s">
        <v>11</v>
      </c>
      <c r="E930" s="6">
        <v>524.01763615404161</v>
      </c>
      <c r="F930" s="33" t="str">
        <f t="shared" si="28"/>
        <v>Below 530</v>
      </c>
      <c r="G930" s="33">
        <f t="shared" si="29"/>
        <v>550.21851796174371</v>
      </c>
      <c r="H930" s="7">
        <v>0.01</v>
      </c>
      <c r="I930" s="5" t="s">
        <v>14</v>
      </c>
      <c r="J930" s="5">
        <v>39</v>
      </c>
      <c r="K930" s="2"/>
      <c r="L930" s="2"/>
      <c r="M930" s="1"/>
    </row>
    <row r="931" spans="1:13" ht="14.4" x14ac:dyDescent="0.3">
      <c r="A931" s="14">
        <v>44792</v>
      </c>
      <c r="B931" s="5">
        <v>2</v>
      </c>
      <c r="C931" s="32">
        <f>VLOOKUP(B931,'area in m2'!B$2:C$10,2,FALSE)</f>
        <v>250</v>
      </c>
      <c r="D931" s="5" t="s">
        <v>11</v>
      </c>
      <c r="E931" s="6">
        <v>543.5594941294712</v>
      </c>
      <c r="F931" s="33" t="str">
        <f t="shared" si="28"/>
        <v>Over 530</v>
      </c>
      <c r="G931" s="33">
        <f t="shared" si="29"/>
        <v>570.73746883594481</v>
      </c>
      <c r="H931" s="7">
        <v>0.02</v>
      </c>
      <c r="I931" s="5" t="s">
        <v>14</v>
      </c>
      <c r="J931" s="5">
        <v>53</v>
      </c>
      <c r="K931" s="2"/>
      <c r="L931" s="2"/>
      <c r="M931" s="1"/>
    </row>
    <row r="932" spans="1:13" ht="14.4" x14ac:dyDescent="0.3">
      <c r="A932" s="14">
        <v>44600</v>
      </c>
      <c r="B932" s="5">
        <v>1</v>
      </c>
      <c r="C932" s="32">
        <f>VLOOKUP(B932,'area in m2'!B$2:C$10,2,FALSE)</f>
        <v>280</v>
      </c>
      <c r="D932" s="5" t="s">
        <v>11</v>
      </c>
      <c r="E932" s="6">
        <v>500.57086992610039</v>
      </c>
      <c r="F932" s="33" t="str">
        <f t="shared" si="28"/>
        <v>Below 530</v>
      </c>
      <c r="G932" s="33">
        <f t="shared" si="29"/>
        <v>525.59941342240541</v>
      </c>
      <c r="H932" s="7">
        <v>0.02</v>
      </c>
      <c r="I932" s="5" t="s">
        <v>15</v>
      </c>
      <c r="J932" s="5">
        <v>53</v>
      </c>
      <c r="K932" s="2"/>
      <c r="L932" s="2"/>
      <c r="M932" s="1"/>
    </row>
    <row r="933" spans="1:13" ht="14.4" x14ac:dyDescent="0.3">
      <c r="A933" s="14">
        <v>44756</v>
      </c>
      <c r="B933" s="5">
        <v>2</v>
      </c>
      <c r="C933" s="32">
        <f>VLOOKUP(B933,'area in m2'!B$2:C$10,2,FALSE)</f>
        <v>250</v>
      </c>
      <c r="D933" s="5" t="s">
        <v>11</v>
      </c>
      <c r="E933" s="6">
        <v>506.49248155956138</v>
      </c>
      <c r="F933" s="33" t="str">
        <f t="shared" si="28"/>
        <v>Below 530</v>
      </c>
      <c r="G933" s="33">
        <f t="shared" si="29"/>
        <v>531.8171056375395</v>
      </c>
      <c r="H933" s="7">
        <v>0.02</v>
      </c>
      <c r="I933" s="5" t="s">
        <v>14</v>
      </c>
      <c r="J933" s="5">
        <v>31</v>
      </c>
      <c r="K933" s="2"/>
      <c r="L933" s="2"/>
      <c r="M933" s="1"/>
    </row>
    <row r="934" spans="1:13" ht="14.4" x14ac:dyDescent="0.3">
      <c r="A934" s="14">
        <v>44790</v>
      </c>
      <c r="B934" s="5">
        <v>4</v>
      </c>
      <c r="C934" s="32">
        <f>VLOOKUP(B934,'area in m2'!B$2:C$10,2,FALSE)</f>
        <v>188</v>
      </c>
      <c r="D934" s="5" t="s">
        <v>11</v>
      </c>
      <c r="E934" s="6">
        <v>527.30198948940324</v>
      </c>
      <c r="F934" s="33" t="str">
        <f t="shared" si="28"/>
        <v>Below 530</v>
      </c>
      <c r="G934" s="33">
        <f t="shared" si="29"/>
        <v>553.66708896387343</v>
      </c>
      <c r="H934" s="7">
        <v>0</v>
      </c>
      <c r="I934" s="5" t="s">
        <v>14</v>
      </c>
      <c r="J934" s="5">
        <v>21</v>
      </c>
      <c r="K934" s="2"/>
      <c r="L934" s="2"/>
      <c r="M934" s="1"/>
    </row>
    <row r="935" spans="1:13" ht="14.4" x14ac:dyDescent="0.3">
      <c r="A935" s="14">
        <v>44656</v>
      </c>
      <c r="B935" s="5">
        <v>3</v>
      </c>
      <c r="C935" s="32">
        <f>VLOOKUP(B935,'area in m2'!B$2:C$10,2,FALSE)</f>
        <v>195</v>
      </c>
      <c r="D935" s="5" t="s">
        <v>11</v>
      </c>
      <c r="E935" s="6">
        <v>515.80396903981818</v>
      </c>
      <c r="F935" s="33" t="str">
        <f t="shared" si="28"/>
        <v>Below 530</v>
      </c>
      <c r="G935" s="33">
        <f t="shared" si="29"/>
        <v>541.59416749180912</v>
      </c>
      <c r="H935" s="7">
        <v>0</v>
      </c>
      <c r="I935" s="5" t="s">
        <v>14</v>
      </c>
      <c r="J935" s="5">
        <v>30</v>
      </c>
      <c r="K935" s="2"/>
      <c r="L935" s="2"/>
      <c r="M935" s="1"/>
    </row>
    <row r="936" spans="1:13" ht="14.4" x14ac:dyDescent="0.3">
      <c r="A936" s="14">
        <v>44828</v>
      </c>
      <c r="B936" s="5">
        <v>8</v>
      </c>
      <c r="C936" s="32">
        <f>VLOOKUP(B936,'area in m2'!B$2:C$10,2,FALSE)</f>
        <v>142</v>
      </c>
      <c r="D936" s="5" t="s">
        <v>12</v>
      </c>
      <c r="E936" s="6">
        <v>514.18093541531834</v>
      </c>
      <c r="F936" s="33" t="str">
        <f t="shared" si="28"/>
        <v>Below 530</v>
      </c>
      <c r="G936" s="33">
        <f t="shared" si="29"/>
        <v>539.88998218608424</v>
      </c>
      <c r="H936" s="7">
        <v>0.02</v>
      </c>
      <c r="I936" s="5" t="s">
        <v>14</v>
      </c>
      <c r="J936" s="5">
        <v>29</v>
      </c>
      <c r="K936" s="2"/>
      <c r="L936" s="2"/>
      <c r="M936" s="1"/>
    </row>
    <row r="937" spans="1:13" ht="14.4" x14ac:dyDescent="0.3">
      <c r="A937" s="14">
        <v>44878</v>
      </c>
      <c r="B937" s="5">
        <v>5</v>
      </c>
      <c r="C937" s="32">
        <f>VLOOKUP(B937,'area in m2'!B$2:C$10,2,FALSE)</f>
        <v>200</v>
      </c>
      <c r="D937" s="5" t="s">
        <v>13</v>
      </c>
      <c r="E937" s="6">
        <v>554.93409594257264</v>
      </c>
      <c r="F937" s="33" t="str">
        <f t="shared" si="28"/>
        <v>Over 530</v>
      </c>
      <c r="G937" s="33">
        <f t="shared" si="29"/>
        <v>582.68080073970134</v>
      </c>
      <c r="H937" s="7">
        <v>0.03</v>
      </c>
      <c r="I937" s="5" t="s">
        <v>14</v>
      </c>
      <c r="J937" s="5">
        <v>30</v>
      </c>
      <c r="K937" s="2"/>
      <c r="L937" s="2"/>
      <c r="M937" s="1"/>
    </row>
    <row r="938" spans="1:13" ht="14.4" x14ac:dyDescent="0.3">
      <c r="A938" s="14">
        <v>44668</v>
      </c>
      <c r="B938" s="5">
        <v>2</v>
      </c>
      <c r="C938" s="32">
        <f>VLOOKUP(B938,'area in m2'!B$2:C$10,2,FALSE)</f>
        <v>250</v>
      </c>
      <c r="D938" s="5" t="s">
        <v>11</v>
      </c>
      <c r="E938" s="6">
        <v>518.05021472657609</v>
      </c>
      <c r="F938" s="33" t="str">
        <f t="shared" si="28"/>
        <v>Below 530</v>
      </c>
      <c r="G938" s="33">
        <f t="shared" si="29"/>
        <v>543.95272546290494</v>
      </c>
      <c r="H938" s="7">
        <v>0</v>
      </c>
      <c r="I938" s="5" t="s">
        <v>14</v>
      </c>
      <c r="J938" s="5">
        <v>24</v>
      </c>
      <c r="K938" s="2"/>
      <c r="L938" s="2"/>
      <c r="M938" s="1"/>
    </row>
    <row r="939" spans="1:13" ht="14.4" x14ac:dyDescent="0.3">
      <c r="A939" s="14">
        <v>44762</v>
      </c>
      <c r="B939" s="5">
        <v>3</v>
      </c>
      <c r="C939" s="32">
        <f>VLOOKUP(B939,'area in m2'!B$2:C$10,2,FALSE)</f>
        <v>195</v>
      </c>
      <c r="D939" s="5" t="s">
        <v>11</v>
      </c>
      <c r="E939" s="6">
        <v>530.93543492126355</v>
      </c>
      <c r="F939" s="33" t="str">
        <f t="shared" si="28"/>
        <v>Over 530</v>
      </c>
      <c r="G939" s="33">
        <f t="shared" si="29"/>
        <v>557.48220666732675</v>
      </c>
      <c r="H939" s="7">
        <v>0</v>
      </c>
      <c r="I939" s="5" t="s">
        <v>15</v>
      </c>
      <c r="J939" s="5">
        <v>44</v>
      </c>
      <c r="K939" s="2"/>
      <c r="L939" s="2"/>
      <c r="M939" s="1"/>
    </row>
    <row r="940" spans="1:13" ht="14.4" x14ac:dyDescent="0.3">
      <c r="A940" s="14">
        <v>44691</v>
      </c>
      <c r="B940" s="5">
        <v>8</v>
      </c>
      <c r="C940" s="32">
        <f>VLOOKUP(B940,'area in m2'!B$2:C$10,2,FALSE)</f>
        <v>142</v>
      </c>
      <c r="D940" s="5" t="s">
        <v>12</v>
      </c>
      <c r="E940" s="6">
        <v>528.50016354920535</v>
      </c>
      <c r="F940" s="33" t="str">
        <f t="shared" si="28"/>
        <v>Below 530</v>
      </c>
      <c r="G940" s="33">
        <f t="shared" si="29"/>
        <v>554.92517172666567</v>
      </c>
      <c r="H940" s="7">
        <v>0.03</v>
      </c>
      <c r="I940" s="5" t="s">
        <v>14</v>
      </c>
      <c r="J940" s="5">
        <v>50</v>
      </c>
      <c r="K940" s="2"/>
      <c r="L940" s="2"/>
      <c r="M940" s="1"/>
    </row>
    <row r="941" spans="1:13" ht="14.4" x14ac:dyDescent="0.3">
      <c r="A941" s="14">
        <v>44881</v>
      </c>
      <c r="B941" s="5">
        <v>1</v>
      </c>
      <c r="C941" s="32">
        <f>VLOOKUP(B941,'area in m2'!B$2:C$10,2,FALSE)</f>
        <v>280</v>
      </c>
      <c r="D941" s="5" t="s">
        <v>11</v>
      </c>
      <c r="E941" s="6">
        <v>505.46858523936589</v>
      </c>
      <c r="F941" s="33" t="str">
        <f t="shared" si="28"/>
        <v>Below 530</v>
      </c>
      <c r="G941" s="33">
        <f t="shared" si="29"/>
        <v>530.74201450133421</v>
      </c>
      <c r="H941" s="7">
        <v>0.02</v>
      </c>
      <c r="I941" s="5" t="s">
        <v>14</v>
      </c>
      <c r="J941" s="5">
        <v>42</v>
      </c>
      <c r="K941" s="2"/>
      <c r="L941" s="2"/>
      <c r="M941" s="1"/>
    </row>
    <row r="942" spans="1:13" ht="14.4" x14ac:dyDescent="0.3">
      <c r="A942" s="14">
        <v>44763</v>
      </c>
      <c r="B942" s="5">
        <v>5</v>
      </c>
      <c r="C942" s="32">
        <f>VLOOKUP(B942,'area in m2'!B$2:C$10,2,FALSE)</f>
        <v>200</v>
      </c>
      <c r="D942" s="5" t="s">
        <v>13</v>
      </c>
      <c r="E942" s="6">
        <v>531.49888998096503</v>
      </c>
      <c r="F942" s="33" t="str">
        <f t="shared" si="28"/>
        <v>Over 530</v>
      </c>
      <c r="G942" s="33">
        <f t="shared" si="29"/>
        <v>558.07383448001326</v>
      </c>
      <c r="H942" s="7">
        <v>0.01</v>
      </c>
      <c r="I942" s="5" t="s">
        <v>15</v>
      </c>
      <c r="J942" s="5">
        <v>16</v>
      </c>
      <c r="K942" s="2"/>
      <c r="L942" s="2"/>
      <c r="M942" s="1"/>
    </row>
    <row r="943" spans="1:13" ht="14.4" x14ac:dyDescent="0.3">
      <c r="A943" s="14">
        <v>44683</v>
      </c>
      <c r="B943" s="5">
        <v>7</v>
      </c>
      <c r="C943" s="32">
        <f>VLOOKUP(B943,'area in m2'!B$2:C$10,2,FALSE)</f>
        <v>166</v>
      </c>
      <c r="D943" s="5" t="s">
        <v>12</v>
      </c>
      <c r="E943" s="6">
        <v>501.164691140164</v>
      </c>
      <c r="F943" s="33" t="str">
        <f t="shared" si="28"/>
        <v>Below 530</v>
      </c>
      <c r="G943" s="33">
        <f t="shared" si="29"/>
        <v>526.22292569717217</v>
      </c>
      <c r="H943" s="7">
        <v>0.01</v>
      </c>
      <c r="I943" s="5" t="s">
        <v>14</v>
      </c>
      <c r="J943" s="5">
        <v>23</v>
      </c>
      <c r="K943" s="2"/>
      <c r="L943" s="2"/>
      <c r="M943" s="1"/>
    </row>
    <row r="944" spans="1:13" ht="14.4" x14ac:dyDescent="0.3">
      <c r="A944" s="14">
        <v>44626</v>
      </c>
      <c r="B944" s="5">
        <v>7</v>
      </c>
      <c r="C944" s="32">
        <f>VLOOKUP(B944,'area in m2'!B$2:C$10,2,FALSE)</f>
        <v>166</v>
      </c>
      <c r="D944" s="5" t="s">
        <v>12</v>
      </c>
      <c r="E944" s="6">
        <v>505.26568734829561</v>
      </c>
      <c r="F944" s="33" t="str">
        <f t="shared" si="28"/>
        <v>Below 530</v>
      </c>
      <c r="G944" s="33">
        <f t="shared" si="29"/>
        <v>530.52897171571044</v>
      </c>
      <c r="H944" s="7">
        <v>0.03</v>
      </c>
      <c r="I944" s="5" t="s">
        <v>14</v>
      </c>
      <c r="J944" s="5">
        <v>35</v>
      </c>
      <c r="K944" s="2"/>
      <c r="L944" s="2"/>
      <c r="M944" s="1"/>
    </row>
    <row r="945" spans="1:13" ht="14.4" x14ac:dyDescent="0.3">
      <c r="A945" s="14">
        <v>44856</v>
      </c>
      <c r="B945" s="5">
        <v>4</v>
      </c>
      <c r="C945" s="32">
        <f>VLOOKUP(B945,'area in m2'!B$2:C$10,2,FALSE)</f>
        <v>188</v>
      </c>
      <c r="D945" s="5" t="s">
        <v>11</v>
      </c>
      <c r="E945" s="6">
        <v>518.14262970751497</v>
      </c>
      <c r="F945" s="33" t="str">
        <f t="shared" si="28"/>
        <v>Below 530</v>
      </c>
      <c r="G945" s="33">
        <f t="shared" si="29"/>
        <v>544.04976119289074</v>
      </c>
      <c r="H945" s="7">
        <v>0.01</v>
      </c>
      <c r="I945" s="5" t="s">
        <v>15</v>
      </c>
      <c r="J945" s="5">
        <v>33</v>
      </c>
      <c r="K945" s="2"/>
      <c r="L945" s="2"/>
      <c r="M945" s="1"/>
    </row>
    <row r="946" spans="1:13" ht="14.4" x14ac:dyDescent="0.3">
      <c r="A946" s="14">
        <v>44801</v>
      </c>
      <c r="B946" s="5">
        <v>5</v>
      </c>
      <c r="C946" s="32">
        <f>VLOOKUP(B946,'area in m2'!B$2:C$10,2,FALSE)</f>
        <v>200</v>
      </c>
      <c r="D946" s="5" t="s">
        <v>13</v>
      </c>
      <c r="E946" s="6">
        <v>536.15035114196689</v>
      </c>
      <c r="F946" s="33" t="str">
        <f t="shared" si="28"/>
        <v>Over 530</v>
      </c>
      <c r="G946" s="33">
        <f t="shared" si="29"/>
        <v>562.95786869906522</v>
      </c>
      <c r="H946" s="7">
        <v>0.01</v>
      </c>
      <c r="I946" s="5" t="s">
        <v>14</v>
      </c>
      <c r="J946" s="5">
        <v>45</v>
      </c>
      <c r="K946" s="2"/>
      <c r="L946" s="2"/>
      <c r="M946" s="1"/>
    </row>
    <row r="947" spans="1:13" ht="14.4" x14ac:dyDescent="0.3">
      <c r="A947" s="14">
        <v>44816</v>
      </c>
      <c r="B947" s="5">
        <v>6</v>
      </c>
      <c r="C947" s="32">
        <f>VLOOKUP(B947,'area in m2'!B$2:C$10,2,FALSE)</f>
        <v>175</v>
      </c>
      <c r="D947" s="5" t="s">
        <v>13</v>
      </c>
      <c r="E947" s="6">
        <v>549.81374811432397</v>
      </c>
      <c r="F947" s="33" t="str">
        <f t="shared" si="28"/>
        <v>Over 530</v>
      </c>
      <c r="G947" s="33">
        <f t="shared" si="29"/>
        <v>577.30443552004022</v>
      </c>
      <c r="H947" s="7">
        <v>0.01</v>
      </c>
      <c r="I947" s="5" t="s">
        <v>14</v>
      </c>
      <c r="J947" s="5">
        <v>43</v>
      </c>
      <c r="K947" s="2"/>
      <c r="L947" s="2"/>
      <c r="M947" s="1"/>
    </row>
    <row r="948" spans="1:13" ht="14.4" x14ac:dyDescent="0.3">
      <c r="A948" s="14">
        <v>44583</v>
      </c>
      <c r="B948" s="5">
        <v>8</v>
      </c>
      <c r="C948" s="32">
        <f>VLOOKUP(B948,'area in m2'!B$2:C$10,2,FALSE)</f>
        <v>142</v>
      </c>
      <c r="D948" s="5" t="s">
        <v>12</v>
      </c>
      <c r="E948" s="6">
        <v>544.52494005577137</v>
      </c>
      <c r="F948" s="33" t="str">
        <f t="shared" si="28"/>
        <v>Over 530</v>
      </c>
      <c r="G948" s="33">
        <f t="shared" si="29"/>
        <v>571.75118705855994</v>
      </c>
      <c r="H948" s="7">
        <v>0</v>
      </c>
      <c r="I948" s="5" t="s">
        <v>15</v>
      </c>
      <c r="J948" s="5">
        <v>17</v>
      </c>
      <c r="K948" s="2"/>
      <c r="L948" s="2"/>
      <c r="M948" s="1"/>
    </row>
    <row r="949" spans="1:13" ht="14.4" x14ac:dyDescent="0.3">
      <c r="A949" s="14">
        <v>44835</v>
      </c>
      <c r="B949" s="5">
        <v>7</v>
      </c>
      <c r="C949" s="32">
        <f>VLOOKUP(B949,'area in m2'!B$2:C$10,2,FALSE)</f>
        <v>166</v>
      </c>
      <c r="D949" s="5" t="s">
        <v>12</v>
      </c>
      <c r="E949" s="6">
        <v>500.90857264949591</v>
      </c>
      <c r="F949" s="33" t="str">
        <f t="shared" si="28"/>
        <v>Below 530</v>
      </c>
      <c r="G949" s="33">
        <f t="shared" si="29"/>
        <v>525.9540012819707</v>
      </c>
      <c r="H949" s="7">
        <v>0</v>
      </c>
      <c r="I949" s="5" t="s">
        <v>15</v>
      </c>
      <c r="J949" s="5">
        <v>42</v>
      </c>
      <c r="K949" s="2"/>
      <c r="L949" s="2"/>
      <c r="M949" s="1"/>
    </row>
    <row r="950" spans="1:13" ht="14.4" x14ac:dyDescent="0.3">
      <c r="A950" s="14">
        <v>44827</v>
      </c>
      <c r="B950" s="5">
        <v>2</v>
      </c>
      <c r="C950" s="32">
        <f>VLOOKUP(B950,'area in m2'!B$2:C$10,2,FALSE)</f>
        <v>250</v>
      </c>
      <c r="D950" s="5" t="s">
        <v>11</v>
      </c>
      <c r="E950" s="6">
        <v>505.83187925644052</v>
      </c>
      <c r="F950" s="33" t="str">
        <f t="shared" si="28"/>
        <v>Below 530</v>
      </c>
      <c r="G950" s="33">
        <f t="shared" si="29"/>
        <v>531.12347321926256</v>
      </c>
      <c r="H950" s="7">
        <v>0.02</v>
      </c>
      <c r="I950" s="5" t="s">
        <v>15</v>
      </c>
      <c r="J950" s="5">
        <v>29</v>
      </c>
      <c r="K950" s="2"/>
      <c r="L950" s="2"/>
      <c r="M950" s="1"/>
    </row>
    <row r="951" spans="1:13" ht="14.4" x14ac:dyDescent="0.3">
      <c r="A951" s="14">
        <v>44809</v>
      </c>
      <c r="B951" s="5">
        <v>1</v>
      </c>
      <c r="C951" s="32">
        <f>VLOOKUP(B951,'area in m2'!B$2:C$10,2,FALSE)</f>
        <v>280</v>
      </c>
      <c r="D951" s="5" t="s">
        <v>11</v>
      </c>
      <c r="E951" s="6">
        <v>509.1208864506898</v>
      </c>
      <c r="F951" s="33" t="str">
        <f t="shared" si="28"/>
        <v>Below 530</v>
      </c>
      <c r="G951" s="33">
        <f t="shared" si="29"/>
        <v>534.57693077322426</v>
      </c>
      <c r="H951" s="7">
        <v>0.02</v>
      </c>
      <c r="I951" s="5" t="s">
        <v>15</v>
      </c>
      <c r="J951" s="5">
        <v>38</v>
      </c>
      <c r="K951" s="2"/>
      <c r="L951" s="2"/>
      <c r="M951" s="1"/>
    </row>
    <row r="952" spans="1:13" ht="14.4" x14ac:dyDescent="0.3">
      <c r="A952" s="14">
        <v>44593</v>
      </c>
      <c r="B952" s="5">
        <v>7</v>
      </c>
      <c r="C952" s="32">
        <f>VLOOKUP(B952,'area in m2'!B$2:C$10,2,FALSE)</f>
        <v>166</v>
      </c>
      <c r="D952" s="5" t="s">
        <v>12</v>
      </c>
      <c r="E952" s="6">
        <v>514.03301601647854</v>
      </c>
      <c r="F952" s="33" t="str">
        <f t="shared" si="28"/>
        <v>Below 530</v>
      </c>
      <c r="G952" s="33">
        <f t="shared" si="29"/>
        <v>539.73466681730247</v>
      </c>
      <c r="H952" s="7">
        <v>0.02</v>
      </c>
      <c r="I952" s="5" t="s">
        <v>14</v>
      </c>
      <c r="J952" s="5">
        <v>29</v>
      </c>
      <c r="K952" s="2"/>
      <c r="L952" s="2"/>
      <c r="M952" s="1"/>
    </row>
    <row r="953" spans="1:13" ht="14.4" x14ac:dyDescent="0.3">
      <c r="A953" s="14">
        <v>44638</v>
      </c>
      <c r="B953" s="5">
        <v>3</v>
      </c>
      <c r="C953" s="32">
        <f>VLOOKUP(B953,'area in m2'!B$2:C$10,2,FALSE)</f>
        <v>195</v>
      </c>
      <c r="D953" s="5" t="s">
        <v>11</v>
      </c>
      <c r="E953" s="6">
        <v>550.79872328364945</v>
      </c>
      <c r="F953" s="33" t="str">
        <f t="shared" si="28"/>
        <v>Over 530</v>
      </c>
      <c r="G953" s="33">
        <f t="shared" si="29"/>
        <v>578.3386594478319</v>
      </c>
      <c r="H953" s="7">
        <v>0</v>
      </c>
      <c r="I953" s="5" t="s">
        <v>14</v>
      </c>
      <c r="J953" s="5">
        <v>42</v>
      </c>
      <c r="K953" s="2"/>
      <c r="L953" s="2"/>
      <c r="M953" s="1"/>
    </row>
    <row r="954" spans="1:13" ht="14.4" x14ac:dyDescent="0.3">
      <c r="A954" s="14">
        <v>44615</v>
      </c>
      <c r="B954" s="5">
        <v>1</v>
      </c>
      <c r="C954" s="32">
        <f>VLOOKUP(B954,'area in m2'!B$2:C$10,2,FALSE)</f>
        <v>280</v>
      </c>
      <c r="D954" s="5" t="s">
        <v>11</v>
      </c>
      <c r="E954" s="6">
        <v>533.80204097467413</v>
      </c>
      <c r="F954" s="33" t="str">
        <f t="shared" si="28"/>
        <v>Over 530</v>
      </c>
      <c r="G954" s="33">
        <f t="shared" si="29"/>
        <v>560.49214302340783</v>
      </c>
      <c r="H954" s="7">
        <v>0.01</v>
      </c>
      <c r="I954" s="5" t="s">
        <v>15</v>
      </c>
      <c r="J954" s="5">
        <v>22</v>
      </c>
      <c r="K954" s="2"/>
      <c r="L954" s="2"/>
      <c r="M954" s="1"/>
    </row>
    <row r="955" spans="1:13" ht="14.4" x14ac:dyDescent="0.3">
      <c r="A955" s="14">
        <v>44849</v>
      </c>
      <c r="B955" s="5">
        <v>1</v>
      </c>
      <c r="C955" s="32">
        <f>VLOOKUP(B955,'area in m2'!B$2:C$10,2,FALSE)</f>
        <v>280</v>
      </c>
      <c r="D955" s="5" t="s">
        <v>11</v>
      </c>
      <c r="E955" s="6">
        <v>533.41563548090835</v>
      </c>
      <c r="F955" s="33" t="str">
        <f t="shared" si="28"/>
        <v>Over 530</v>
      </c>
      <c r="G955" s="33">
        <f t="shared" si="29"/>
        <v>560.08641725495374</v>
      </c>
      <c r="H955" s="7">
        <v>0.01</v>
      </c>
      <c r="I955" s="5" t="s">
        <v>15</v>
      </c>
      <c r="J955" s="5">
        <v>43</v>
      </c>
      <c r="K955" s="2"/>
      <c r="L955" s="2"/>
      <c r="M955" s="1"/>
    </row>
    <row r="956" spans="1:13" ht="14.4" x14ac:dyDescent="0.3">
      <c r="A956" s="14">
        <v>44779</v>
      </c>
      <c r="B956" s="5">
        <v>7</v>
      </c>
      <c r="C956" s="32">
        <f>VLOOKUP(B956,'area in m2'!B$2:C$10,2,FALSE)</f>
        <v>166</v>
      </c>
      <c r="D956" s="5" t="s">
        <v>12</v>
      </c>
      <c r="E956" s="6">
        <v>519.49839297701783</v>
      </c>
      <c r="F956" s="33" t="str">
        <f t="shared" si="28"/>
        <v>Below 530</v>
      </c>
      <c r="G956" s="33">
        <f t="shared" si="29"/>
        <v>545.47331262586874</v>
      </c>
      <c r="H956" s="7">
        <v>0</v>
      </c>
      <c r="I956" s="5" t="s">
        <v>14</v>
      </c>
      <c r="J956" s="5">
        <v>24</v>
      </c>
      <c r="K956" s="2"/>
      <c r="L956" s="2"/>
      <c r="M956" s="1"/>
    </row>
    <row r="957" spans="1:13" ht="14.4" x14ac:dyDescent="0.3">
      <c r="A957" s="14">
        <v>44621</v>
      </c>
      <c r="B957" s="5">
        <v>1</v>
      </c>
      <c r="C957" s="32">
        <f>VLOOKUP(B957,'area in m2'!B$2:C$10,2,FALSE)</f>
        <v>280</v>
      </c>
      <c r="D957" s="5" t="s">
        <v>11</v>
      </c>
      <c r="E957" s="6">
        <v>532.18348706279994</v>
      </c>
      <c r="F957" s="33" t="str">
        <f t="shared" si="28"/>
        <v>Over 530</v>
      </c>
      <c r="G957" s="33">
        <f t="shared" si="29"/>
        <v>558.79266141593996</v>
      </c>
      <c r="H957" s="7">
        <v>0.03</v>
      </c>
      <c r="I957" s="5" t="s">
        <v>14</v>
      </c>
      <c r="J957" s="5">
        <v>28</v>
      </c>
      <c r="K957" s="2"/>
      <c r="L957" s="2"/>
      <c r="M957" s="1"/>
    </row>
    <row r="958" spans="1:13" ht="14.4" x14ac:dyDescent="0.3">
      <c r="A958" s="14">
        <v>44656</v>
      </c>
      <c r="B958" s="5">
        <v>6</v>
      </c>
      <c r="C958" s="32">
        <f>VLOOKUP(B958,'area in m2'!B$2:C$10,2,FALSE)</f>
        <v>175</v>
      </c>
      <c r="D958" s="5" t="s">
        <v>13</v>
      </c>
      <c r="E958" s="6">
        <v>500.58934638675237</v>
      </c>
      <c r="F958" s="33" t="str">
        <f t="shared" si="28"/>
        <v>Below 530</v>
      </c>
      <c r="G958" s="33">
        <f t="shared" si="29"/>
        <v>525.61881370609001</v>
      </c>
      <c r="H958" s="7">
        <v>0</v>
      </c>
      <c r="I958" s="5" t="s">
        <v>14</v>
      </c>
      <c r="J958" s="5">
        <v>44</v>
      </c>
      <c r="K958" s="2"/>
      <c r="L958" s="2"/>
      <c r="M958" s="1"/>
    </row>
    <row r="959" spans="1:13" ht="14.4" x14ac:dyDescent="0.3">
      <c r="A959" s="14">
        <v>44636</v>
      </c>
      <c r="B959" s="5">
        <v>2</v>
      </c>
      <c r="C959" s="32">
        <f>VLOOKUP(B959,'area in m2'!B$2:C$10,2,FALSE)</f>
        <v>250</v>
      </c>
      <c r="D959" s="5" t="s">
        <v>11</v>
      </c>
      <c r="E959" s="6">
        <v>547.5756384298893</v>
      </c>
      <c r="F959" s="33" t="str">
        <f t="shared" si="28"/>
        <v>Over 530</v>
      </c>
      <c r="G959" s="33">
        <f t="shared" si="29"/>
        <v>574.95442035138376</v>
      </c>
      <c r="H959" s="7">
        <v>0.02</v>
      </c>
      <c r="I959" s="5" t="s">
        <v>14</v>
      </c>
      <c r="J959" s="5">
        <v>42</v>
      </c>
      <c r="K959" s="2"/>
      <c r="L959" s="2"/>
      <c r="M959" s="1"/>
    </row>
    <row r="960" spans="1:13" ht="14.4" x14ac:dyDescent="0.3">
      <c r="A960" s="14">
        <v>44671</v>
      </c>
      <c r="B960" s="5">
        <v>5</v>
      </c>
      <c r="C960" s="32">
        <f>VLOOKUP(B960,'area in m2'!B$2:C$10,2,FALSE)</f>
        <v>200</v>
      </c>
      <c r="D960" s="5" t="s">
        <v>13</v>
      </c>
      <c r="E960" s="6">
        <v>543.15588830302295</v>
      </c>
      <c r="F960" s="33" t="str">
        <f t="shared" si="28"/>
        <v>Over 530</v>
      </c>
      <c r="G960" s="33">
        <f t="shared" si="29"/>
        <v>570.31368271817416</v>
      </c>
      <c r="H960" s="7">
        <v>0.02</v>
      </c>
      <c r="I960" s="5" t="s">
        <v>14</v>
      </c>
      <c r="J960" s="5">
        <v>24</v>
      </c>
      <c r="K960" s="2"/>
      <c r="L960" s="2"/>
      <c r="M960" s="1"/>
    </row>
    <row r="961" spans="1:13" ht="14.4" x14ac:dyDescent="0.3">
      <c r="A961" s="14">
        <v>44590</v>
      </c>
      <c r="B961" s="5">
        <v>7</v>
      </c>
      <c r="C961" s="32">
        <f>VLOOKUP(B961,'area in m2'!B$2:C$10,2,FALSE)</f>
        <v>166</v>
      </c>
      <c r="D961" s="5" t="s">
        <v>12</v>
      </c>
      <c r="E961" s="6">
        <v>541.8656881497036</v>
      </c>
      <c r="F961" s="33" t="str">
        <f t="shared" si="28"/>
        <v>Over 530</v>
      </c>
      <c r="G961" s="33">
        <f t="shared" si="29"/>
        <v>568.95897255718876</v>
      </c>
      <c r="H961" s="7">
        <v>0</v>
      </c>
      <c r="I961" s="5" t="s">
        <v>14</v>
      </c>
      <c r="J961" s="5">
        <v>36</v>
      </c>
      <c r="K961" s="2"/>
      <c r="L961" s="2"/>
      <c r="M961" s="1"/>
    </row>
    <row r="962" spans="1:13" ht="14.4" x14ac:dyDescent="0.3">
      <c r="A962" s="14">
        <v>44640</v>
      </c>
      <c r="B962" s="5">
        <v>5</v>
      </c>
      <c r="C962" s="32">
        <f>VLOOKUP(B962,'area in m2'!B$2:C$10,2,FALSE)</f>
        <v>200</v>
      </c>
      <c r="D962" s="5" t="s">
        <v>13</v>
      </c>
      <c r="E962" s="6">
        <v>544.59221482068278</v>
      </c>
      <c r="F962" s="33" t="str">
        <f t="shared" si="28"/>
        <v>Over 530</v>
      </c>
      <c r="G962" s="33">
        <f t="shared" si="29"/>
        <v>571.82182556171699</v>
      </c>
      <c r="H962" s="7">
        <v>0</v>
      </c>
      <c r="I962" s="5" t="s">
        <v>15</v>
      </c>
      <c r="J962" s="5">
        <v>27</v>
      </c>
      <c r="K962" s="2"/>
      <c r="L962" s="2"/>
      <c r="M962" s="1"/>
    </row>
    <row r="963" spans="1:13" ht="14.4" x14ac:dyDescent="0.3">
      <c r="A963" s="14">
        <v>44590</v>
      </c>
      <c r="B963" s="5">
        <v>9</v>
      </c>
      <c r="C963" s="32">
        <f>VLOOKUP(B963,'area in m2'!B$2:C$10,2,FALSE)</f>
        <v>140</v>
      </c>
      <c r="D963" s="5" t="s">
        <v>12</v>
      </c>
      <c r="E963" s="6">
        <v>525.84894797417746</v>
      </c>
      <c r="F963" s="33" t="str">
        <f t="shared" si="28"/>
        <v>Below 530</v>
      </c>
      <c r="G963" s="33">
        <f t="shared" si="29"/>
        <v>552.14139537288634</v>
      </c>
      <c r="H963" s="7">
        <v>0</v>
      </c>
      <c r="I963" s="5" t="s">
        <v>14</v>
      </c>
      <c r="J963" s="5">
        <v>44</v>
      </c>
      <c r="K963" s="2"/>
      <c r="L963" s="2"/>
      <c r="M963" s="1"/>
    </row>
    <row r="964" spans="1:13" ht="14.4" x14ac:dyDescent="0.3">
      <c r="A964" s="14">
        <v>44678</v>
      </c>
      <c r="B964" s="5">
        <v>3</v>
      </c>
      <c r="C964" s="32">
        <f>VLOOKUP(B964,'area in m2'!B$2:C$10,2,FALSE)</f>
        <v>195</v>
      </c>
      <c r="D964" s="5" t="s">
        <v>11</v>
      </c>
      <c r="E964" s="6">
        <v>546.74455128237059</v>
      </c>
      <c r="F964" s="33" t="str">
        <f t="shared" si="28"/>
        <v>Over 530</v>
      </c>
      <c r="G964" s="33">
        <f t="shared" si="29"/>
        <v>574.0817788464891</v>
      </c>
      <c r="H964" s="7">
        <v>0.02</v>
      </c>
      <c r="I964" s="5" t="s">
        <v>14</v>
      </c>
      <c r="J964" s="5">
        <v>34</v>
      </c>
      <c r="K964" s="2"/>
      <c r="L964" s="2"/>
      <c r="M964" s="1"/>
    </row>
    <row r="965" spans="1:13" ht="14.4" x14ac:dyDescent="0.3">
      <c r="A965" s="14">
        <v>44587</v>
      </c>
      <c r="B965" s="5">
        <v>4</v>
      </c>
      <c r="C965" s="32">
        <f>VLOOKUP(B965,'area in m2'!B$2:C$10,2,FALSE)</f>
        <v>188</v>
      </c>
      <c r="D965" s="5" t="s">
        <v>11</v>
      </c>
      <c r="E965" s="6">
        <v>537.87931157309049</v>
      </c>
      <c r="F965" s="33" t="str">
        <f t="shared" ref="F965:F1028" si="30">IF(E965&gt;530,"Over 530","Below 530")</f>
        <v>Over 530</v>
      </c>
      <c r="G965" s="33">
        <f t="shared" ref="G965:G1028" si="31">+E965*1.05</f>
        <v>564.77327715174499</v>
      </c>
      <c r="H965" s="7">
        <v>0.03</v>
      </c>
      <c r="I965" s="5" t="s">
        <v>15</v>
      </c>
      <c r="J965" s="5">
        <v>32</v>
      </c>
      <c r="K965" s="2"/>
      <c r="L965" s="2"/>
      <c r="M965" s="1"/>
    </row>
    <row r="966" spans="1:13" ht="14.4" x14ac:dyDescent="0.3">
      <c r="A966" s="14">
        <v>44756</v>
      </c>
      <c r="B966" s="5">
        <v>8</v>
      </c>
      <c r="C966" s="32">
        <f>VLOOKUP(B966,'area in m2'!B$2:C$10,2,FALSE)</f>
        <v>142</v>
      </c>
      <c r="D966" s="5" t="s">
        <v>12</v>
      </c>
      <c r="E966" s="6">
        <v>520.34664399272015</v>
      </c>
      <c r="F966" s="33" t="str">
        <f t="shared" si="30"/>
        <v>Below 530</v>
      </c>
      <c r="G966" s="33">
        <f t="shared" si="31"/>
        <v>546.36397619235618</v>
      </c>
      <c r="H966" s="7">
        <v>0.02</v>
      </c>
      <c r="I966" s="5" t="s">
        <v>14</v>
      </c>
      <c r="J966" s="5">
        <v>34</v>
      </c>
      <c r="K966" s="2"/>
      <c r="L966" s="2"/>
      <c r="M966" s="1"/>
    </row>
    <row r="967" spans="1:13" ht="14.4" x14ac:dyDescent="0.3">
      <c r="A967" s="14">
        <v>44623</v>
      </c>
      <c r="B967" s="5">
        <v>8</v>
      </c>
      <c r="C967" s="32">
        <f>VLOOKUP(B967,'area in m2'!B$2:C$10,2,FALSE)</f>
        <v>142</v>
      </c>
      <c r="D967" s="5" t="s">
        <v>11</v>
      </c>
      <c r="E967" s="6">
        <v>528.64331172710627</v>
      </c>
      <c r="F967" s="33" t="str">
        <f t="shared" si="30"/>
        <v>Below 530</v>
      </c>
      <c r="G967" s="33">
        <f t="shared" si="31"/>
        <v>555.07547731346165</v>
      </c>
      <c r="H967" s="7">
        <v>0.03</v>
      </c>
      <c r="I967" s="5" t="s">
        <v>15</v>
      </c>
      <c r="J967" s="5">
        <v>56</v>
      </c>
      <c r="K967" s="2"/>
      <c r="L967" s="2"/>
      <c r="M967" s="1"/>
    </row>
    <row r="968" spans="1:13" ht="14.4" x14ac:dyDescent="0.3">
      <c r="A968" s="14">
        <v>44916</v>
      </c>
      <c r="B968" s="5">
        <v>2</v>
      </c>
      <c r="C968" s="32">
        <f>VLOOKUP(B968,'area in m2'!B$2:C$10,2,FALSE)</f>
        <v>250</v>
      </c>
      <c r="D968" s="5" t="s">
        <v>11</v>
      </c>
      <c r="E968" s="6">
        <v>545.13281521069621</v>
      </c>
      <c r="F968" s="33" t="str">
        <f t="shared" si="30"/>
        <v>Over 530</v>
      </c>
      <c r="G968" s="33">
        <f t="shared" si="31"/>
        <v>572.38945597123109</v>
      </c>
      <c r="H968" s="7">
        <v>0.01</v>
      </c>
      <c r="I968" s="5" t="s">
        <v>14</v>
      </c>
      <c r="J968" s="5">
        <v>39</v>
      </c>
      <c r="K968" s="2"/>
      <c r="L968" s="2"/>
      <c r="M968" s="1"/>
    </row>
    <row r="969" spans="1:13" ht="14.4" x14ac:dyDescent="0.3">
      <c r="A969" s="14">
        <v>44898</v>
      </c>
      <c r="B969" s="5">
        <v>8</v>
      </c>
      <c r="C969" s="32">
        <f>VLOOKUP(B969,'area in m2'!B$2:C$10,2,FALSE)</f>
        <v>142</v>
      </c>
      <c r="D969" s="5" t="s">
        <v>12</v>
      </c>
      <c r="E969" s="6">
        <v>501.85505379160622</v>
      </c>
      <c r="F969" s="33" t="str">
        <f t="shared" si="30"/>
        <v>Below 530</v>
      </c>
      <c r="G969" s="33">
        <f t="shared" si="31"/>
        <v>526.9478064811866</v>
      </c>
      <c r="H969" s="7">
        <v>0.03</v>
      </c>
      <c r="I969" s="5" t="s">
        <v>14</v>
      </c>
      <c r="J969" s="5">
        <v>32</v>
      </c>
      <c r="K969" s="2"/>
      <c r="L969" s="2"/>
      <c r="M969" s="1"/>
    </row>
    <row r="970" spans="1:13" ht="14.4" x14ac:dyDescent="0.3">
      <c r="A970" s="14">
        <v>44826</v>
      </c>
      <c r="B970" s="5">
        <v>3</v>
      </c>
      <c r="C970" s="32">
        <f>VLOOKUP(B970,'area in m2'!B$2:C$10,2,FALSE)</f>
        <v>195</v>
      </c>
      <c r="D970" s="5" t="s">
        <v>11</v>
      </c>
      <c r="E970" s="6">
        <v>505.34398897957453</v>
      </c>
      <c r="F970" s="33" t="str">
        <f t="shared" si="30"/>
        <v>Below 530</v>
      </c>
      <c r="G970" s="33">
        <f t="shared" si="31"/>
        <v>530.61118842855331</v>
      </c>
      <c r="H970" s="7">
        <v>0.03</v>
      </c>
      <c r="I970" s="5" t="s">
        <v>15</v>
      </c>
      <c r="J970" s="5">
        <v>25</v>
      </c>
      <c r="K970" s="2"/>
      <c r="L970" s="2"/>
      <c r="M970" s="1"/>
    </row>
    <row r="971" spans="1:13" ht="14.4" x14ac:dyDescent="0.3">
      <c r="A971" s="14">
        <v>44794</v>
      </c>
      <c r="B971" s="5">
        <v>3</v>
      </c>
      <c r="C971" s="32">
        <f>VLOOKUP(B971,'area in m2'!B$2:C$10,2,FALSE)</f>
        <v>195</v>
      </c>
      <c r="D971" s="5" t="s">
        <v>11</v>
      </c>
      <c r="E971" s="6">
        <v>545.92369180967034</v>
      </c>
      <c r="F971" s="33" t="str">
        <f t="shared" si="30"/>
        <v>Over 530</v>
      </c>
      <c r="G971" s="33">
        <f t="shared" si="31"/>
        <v>573.21987640015391</v>
      </c>
      <c r="H971" s="7">
        <v>0.01</v>
      </c>
      <c r="I971" s="5" t="s">
        <v>14</v>
      </c>
      <c r="J971" s="5">
        <v>28</v>
      </c>
      <c r="K971" s="2"/>
      <c r="L971" s="2"/>
      <c r="M971" s="1"/>
    </row>
    <row r="972" spans="1:13" ht="14.4" x14ac:dyDescent="0.3">
      <c r="A972" s="14">
        <v>44673</v>
      </c>
      <c r="B972" s="5">
        <v>4</v>
      </c>
      <c r="C972" s="32">
        <f>VLOOKUP(B972,'area in m2'!B$2:C$10,2,FALSE)</f>
        <v>188</v>
      </c>
      <c r="D972" s="5" t="s">
        <v>11</v>
      </c>
      <c r="E972" s="6">
        <v>528.10214571438337</v>
      </c>
      <c r="F972" s="33" t="str">
        <f t="shared" si="30"/>
        <v>Below 530</v>
      </c>
      <c r="G972" s="33">
        <f t="shared" si="31"/>
        <v>554.50725300010254</v>
      </c>
      <c r="H972" s="7">
        <v>0.02</v>
      </c>
      <c r="I972" s="5" t="s">
        <v>14</v>
      </c>
      <c r="J972" s="5">
        <v>24</v>
      </c>
      <c r="K972" s="2"/>
      <c r="L972" s="2"/>
      <c r="M972" s="1"/>
    </row>
    <row r="973" spans="1:13" ht="14.4" x14ac:dyDescent="0.3">
      <c r="A973" s="14">
        <v>44742</v>
      </c>
      <c r="B973" s="5">
        <v>6</v>
      </c>
      <c r="C973" s="32">
        <f>VLOOKUP(B973,'area in m2'!B$2:C$10,2,FALSE)</f>
        <v>175</v>
      </c>
      <c r="D973" s="5" t="s">
        <v>13</v>
      </c>
      <c r="E973" s="6">
        <v>519.57871888172485</v>
      </c>
      <c r="F973" s="33" t="str">
        <f t="shared" si="30"/>
        <v>Below 530</v>
      </c>
      <c r="G973" s="33">
        <f t="shared" si="31"/>
        <v>545.55765482581114</v>
      </c>
      <c r="H973" s="7">
        <v>0.03</v>
      </c>
      <c r="I973" s="5" t="s">
        <v>15</v>
      </c>
      <c r="J973" s="5">
        <v>22</v>
      </c>
      <c r="K973" s="2"/>
      <c r="L973" s="2"/>
      <c r="M973" s="1"/>
    </row>
    <row r="974" spans="1:13" ht="14.4" x14ac:dyDescent="0.3">
      <c r="A974" s="14">
        <v>44786</v>
      </c>
      <c r="B974" s="5">
        <v>8</v>
      </c>
      <c r="C974" s="32">
        <f>VLOOKUP(B974,'area in m2'!B$2:C$10,2,FALSE)</f>
        <v>142</v>
      </c>
      <c r="D974" s="5" t="s">
        <v>12</v>
      </c>
      <c r="E974" s="6">
        <v>548.96938507606683</v>
      </c>
      <c r="F974" s="33" t="str">
        <f t="shared" si="30"/>
        <v>Over 530</v>
      </c>
      <c r="G974" s="33">
        <f t="shared" si="31"/>
        <v>576.41785432987024</v>
      </c>
      <c r="H974" s="7">
        <v>0</v>
      </c>
      <c r="I974" s="5" t="s">
        <v>14</v>
      </c>
      <c r="J974" s="5">
        <v>29</v>
      </c>
      <c r="K974" s="2"/>
      <c r="L974" s="2"/>
      <c r="M974" s="1"/>
    </row>
    <row r="975" spans="1:13" ht="14.4" x14ac:dyDescent="0.3">
      <c r="A975" s="14">
        <v>44654</v>
      </c>
      <c r="B975" s="5">
        <v>4</v>
      </c>
      <c r="C975" s="32">
        <f>VLOOKUP(B975,'area in m2'!B$2:C$10,2,FALSE)</f>
        <v>188</v>
      </c>
      <c r="D975" s="5" t="s">
        <v>11</v>
      </c>
      <c r="E975" s="6">
        <v>543.61770871326735</v>
      </c>
      <c r="F975" s="33" t="str">
        <f t="shared" si="30"/>
        <v>Over 530</v>
      </c>
      <c r="G975" s="33">
        <f t="shared" si="31"/>
        <v>570.79859414893076</v>
      </c>
      <c r="H975" s="7">
        <v>0.02</v>
      </c>
      <c r="I975" s="5" t="s">
        <v>15</v>
      </c>
      <c r="J975" s="5">
        <v>50</v>
      </c>
      <c r="K975" s="2"/>
      <c r="L975" s="2"/>
      <c r="M975" s="1"/>
    </row>
    <row r="976" spans="1:13" ht="14.4" x14ac:dyDescent="0.3">
      <c r="A976" s="14">
        <v>44821</v>
      </c>
      <c r="B976" s="5">
        <v>6</v>
      </c>
      <c r="C976" s="32">
        <f>VLOOKUP(B976,'area in m2'!B$2:C$10,2,FALSE)</f>
        <v>175</v>
      </c>
      <c r="D976" s="5" t="s">
        <v>13</v>
      </c>
      <c r="E976" s="6">
        <v>519.40596827341324</v>
      </c>
      <c r="F976" s="33" t="str">
        <f t="shared" si="30"/>
        <v>Below 530</v>
      </c>
      <c r="G976" s="33">
        <f t="shared" si="31"/>
        <v>545.3762666870839</v>
      </c>
      <c r="H976" s="7">
        <v>0</v>
      </c>
      <c r="I976" s="5" t="s">
        <v>14</v>
      </c>
      <c r="J976" s="5">
        <v>45</v>
      </c>
      <c r="K976" s="2"/>
      <c r="L976" s="2"/>
      <c r="M976" s="1"/>
    </row>
    <row r="977" spans="1:13" ht="14.4" x14ac:dyDescent="0.3">
      <c r="A977" s="14">
        <v>44808</v>
      </c>
      <c r="B977" s="5">
        <v>5</v>
      </c>
      <c r="C977" s="32">
        <f>VLOOKUP(B977,'area in m2'!B$2:C$10,2,FALSE)</f>
        <v>200</v>
      </c>
      <c r="D977" s="5" t="s">
        <v>13</v>
      </c>
      <c r="E977" s="6">
        <v>519.70393955989039</v>
      </c>
      <c r="F977" s="33" t="str">
        <f t="shared" si="30"/>
        <v>Below 530</v>
      </c>
      <c r="G977" s="33">
        <f t="shared" si="31"/>
        <v>545.68913653788491</v>
      </c>
      <c r="H977" s="7">
        <v>0</v>
      </c>
      <c r="I977" s="5" t="s">
        <v>14</v>
      </c>
      <c r="J977" s="5">
        <v>38</v>
      </c>
      <c r="K977" s="2"/>
      <c r="L977" s="2"/>
      <c r="M977" s="1"/>
    </row>
    <row r="978" spans="1:13" ht="14.4" x14ac:dyDescent="0.3">
      <c r="A978" s="14">
        <v>44840</v>
      </c>
      <c r="B978" s="5">
        <v>6</v>
      </c>
      <c r="C978" s="32">
        <f>VLOOKUP(B978,'area in m2'!B$2:C$10,2,FALSE)</f>
        <v>175</v>
      </c>
      <c r="D978" s="5" t="s">
        <v>13</v>
      </c>
      <c r="E978" s="6">
        <v>518.81909754882872</v>
      </c>
      <c r="F978" s="33" t="str">
        <f t="shared" si="30"/>
        <v>Below 530</v>
      </c>
      <c r="G978" s="33">
        <f t="shared" si="31"/>
        <v>544.76005242627014</v>
      </c>
      <c r="H978" s="7">
        <v>0</v>
      </c>
      <c r="I978" s="5" t="s">
        <v>14</v>
      </c>
      <c r="J978" s="5">
        <v>29</v>
      </c>
      <c r="K978" s="2"/>
      <c r="L978" s="2"/>
      <c r="M978" s="1"/>
    </row>
    <row r="979" spans="1:13" ht="14.4" x14ac:dyDescent="0.3">
      <c r="A979" s="14">
        <v>44821</v>
      </c>
      <c r="B979" s="5">
        <v>4</v>
      </c>
      <c r="C979" s="32">
        <f>VLOOKUP(B979,'area in m2'!B$2:C$10,2,FALSE)</f>
        <v>188</v>
      </c>
      <c r="D979" s="5" t="s">
        <v>11</v>
      </c>
      <c r="E979" s="6">
        <v>543.82959986958485</v>
      </c>
      <c r="F979" s="33" t="str">
        <f t="shared" si="30"/>
        <v>Over 530</v>
      </c>
      <c r="G979" s="33">
        <f t="shared" si="31"/>
        <v>571.02107986306407</v>
      </c>
      <c r="H979" s="7">
        <v>0</v>
      </c>
      <c r="I979" s="5" t="s">
        <v>14</v>
      </c>
      <c r="J979" s="5">
        <v>36</v>
      </c>
      <c r="K979" s="2"/>
      <c r="L979" s="2"/>
      <c r="M979" s="1"/>
    </row>
    <row r="980" spans="1:13" ht="14.4" x14ac:dyDescent="0.3">
      <c r="A980" s="14">
        <v>44630</v>
      </c>
      <c r="B980" s="5">
        <v>2</v>
      </c>
      <c r="C980" s="32">
        <f>VLOOKUP(B980,'area in m2'!B$2:C$10,2,FALSE)</f>
        <v>250</v>
      </c>
      <c r="D980" s="5" t="s">
        <v>11</v>
      </c>
      <c r="E980" s="6">
        <v>534.10379151475354</v>
      </c>
      <c r="F980" s="33" t="str">
        <f t="shared" si="30"/>
        <v>Over 530</v>
      </c>
      <c r="G980" s="33">
        <f t="shared" si="31"/>
        <v>560.80898109049122</v>
      </c>
      <c r="H980" s="7">
        <v>0.03</v>
      </c>
      <c r="I980" s="5" t="s">
        <v>14</v>
      </c>
      <c r="J980" s="5">
        <v>53</v>
      </c>
      <c r="K980" s="2"/>
      <c r="L980" s="2"/>
      <c r="M980" s="1"/>
    </row>
    <row r="981" spans="1:13" ht="14.4" x14ac:dyDescent="0.3">
      <c r="A981" s="14">
        <v>44737</v>
      </c>
      <c r="B981" s="5">
        <v>5</v>
      </c>
      <c r="C981" s="32">
        <f>VLOOKUP(B981,'area in m2'!B$2:C$10,2,FALSE)</f>
        <v>200</v>
      </c>
      <c r="D981" s="5" t="s">
        <v>13</v>
      </c>
      <c r="E981" s="6">
        <v>521.1604828125146</v>
      </c>
      <c r="F981" s="33" t="str">
        <f t="shared" si="30"/>
        <v>Below 530</v>
      </c>
      <c r="G981" s="33">
        <f t="shared" si="31"/>
        <v>547.21850695314038</v>
      </c>
      <c r="H981" s="7">
        <v>0.03</v>
      </c>
      <c r="I981" s="5" t="s">
        <v>14</v>
      </c>
      <c r="J981" s="5">
        <v>37</v>
      </c>
      <c r="K981" s="2"/>
      <c r="L981" s="2"/>
      <c r="M981" s="1"/>
    </row>
    <row r="982" spans="1:13" ht="14.4" x14ac:dyDescent="0.3">
      <c r="A982" s="14">
        <v>44675</v>
      </c>
      <c r="B982" s="5">
        <v>6</v>
      </c>
      <c r="C982" s="32">
        <f>VLOOKUP(B982,'area in m2'!B$2:C$10,2,FALSE)</f>
        <v>175</v>
      </c>
      <c r="D982" s="5" t="s">
        <v>13</v>
      </c>
      <c r="E982" s="6">
        <v>527.06159043687057</v>
      </c>
      <c r="F982" s="33" t="str">
        <f t="shared" si="30"/>
        <v>Below 530</v>
      </c>
      <c r="G982" s="33">
        <f t="shared" si="31"/>
        <v>553.41466995871417</v>
      </c>
      <c r="H982" s="7">
        <v>0.02</v>
      </c>
      <c r="I982" s="5" t="s">
        <v>14</v>
      </c>
      <c r="J982" s="5">
        <v>41</v>
      </c>
      <c r="K982" s="2"/>
      <c r="L982" s="2"/>
      <c r="M982" s="1"/>
    </row>
    <row r="983" spans="1:13" ht="14.4" x14ac:dyDescent="0.3">
      <c r="A983" s="14">
        <v>44853</v>
      </c>
      <c r="B983" s="5">
        <v>2</v>
      </c>
      <c r="C983" s="32">
        <f>VLOOKUP(B983,'area in m2'!B$2:C$10,2,FALSE)</f>
        <v>250</v>
      </c>
      <c r="D983" s="5" t="s">
        <v>11</v>
      </c>
      <c r="E983" s="6">
        <v>511.5940510449318</v>
      </c>
      <c r="F983" s="33" t="str">
        <f t="shared" si="30"/>
        <v>Below 530</v>
      </c>
      <c r="G983" s="33">
        <f t="shared" si="31"/>
        <v>537.17375359717846</v>
      </c>
      <c r="H983" s="7">
        <v>0.02</v>
      </c>
      <c r="I983" s="5" t="s">
        <v>14</v>
      </c>
      <c r="J983" s="5">
        <v>49</v>
      </c>
      <c r="K983" s="2"/>
      <c r="L983" s="2"/>
      <c r="M983" s="1"/>
    </row>
    <row r="984" spans="1:13" ht="14.4" x14ac:dyDescent="0.3">
      <c r="A984" s="14">
        <v>44621</v>
      </c>
      <c r="B984" s="5">
        <v>2</v>
      </c>
      <c r="C984" s="32">
        <f>VLOOKUP(B984,'area in m2'!B$2:C$10,2,FALSE)</f>
        <v>250</v>
      </c>
      <c r="D984" s="5" t="s">
        <v>11</v>
      </c>
      <c r="E984" s="6">
        <v>512.63358462888027</v>
      </c>
      <c r="F984" s="33" t="str">
        <f t="shared" si="30"/>
        <v>Below 530</v>
      </c>
      <c r="G984" s="33">
        <f t="shared" si="31"/>
        <v>538.26526386032435</v>
      </c>
      <c r="H984" s="7">
        <v>0.03</v>
      </c>
      <c r="I984" s="5" t="s">
        <v>14</v>
      </c>
      <c r="J984" s="5">
        <v>43</v>
      </c>
      <c r="K984" s="2"/>
      <c r="L984" s="2"/>
      <c r="M984" s="1"/>
    </row>
    <row r="985" spans="1:13" ht="14.4" x14ac:dyDescent="0.3">
      <c r="A985" s="14">
        <v>44877</v>
      </c>
      <c r="B985" s="5">
        <v>1</v>
      </c>
      <c r="C985" s="32">
        <f>VLOOKUP(B985,'area in m2'!B$2:C$10,2,FALSE)</f>
        <v>280</v>
      </c>
      <c r="D985" s="5" t="s">
        <v>11</v>
      </c>
      <c r="E985" s="6">
        <v>549.76308945854362</v>
      </c>
      <c r="F985" s="33" t="str">
        <f t="shared" si="30"/>
        <v>Over 530</v>
      </c>
      <c r="G985" s="33">
        <f t="shared" si="31"/>
        <v>577.25124393147087</v>
      </c>
      <c r="H985" s="7">
        <v>0.03</v>
      </c>
      <c r="I985" s="5" t="s">
        <v>14</v>
      </c>
      <c r="J985" s="5">
        <v>31</v>
      </c>
      <c r="K985" s="2"/>
      <c r="L985" s="2"/>
      <c r="M985" s="1"/>
    </row>
    <row r="986" spans="1:13" ht="14.4" x14ac:dyDescent="0.3">
      <c r="A986" s="14">
        <v>44772</v>
      </c>
      <c r="B986" s="5">
        <v>5</v>
      </c>
      <c r="C986" s="32">
        <f>VLOOKUP(B986,'area in m2'!B$2:C$10,2,FALSE)</f>
        <v>200</v>
      </c>
      <c r="D986" s="5" t="s">
        <v>13</v>
      </c>
      <c r="E986" s="6">
        <v>534.1992230317237</v>
      </c>
      <c r="F986" s="33" t="str">
        <f t="shared" si="30"/>
        <v>Over 530</v>
      </c>
      <c r="G986" s="33">
        <f t="shared" si="31"/>
        <v>560.90918418330989</v>
      </c>
      <c r="H986" s="7">
        <v>0.03</v>
      </c>
      <c r="I986" s="5" t="s">
        <v>15</v>
      </c>
      <c r="J986" s="5">
        <v>22</v>
      </c>
      <c r="K986" s="2"/>
      <c r="L986" s="2"/>
      <c r="M986" s="1"/>
    </row>
    <row r="987" spans="1:13" ht="14.4" x14ac:dyDescent="0.3">
      <c r="A987" s="14">
        <v>44781</v>
      </c>
      <c r="B987" s="5">
        <v>5</v>
      </c>
      <c r="C987" s="32">
        <f>VLOOKUP(B987,'area in m2'!B$2:C$10,2,FALSE)</f>
        <v>200</v>
      </c>
      <c r="D987" s="5" t="s">
        <v>13</v>
      </c>
      <c r="E987" s="6">
        <v>549.20835153889493</v>
      </c>
      <c r="F987" s="33" t="str">
        <f t="shared" si="30"/>
        <v>Over 530</v>
      </c>
      <c r="G987" s="33">
        <f t="shared" si="31"/>
        <v>576.66876911583972</v>
      </c>
      <c r="H987" s="7">
        <v>0.02</v>
      </c>
      <c r="I987" s="5" t="s">
        <v>14</v>
      </c>
      <c r="J987" s="5">
        <v>50</v>
      </c>
      <c r="K987" s="2"/>
      <c r="L987" s="2"/>
      <c r="M987" s="1"/>
    </row>
    <row r="988" spans="1:13" ht="14.4" x14ac:dyDescent="0.3">
      <c r="A988" s="14">
        <v>44669</v>
      </c>
      <c r="B988" s="5">
        <v>3</v>
      </c>
      <c r="C988" s="32">
        <f>VLOOKUP(B988,'area in m2'!B$2:C$10,2,FALSE)</f>
        <v>195</v>
      </c>
      <c r="D988" s="5" t="s">
        <v>11</v>
      </c>
      <c r="E988" s="6">
        <v>527.24257247683363</v>
      </c>
      <c r="F988" s="33" t="str">
        <f t="shared" si="30"/>
        <v>Below 530</v>
      </c>
      <c r="G988" s="33">
        <f t="shared" si="31"/>
        <v>553.60470110067536</v>
      </c>
      <c r="H988" s="7">
        <v>0.01</v>
      </c>
      <c r="I988" s="5" t="s">
        <v>14</v>
      </c>
      <c r="J988" s="5">
        <v>21</v>
      </c>
      <c r="K988" s="2"/>
      <c r="L988" s="2"/>
      <c r="M988" s="1"/>
    </row>
    <row r="989" spans="1:13" ht="14.4" x14ac:dyDescent="0.3">
      <c r="A989" s="14">
        <v>44743</v>
      </c>
      <c r="B989" s="5">
        <v>1</v>
      </c>
      <c r="C989" s="32">
        <f>VLOOKUP(B989,'area in m2'!B$2:C$10,2,FALSE)</f>
        <v>280</v>
      </c>
      <c r="D989" s="5" t="s">
        <v>11</v>
      </c>
      <c r="E989" s="6">
        <v>512.87874689810451</v>
      </c>
      <c r="F989" s="33" t="str">
        <f t="shared" si="30"/>
        <v>Below 530</v>
      </c>
      <c r="G989" s="33">
        <f t="shared" si="31"/>
        <v>538.52268424300973</v>
      </c>
      <c r="H989" s="7">
        <v>0.01</v>
      </c>
      <c r="I989" s="5" t="s">
        <v>15</v>
      </c>
      <c r="J989" s="5">
        <v>37</v>
      </c>
      <c r="K989" s="2"/>
      <c r="L989" s="2"/>
      <c r="M989" s="1"/>
    </row>
    <row r="990" spans="1:13" ht="14.4" x14ac:dyDescent="0.3">
      <c r="A990" s="14">
        <v>44882</v>
      </c>
      <c r="B990" s="5">
        <v>1</v>
      </c>
      <c r="C990" s="32">
        <f>VLOOKUP(B990,'area in m2'!B$2:C$10,2,FALSE)</f>
        <v>280</v>
      </c>
      <c r="D990" s="5" t="s">
        <v>11</v>
      </c>
      <c r="E990" s="6">
        <v>536.0870297490319</v>
      </c>
      <c r="F990" s="33" t="str">
        <f t="shared" si="30"/>
        <v>Over 530</v>
      </c>
      <c r="G990" s="33">
        <f t="shared" si="31"/>
        <v>562.89138123648354</v>
      </c>
      <c r="H990" s="7">
        <v>0.02</v>
      </c>
      <c r="I990" s="5" t="s">
        <v>14</v>
      </c>
      <c r="J990" s="5">
        <v>22</v>
      </c>
      <c r="K990" s="2"/>
      <c r="L990" s="2"/>
      <c r="M990" s="1"/>
    </row>
    <row r="991" spans="1:13" ht="14.4" x14ac:dyDescent="0.3">
      <c r="A991" s="14">
        <v>44842</v>
      </c>
      <c r="B991" s="5">
        <v>3</v>
      </c>
      <c r="C991" s="32">
        <f>VLOOKUP(B991,'area in m2'!B$2:C$10,2,FALSE)</f>
        <v>195</v>
      </c>
      <c r="D991" s="5" t="s">
        <v>11</v>
      </c>
      <c r="E991" s="6">
        <v>504.21342122448186</v>
      </c>
      <c r="F991" s="33" t="str">
        <f t="shared" si="30"/>
        <v>Below 530</v>
      </c>
      <c r="G991" s="33">
        <f t="shared" si="31"/>
        <v>529.42409228570602</v>
      </c>
      <c r="H991" s="7">
        <v>0.02</v>
      </c>
      <c r="I991" s="5" t="s">
        <v>14</v>
      </c>
      <c r="J991" s="5">
        <v>45</v>
      </c>
      <c r="K991" s="2"/>
      <c r="L991" s="2"/>
      <c r="M991" s="1"/>
    </row>
    <row r="992" spans="1:13" ht="14.4" x14ac:dyDescent="0.3">
      <c r="A992" s="14">
        <v>44595</v>
      </c>
      <c r="B992" s="5">
        <v>8</v>
      </c>
      <c r="C992" s="32">
        <f>VLOOKUP(B992,'area in m2'!B$2:C$10,2,FALSE)</f>
        <v>142</v>
      </c>
      <c r="D992" s="5" t="s">
        <v>12</v>
      </c>
      <c r="E992" s="6">
        <v>547.45072574154256</v>
      </c>
      <c r="F992" s="33" t="str">
        <f t="shared" si="30"/>
        <v>Over 530</v>
      </c>
      <c r="G992" s="33">
        <f t="shared" si="31"/>
        <v>574.82326202861975</v>
      </c>
      <c r="H992" s="7">
        <v>0</v>
      </c>
      <c r="I992" s="5" t="s">
        <v>14</v>
      </c>
      <c r="J992" s="5">
        <v>26</v>
      </c>
      <c r="K992" s="2"/>
      <c r="L992" s="2"/>
      <c r="M992" s="1"/>
    </row>
    <row r="993" spans="1:13" ht="14.4" x14ac:dyDescent="0.3">
      <c r="A993" s="14">
        <v>44759</v>
      </c>
      <c r="B993" s="5">
        <v>1</v>
      </c>
      <c r="C993" s="32">
        <f>VLOOKUP(B993,'area in m2'!B$2:C$10,2,FALSE)</f>
        <v>280</v>
      </c>
      <c r="D993" s="5" t="s">
        <v>11</v>
      </c>
      <c r="E993" s="6">
        <v>521.74015295040226</v>
      </c>
      <c r="F993" s="33" t="str">
        <f t="shared" si="30"/>
        <v>Below 530</v>
      </c>
      <c r="G993" s="33">
        <f t="shared" si="31"/>
        <v>547.82716059792244</v>
      </c>
      <c r="H993" s="7">
        <v>0.01</v>
      </c>
      <c r="I993" s="5" t="s">
        <v>14</v>
      </c>
      <c r="J993" s="5">
        <v>35</v>
      </c>
      <c r="K993" s="2"/>
      <c r="L993" s="2"/>
      <c r="M993" s="1"/>
    </row>
    <row r="994" spans="1:13" ht="14.4" x14ac:dyDescent="0.3">
      <c r="A994" s="14">
        <v>44915</v>
      </c>
      <c r="B994" s="5">
        <v>7</v>
      </c>
      <c r="C994" s="32">
        <f>VLOOKUP(B994,'area in m2'!B$2:C$10,2,FALSE)</f>
        <v>166</v>
      </c>
      <c r="D994" s="5" t="s">
        <v>12</v>
      </c>
      <c r="E994" s="6">
        <v>523.44593630831423</v>
      </c>
      <c r="F994" s="33" t="str">
        <f t="shared" si="30"/>
        <v>Below 530</v>
      </c>
      <c r="G994" s="33">
        <f t="shared" si="31"/>
        <v>549.61823312372996</v>
      </c>
      <c r="H994" s="7">
        <v>0.03</v>
      </c>
      <c r="I994" s="5" t="s">
        <v>15</v>
      </c>
      <c r="J994" s="5">
        <v>63</v>
      </c>
      <c r="K994" s="2"/>
      <c r="L994" s="2"/>
      <c r="M994" s="1"/>
    </row>
    <row r="995" spans="1:13" ht="14.4" x14ac:dyDescent="0.3">
      <c r="A995" s="14">
        <v>44694</v>
      </c>
      <c r="B995" s="5">
        <v>4</v>
      </c>
      <c r="C995" s="32">
        <f>VLOOKUP(B995,'area in m2'!B$2:C$10,2,FALSE)</f>
        <v>188</v>
      </c>
      <c r="D995" s="5" t="s">
        <v>11</v>
      </c>
      <c r="E995" s="6">
        <v>549.77318670776367</v>
      </c>
      <c r="F995" s="33" t="str">
        <f t="shared" si="30"/>
        <v>Over 530</v>
      </c>
      <c r="G995" s="33">
        <f t="shared" si="31"/>
        <v>577.26184604315188</v>
      </c>
      <c r="H995" s="7">
        <v>0.01</v>
      </c>
      <c r="I995" s="5" t="s">
        <v>15</v>
      </c>
      <c r="J995" s="5">
        <v>44</v>
      </c>
      <c r="K995" s="2"/>
      <c r="L995" s="2"/>
      <c r="M995" s="1"/>
    </row>
    <row r="996" spans="1:13" ht="14.4" x14ac:dyDescent="0.3">
      <c r="A996" s="14">
        <v>44675</v>
      </c>
      <c r="B996" s="5">
        <v>2</v>
      </c>
      <c r="C996" s="32">
        <f>VLOOKUP(B996,'area in m2'!B$2:C$10,2,FALSE)</f>
        <v>250</v>
      </c>
      <c r="D996" s="5" t="s">
        <v>11</v>
      </c>
      <c r="E996" s="6">
        <v>550.61827245193126</v>
      </c>
      <c r="F996" s="33" t="str">
        <f t="shared" si="30"/>
        <v>Over 530</v>
      </c>
      <c r="G996" s="33">
        <f t="shared" si="31"/>
        <v>578.14918607452785</v>
      </c>
      <c r="H996" s="7">
        <v>0.02</v>
      </c>
      <c r="I996" s="5" t="s">
        <v>14</v>
      </c>
      <c r="J996" s="5">
        <v>32</v>
      </c>
      <c r="K996" s="2"/>
      <c r="L996" s="2"/>
      <c r="M996" s="1"/>
    </row>
    <row r="997" spans="1:13" ht="14.4" x14ac:dyDescent="0.3">
      <c r="A997" s="14">
        <v>44629</v>
      </c>
      <c r="B997" s="5">
        <v>6</v>
      </c>
      <c r="C997" s="32">
        <f>VLOOKUP(B997,'area in m2'!B$2:C$10,2,FALSE)</f>
        <v>175</v>
      </c>
      <c r="D997" s="5" t="s">
        <v>13</v>
      </c>
      <c r="E997" s="6">
        <v>547.86158067207543</v>
      </c>
      <c r="F997" s="33" t="str">
        <f t="shared" si="30"/>
        <v>Over 530</v>
      </c>
      <c r="G997" s="33">
        <f t="shared" si="31"/>
        <v>575.25465970567927</v>
      </c>
      <c r="H997" s="7">
        <v>0.01</v>
      </c>
      <c r="I997" s="5" t="s">
        <v>14</v>
      </c>
      <c r="J997" s="5">
        <v>37</v>
      </c>
      <c r="K997" s="2"/>
      <c r="L997" s="2"/>
      <c r="M997" s="1"/>
    </row>
    <row r="998" spans="1:13" ht="14.4" x14ac:dyDescent="0.3">
      <c r="A998" s="14">
        <v>44731</v>
      </c>
      <c r="B998" s="5">
        <v>4</v>
      </c>
      <c r="C998" s="32">
        <f>VLOOKUP(B998,'area in m2'!B$2:C$10,2,FALSE)</f>
        <v>188</v>
      </c>
      <c r="D998" s="5" t="s">
        <v>11</v>
      </c>
      <c r="E998" s="6">
        <v>536.98263364990726</v>
      </c>
      <c r="F998" s="33" t="str">
        <f t="shared" si="30"/>
        <v>Over 530</v>
      </c>
      <c r="G998" s="33">
        <f t="shared" si="31"/>
        <v>563.8317653324026</v>
      </c>
      <c r="H998" s="7">
        <v>0</v>
      </c>
      <c r="I998" s="5" t="s">
        <v>14</v>
      </c>
      <c r="J998" s="5">
        <v>36</v>
      </c>
      <c r="K998" s="2"/>
      <c r="L998" s="2"/>
      <c r="M998" s="1"/>
    </row>
    <row r="999" spans="1:13" ht="14.4" x14ac:dyDescent="0.3">
      <c r="A999" s="14">
        <v>44597</v>
      </c>
      <c r="B999" s="5">
        <v>8</v>
      </c>
      <c r="C999" s="32">
        <f>VLOOKUP(B999,'area in m2'!B$2:C$10,2,FALSE)</f>
        <v>142</v>
      </c>
      <c r="D999" s="5" t="s">
        <v>12</v>
      </c>
      <c r="E999" s="6">
        <v>507.63806238481902</v>
      </c>
      <c r="F999" s="33" t="str">
        <f t="shared" si="30"/>
        <v>Below 530</v>
      </c>
      <c r="G999" s="33">
        <f t="shared" si="31"/>
        <v>533.01996550406</v>
      </c>
      <c r="H999" s="7">
        <v>0.02</v>
      </c>
      <c r="I999" s="5" t="s">
        <v>14</v>
      </c>
      <c r="J999" s="5">
        <v>41</v>
      </c>
      <c r="K999" s="2"/>
      <c r="L999" s="2"/>
      <c r="M999" s="1"/>
    </row>
    <row r="1000" spans="1:13" ht="14.4" x14ac:dyDescent="0.3">
      <c r="A1000" s="14">
        <v>44652</v>
      </c>
      <c r="B1000" s="5">
        <v>8</v>
      </c>
      <c r="C1000" s="32">
        <f>VLOOKUP(B1000,'area in m2'!B$2:C$10,2,FALSE)</f>
        <v>142</v>
      </c>
      <c r="D1000" s="5" t="s">
        <v>11</v>
      </c>
      <c r="E1000" s="6">
        <v>507.35532959317061</v>
      </c>
      <c r="F1000" s="33" t="str">
        <f t="shared" si="30"/>
        <v>Below 530</v>
      </c>
      <c r="G1000" s="33">
        <f t="shared" si="31"/>
        <v>532.72309607282921</v>
      </c>
      <c r="H1000" s="7">
        <v>0.02</v>
      </c>
      <c r="I1000" s="5" t="s">
        <v>15</v>
      </c>
      <c r="J1000" s="5">
        <v>32</v>
      </c>
      <c r="K1000" s="2"/>
      <c r="L1000" s="2"/>
      <c r="M1000" s="1"/>
    </row>
    <row r="1001" spans="1:13" ht="14.4" x14ac:dyDescent="0.3">
      <c r="A1001" s="14">
        <v>44897</v>
      </c>
      <c r="B1001" s="5">
        <v>5</v>
      </c>
      <c r="C1001" s="32">
        <f>VLOOKUP(B1001,'area in m2'!B$2:C$10,2,FALSE)</f>
        <v>200</v>
      </c>
      <c r="D1001" s="5" t="s">
        <v>13</v>
      </c>
      <c r="E1001" s="6">
        <v>513.89179535901076</v>
      </c>
      <c r="F1001" s="33" t="str">
        <f t="shared" si="30"/>
        <v>Below 530</v>
      </c>
      <c r="G1001" s="33">
        <f t="shared" si="31"/>
        <v>539.58638512696132</v>
      </c>
      <c r="H1001" s="7">
        <v>0</v>
      </c>
      <c r="I1001" s="5" t="s">
        <v>14</v>
      </c>
      <c r="J1001" s="5">
        <v>31</v>
      </c>
      <c r="K1001" s="2"/>
      <c r="L1001" s="2"/>
      <c r="M1001" s="1"/>
    </row>
    <row r="1002" spans="1:13" ht="14.4" x14ac:dyDescent="0.3">
      <c r="A1002" s="14">
        <v>44710</v>
      </c>
      <c r="B1002" s="5">
        <v>5</v>
      </c>
      <c r="C1002" s="32">
        <f>VLOOKUP(B1002,'area in m2'!B$2:C$10,2,FALSE)</f>
        <v>200</v>
      </c>
      <c r="D1002" s="5" t="s">
        <v>13</v>
      </c>
      <c r="E1002" s="6">
        <v>535.41912602169396</v>
      </c>
      <c r="F1002" s="33" t="str">
        <f t="shared" si="30"/>
        <v>Over 530</v>
      </c>
      <c r="G1002" s="33">
        <f t="shared" si="31"/>
        <v>562.19008232277872</v>
      </c>
      <c r="H1002" s="7">
        <v>0.02</v>
      </c>
      <c r="I1002" s="5" t="s">
        <v>14</v>
      </c>
      <c r="J1002" s="5">
        <v>34</v>
      </c>
      <c r="K1002" s="2"/>
      <c r="L1002" s="2"/>
      <c r="M1002" s="1"/>
    </row>
    <row r="1003" spans="1:13" ht="14.4" x14ac:dyDescent="0.3">
      <c r="A1003" s="14">
        <v>44581</v>
      </c>
      <c r="B1003" s="5">
        <v>3</v>
      </c>
      <c r="C1003" s="32">
        <f>VLOOKUP(B1003,'area in m2'!B$2:C$10,2,FALSE)</f>
        <v>195</v>
      </c>
      <c r="D1003" s="5" t="s">
        <v>11</v>
      </c>
      <c r="E1003" s="6">
        <v>534.98245184583175</v>
      </c>
      <c r="F1003" s="33" t="str">
        <f t="shared" si="30"/>
        <v>Over 530</v>
      </c>
      <c r="G1003" s="33">
        <f t="shared" si="31"/>
        <v>561.7315744381234</v>
      </c>
      <c r="H1003" s="7">
        <v>0</v>
      </c>
      <c r="I1003" s="5" t="s">
        <v>14</v>
      </c>
      <c r="J1003" s="5">
        <v>23</v>
      </c>
      <c r="K1003" s="2"/>
      <c r="L1003" s="2"/>
      <c r="M1003" s="1"/>
    </row>
    <row r="1004" spans="1:13" ht="14.4" x14ac:dyDescent="0.3">
      <c r="A1004" s="14">
        <v>44566</v>
      </c>
      <c r="B1004" s="5">
        <v>3</v>
      </c>
      <c r="C1004" s="32">
        <f>VLOOKUP(B1004,'area in m2'!B$2:C$10,2,FALSE)</f>
        <v>195</v>
      </c>
      <c r="D1004" s="5" t="s">
        <v>11</v>
      </c>
      <c r="E1004" s="6">
        <v>528.20233252862909</v>
      </c>
      <c r="F1004" s="33" t="str">
        <f t="shared" si="30"/>
        <v>Below 530</v>
      </c>
      <c r="G1004" s="33">
        <f t="shared" si="31"/>
        <v>554.61244915506052</v>
      </c>
      <c r="H1004" s="7">
        <v>0</v>
      </c>
      <c r="I1004" s="5" t="s">
        <v>14</v>
      </c>
      <c r="J1004" s="5">
        <v>31</v>
      </c>
      <c r="K1004" s="2"/>
      <c r="L1004" s="2"/>
      <c r="M1004" s="1"/>
    </row>
    <row r="1005" spans="1:13" ht="14.4" x14ac:dyDescent="0.3">
      <c r="A1005" s="14">
        <v>44881</v>
      </c>
      <c r="B1005" s="5">
        <v>5</v>
      </c>
      <c r="C1005" s="32">
        <f>VLOOKUP(B1005,'area in m2'!B$2:C$10,2,FALSE)</f>
        <v>200</v>
      </c>
      <c r="D1005" s="5" t="s">
        <v>13</v>
      </c>
      <c r="E1005" s="6">
        <v>530.51694370689256</v>
      </c>
      <c r="F1005" s="33" t="str">
        <f t="shared" si="30"/>
        <v>Over 530</v>
      </c>
      <c r="G1005" s="33">
        <f t="shared" si="31"/>
        <v>557.04279089223724</v>
      </c>
      <c r="H1005" s="7">
        <v>0.02</v>
      </c>
      <c r="I1005" s="5" t="s">
        <v>14</v>
      </c>
      <c r="J1005" s="5">
        <v>35</v>
      </c>
      <c r="K1005" s="2"/>
      <c r="L1005" s="2"/>
      <c r="M1005" s="1"/>
    </row>
    <row r="1006" spans="1:13" ht="14.4" x14ac:dyDescent="0.3">
      <c r="A1006" s="14">
        <v>44633</v>
      </c>
      <c r="B1006" s="5">
        <v>8</v>
      </c>
      <c r="C1006" s="32">
        <f>VLOOKUP(B1006,'area in m2'!B$2:C$10,2,FALSE)</f>
        <v>142</v>
      </c>
      <c r="D1006" s="5" t="s">
        <v>12</v>
      </c>
      <c r="E1006" s="6">
        <v>537.67637228290096</v>
      </c>
      <c r="F1006" s="33" t="str">
        <f t="shared" si="30"/>
        <v>Over 530</v>
      </c>
      <c r="G1006" s="33">
        <f t="shared" si="31"/>
        <v>564.56019089704603</v>
      </c>
      <c r="H1006" s="7">
        <v>0.03</v>
      </c>
      <c r="I1006" s="5" t="s">
        <v>14</v>
      </c>
      <c r="J1006" s="5">
        <v>36</v>
      </c>
      <c r="K1006" s="2"/>
      <c r="L1006" s="2"/>
      <c r="M1006" s="1"/>
    </row>
    <row r="1007" spans="1:13" ht="14.4" x14ac:dyDescent="0.3">
      <c r="A1007" s="14">
        <v>44813</v>
      </c>
      <c r="B1007" s="5">
        <v>1</v>
      </c>
      <c r="C1007" s="32">
        <f>VLOOKUP(B1007,'area in m2'!B$2:C$10,2,FALSE)</f>
        <v>280</v>
      </c>
      <c r="D1007" s="5" t="s">
        <v>11</v>
      </c>
      <c r="E1007" s="6">
        <v>502.51888274725661</v>
      </c>
      <c r="F1007" s="33" t="str">
        <f t="shared" si="30"/>
        <v>Below 530</v>
      </c>
      <c r="G1007" s="33">
        <f t="shared" si="31"/>
        <v>527.64482688461942</v>
      </c>
      <c r="H1007" s="7">
        <v>0.02</v>
      </c>
      <c r="I1007" s="5" t="s">
        <v>14</v>
      </c>
      <c r="J1007" s="5">
        <v>21</v>
      </c>
      <c r="K1007" s="2"/>
      <c r="L1007" s="2"/>
      <c r="M1007" s="1"/>
    </row>
    <row r="1008" spans="1:13" ht="14.4" x14ac:dyDescent="0.3">
      <c r="A1008" s="14">
        <v>44668</v>
      </c>
      <c r="B1008" s="5">
        <v>4</v>
      </c>
      <c r="C1008" s="32">
        <f>VLOOKUP(B1008,'area in m2'!B$2:C$10,2,FALSE)</f>
        <v>188</v>
      </c>
      <c r="D1008" s="5" t="s">
        <v>11</v>
      </c>
      <c r="E1008" s="6">
        <v>501.74359127935804</v>
      </c>
      <c r="F1008" s="33" t="str">
        <f t="shared" si="30"/>
        <v>Below 530</v>
      </c>
      <c r="G1008" s="33">
        <f t="shared" si="31"/>
        <v>526.83077084332592</v>
      </c>
      <c r="H1008" s="7">
        <v>0.01</v>
      </c>
      <c r="I1008" s="5" t="s">
        <v>15</v>
      </c>
      <c r="J1008" s="5">
        <v>26</v>
      </c>
      <c r="K1008" s="2"/>
      <c r="L1008" s="2"/>
      <c r="M1008" s="1"/>
    </row>
    <row r="1009" spans="1:13" ht="14.4" x14ac:dyDescent="0.3">
      <c r="A1009" s="14">
        <v>44770</v>
      </c>
      <c r="B1009" s="5">
        <v>3</v>
      </c>
      <c r="C1009" s="32">
        <f>VLOOKUP(B1009,'area in m2'!B$2:C$10,2,FALSE)</f>
        <v>195</v>
      </c>
      <c r="D1009" s="5" t="s">
        <v>11</v>
      </c>
      <c r="E1009" s="6">
        <v>539.78458585822955</v>
      </c>
      <c r="F1009" s="33" t="str">
        <f t="shared" si="30"/>
        <v>Over 530</v>
      </c>
      <c r="G1009" s="33">
        <f t="shared" si="31"/>
        <v>566.77381515114109</v>
      </c>
      <c r="H1009" s="7">
        <v>0.03</v>
      </c>
      <c r="I1009" s="5" t="s">
        <v>14</v>
      </c>
      <c r="J1009" s="5">
        <v>29</v>
      </c>
      <c r="K1009" s="2"/>
      <c r="L1009" s="2"/>
      <c r="M1009" s="1"/>
    </row>
    <row r="1010" spans="1:13" ht="14.4" x14ac:dyDescent="0.3">
      <c r="A1010" s="14">
        <v>44819</v>
      </c>
      <c r="B1010" s="5">
        <v>6</v>
      </c>
      <c r="C1010" s="32">
        <f>VLOOKUP(B1010,'area in m2'!B$2:C$10,2,FALSE)</f>
        <v>175</v>
      </c>
      <c r="D1010" s="5" t="s">
        <v>13</v>
      </c>
      <c r="E1010" s="6">
        <v>510.48858213303356</v>
      </c>
      <c r="F1010" s="33" t="str">
        <f t="shared" si="30"/>
        <v>Below 530</v>
      </c>
      <c r="G1010" s="33">
        <f t="shared" si="31"/>
        <v>536.01301123968528</v>
      </c>
      <c r="H1010" s="7">
        <v>0.02</v>
      </c>
      <c r="I1010" s="5" t="s">
        <v>15</v>
      </c>
      <c r="J1010" s="5">
        <v>50</v>
      </c>
      <c r="K1010" s="2"/>
      <c r="L1010" s="2"/>
      <c r="M1010" s="1"/>
    </row>
    <row r="1011" spans="1:13" ht="14.4" x14ac:dyDescent="0.3">
      <c r="A1011" s="14">
        <v>44888</v>
      </c>
      <c r="B1011" s="5">
        <v>3</v>
      </c>
      <c r="C1011" s="32">
        <f>VLOOKUP(B1011,'area in m2'!B$2:C$10,2,FALSE)</f>
        <v>195</v>
      </c>
      <c r="D1011" s="5" t="s">
        <v>11</v>
      </c>
      <c r="E1011" s="6">
        <v>509.27032159894134</v>
      </c>
      <c r="F1011" s="33" t="str">
        <f t="shared" si="30"/>
        <v>Below 530</v>
      </c>
      <c r="G1011" s="33">
        <f t="shared" si="31"/>
        <v>534.73383767888845</v>
      </c>
      <c r="H1011" s="7">
        <v>0.01</v>
      </c>
      <c r="I1011" s="5" t="s">
        <v>15</v>
      </c>
      <c r="J1011" s="5">
        <v>36</v>
      </c>
      <c r="K1011" s="2"/>
      <c r="L1011" s="2"/>
      <c r="M1011" s="1"/>
    </row>
    <row r="1012" spans="1:13" ht="14.4" x14ac:dyDescent="0.3">
      <c r="A1012" s="14">
        <v>44567</v>
      </c>
      <c r="B1012" s="5">
        <v>8</v>
      </c>
      <c r="C1012" s="32">
        <f>VLOOKUP(B1012,'area in m2'!B$2:C$10,2,FALSE)</f>
        <v>142</v>
      </c>
      <c r="D1012" s="5" t="s">
        <v>12</v>
      </c>
      <c r="E1012" s="6">
        <v>523.54025698518581</v>
      </c>
      <c r="F1012" s="33" t="str">
        <f t="shared" si="30"/>
        <v>Below 530</v>
      </c>
      <c r="G1012" s="33">
        <f t="shared" si="31"/>
        <v>549.71726983444512</v>
      </c>
      <c r="H1012" s="7">
        <v>0.01</v>
      </c>
      <c r="I1012" s="5" t="s">
        <v>14</v>
      </c>
      <c r="J1012" s="5">
        <v>45</v>
      </c>
      <c r="K1012" s="2"/>
      <c r="L1012" s="2"/>
      <c r="M1012" s="1"/>
    </row>
    <row r="1013" spans="1:13" ht="14.4" x14ac:dyDescent="0.3">
      <c r="A1013" s="14">
        <v>44673</v>
      </c>
      <c r="B1013" s="5">
        <v>7</v>
      </c>
      <c r="C1013" s="32">
        <f>VLOOKUP(B1013,'area in m2'!B$2:C$10,2,FALSE)</f>
        <v>166</v>
      </c>
      <c r="D1013" s="5" t="s">
        <v>12</v>
      </c>
      <c r="E1013" s="6">
        <v>528.22818340192862</v>
      </c>
      <c r="F1013" s="33" t="str">
        <f t="shared" si="30"/>
        <v>Below 530</v>
      </c>
      <c r="G1013" s="33">
        <f t="shared" si="31"/>
        <v>554.63959257202509</v>
      </c>
      <c r="H1013" s="7">
        <v>0.02</v>
      </c>
      <c r="I1013" s="5" t="s">
        <v>15</v>
      </c>
      <c r="J1013" s="5">
        <v>61</v>
      </c>
      <c r="K1013" s="2"/>
      <c r="L1013" s="2"/>
      <c r="M1013" s="1"/>
    </row>
    <row r="1014" spans="1:13" ht="14.4" x14ac:dyDescent="0.3">
      <c r="A1014" s="14">
        <v>44908</v>
      </c>
      <c r="B1014" s="5">
        <v>5</v>
      </c>
      <c r="C1014" s="32">
        <f>VLOOKUP(B1014,'area in m2'!B$2:C$10,2,FALSE)</f>
        <v>200</v>
      </c>
      <c r="D1014" s="5" t="s">
        <v>13</v>
      </c>
      <c r="E1014" s="6">
        <v>551.96</v>
      </c>
      <c r="F1014" s="33" t="str">
        <f t="shared" si="30"/>
        <v>Over 530</v>
      </c>
      <c r="G1014" s="33">
        <f t="shared" si="31"/>
        <v>579.55800000000011</v>
      </c>
      <c r="H1014" s="7">
        <v>0.03</v>
      </c>
      <c r="I1014" s="5" t="s">
        <v>14</v>
      </c>
      <c r="J1014" s="5">
        <v>37</v>
      </c>
      <c r="K1014" s="2"/>
      <c r="L1014" s="2"/>
      <c r="M1014" s="1"/>
    </row>
    <row r="1015" spans="1:13" ht="14.4" x14ac:dyDescent="0.3">
      <c r="A1015" s="14">
        <v>44608</v>
      </c>
      <c r="B1015" s="5">
        <v>3</v>
      </c>
      <c r="C1015" s="32">
        <f>VLOOKUP(B1015,'area in m2'!B$2:C$10,2,FALSE)</f>
        <v>195</v>
      </c>
      <c r="D1015" s="5" t="s">
        <v>11</v>
      </c>
      <c r="E1015" s="6">
        <v>517.05047594086227</v>
      </c>
      <c r="F1015" s="33" t="str">
        <f t="shared" si="30"/>
        <v>Below 530</v>
      </c>
      <c r="G1015" s="33">
        <f t="shared" si="31"/>
        <v>542.90299973790536</v>
      </c>
      <c r="H1015" s="7">
        <v>0</v>
      </c>
      <c r="I1015" s="5" t="s">
        <v>15</v>
      </c>
      <c r="J1015" s="5">
        <v>25</v>
      </c>
      <c r="K1015" s="2"/>
      <c r="L1015" s="2"/>
      <c r="M1015" s="1"/>
    </row>
    <row r="1016" spans="1:13" ht="14.4" x14ac:dyDescent="0.3">
      <c r="A1016" s="14">
        <v>44708</v>
      </c>
      <c r="B1016" s="5">
        <v>2</v>
      </c>
      <c r="C1016" s="32">
        <f>VLOOKUP(B1016,'area in m2'!B$2:C$10,2,FALSE)</f>
        <v>250</v>
      </c>
      <c r="D1016" s="5" t="s">
        <v>11</v>
      </c>
      <c r="E1016" s="6">
        <v>507.07983569034786</v>
      </c>
      <c r="F1016" s="33" t="str">
        <f t="shared" si="30"/>
        <v>Below 530</v>
      </c>
      <c r="G1016" s="33">
        <f t="shared" si="31"/>
        <v>532.43382747486532</v>
      </c>
      <c r="H1016" s="7">
        <v>0.02</v>
      </c>
      <c r="I1016" s="5" t="s">
        <v>14</v>
      </c>
      <c r="J1016" s="5">
        <v>39</v>
      </c>
      <c r="K1016" s="2"/>
      <c r="L1016" s="2"/>
      <c r="M1016" s="1"/>
    </row>
    <row r="1017" spans="1:13" ht="14.4" x14ac:dyDescent="0.3">
      <c r="A1017" s="14">
        <v>44594</v>
      </c>
      <c r="B1017" s="5">
        <v>6</v>
      </c>
      <c r="C1017" s="32">
        <f>VLOOKUP(B1017,'area in m2'!B$2:C$10,2,FALSE)</f>
        <v>175</v>
      </c>
      <c r="D1017" s="5" t="s">
        <v>13</v>
      </c>
      <c r="E1017" s="6">
        <v>505.16457390455344</v>
      </c>
      <c r="F1017" s="33" t="str">
        <f t="shared" si="30"/>
        <v>Below 530</v>
      </c>
      <c r="G1017" s="33">
        <f t="shared" si="31"/>
        <v>530.42280259978111</v>
      </c>
      <c r="H1017" s="7">
        <v>0</v>
      </c>
      <c r="I1017" s="5" t="s">
        <v>14</v>
      </c>
      <c r="J1017" s="5">
        <v>26</v>
      </c>
      <c r="K1017" s="2"/>
      <c r="L1017" s="2"/>
      <c r="M1017" s="1"/>
    </row>
    <row r="1018" spans="1:13" ht="14.4" x14ac:dyDescent="0.3">
      <c r="A1018" s="14">
        <v>44600</v>
      </c>
      <c r="B1018" s="5">
        <v>8</v>
      </c>
      <c r="C1018" s="32">
        <f>VLOOKUP(B1018,'area in m2'!B$2:C$10,2,FALSE)</f>
        <v>142</v>
      </c>
      <c r="D1018" s="5" t="s">
        <v>12</v>
      </c>
      <c r="E1018" s="6">
        <v>542.51120130133313</v>
      </c>
      <c r="F1018" s="33" t="str">
        <f t="shared" si="30"/>
        <v>Over 530</v>
      </c>
      <c r="G1018" s="33">
        <f t="shared" si="31"/>
        <v>569.63676136639981</v>
      </c>
      <c r="H1018" s="7">
        <v>0.02</v>
      </c>
      <c r="I1018" s="5" t="s">
        <v>15</v>
      </c>
      <c r="J1018" s="5">
        <v>24</v>
      </c>
      <c r="K1018" s="2"/>
      <c r="L1018" s="2"/>
      <c r="M1018" s="1"/>
    </row>
    <row r="1019" spans="1:13" ht="14.4" x14ac:dyDescent="0.3">
      <c r="A1019" s="14">
        <v>44626</v>
      </c>
      <c r="B1019" s="5">
        <v>5</v>
      </c>
      <c r="C1019" s="32">
        <f>VLOOKUP(B1019,'area in m2'!B$2:C$10,2,FALSE)</f>
        <v>200</v>
      </c>
      <c r="D1019" s="5" t="s">
        <v>13</v>
      </c>
      <c r="E1019" s="6">
        <v>533.77124059788093</v>
      </c>
      <c r="F1019" s="33" t="str">
        <f t="shared" si="30"/>
        <v>Over 530</v>
      </c>
      <c r="G1019" s="33">
        <f t="shared" si="31"/>
        <v>560.45980262777505</v>
      </c>
      <c r="H1019" s="7">
        <v>0.01</v>
      </c>
      <c r="I1019" s="5" t="s">
        <v>14</v>
      </c>
      <c r="J1019" s="5">
        <v>45</v>
      </c>
      <c r="K1019" s="2"/>
      <c r="L1019" s="2"/>
      <c r="M1019" s="1"/>
    </row>
    <row r="1020" spans="1:13" ht="14.4" x14ac:dyDescent="0.3">
      <c r="A1020" s="14">
        <v>44733</v>
      </c>
      <c r="B1020" s="5">
        <v>4</v>
      </c>
      <c r="C1020" s="32">
        <f>VLOOKUP(B1020,'area in m2'!B$2:C$10,2,FALSE)</f>
        <v>188</v>
      </c>
      <c r="D1020" s="5" t="s">
        <v>11</v>
      </c>
      <c r="E1020" s="6">
        <v>522.72925268913059</v>
      </c>
      <c r="F1020" s="33" t="str">
        <f t="shared" si="30"/>
        <v>Below 530</v>
      </c>
      <c r="G1020" s="33">
        <f t="shared" si="31"/>
        <v>548.8657153235871</v>
      </c>
      <c r="H1020" s="7">
        <v>0.02</v>
      </c>
      <c r="I1020" s="5" t="s">
        <v>14</v>
      </c>
      <c r="J1020" s="5">
        <v>34</v>
      </c>
      <c r="K1020" s="2"/>
      <c r="L1020" s="2"/>
      <c r="M1020" s="1"/>
    </row>
    <row r="1021" spans="1:13" ht="14.4" x14ac:dyDescent="0.3">
      <c r="A1021" s="14">
        <v>44665</v>
      </c>
      <c r="B1021" s="5">
        <v>1</v>
      </c>
      <c r="C1021" s="32">
        <f>VLOOKUP(B1021,'area in m2'!B$2:C$10,2,FALSE)</f>
        <v>280</v>
      </c>
      <c r="D1021" s="5" t="s">
        <v>11</v>
      </c>
      <c r="E1021" s="6">
        <v>514.47307488404022</v>
      </c>
      <c r="F1021" s="33" t="str">
        <f t="shared" si="30"/>
        <v>Below 530</v>
      </c>
      <c r="G1021" s="33">
        <f t="shared" si="31"/>
        <v>540.19672862824223</v>
      </c>
      <c r="H1021" s="7">
        <v>0.03</v>
      </c>
      <c r="I1021" s="5" t="s">
        <v>15</v>
      </c>
      <c r="J1021" s="5">
        <v>65</v>
      </c>
      <c r="K1021" s="2"/>
      <c r="L1021" s="2"/>
      <c r="M1021" s="1"/>
    </row>
    <row r="1022" spans="1:13" ht="14.4" x14ac:dyDescent="0.3">
      <c r="A1022" s="14">
        <v>44810</v>
      </c>
      <c r="B1022" s="5">
        <v>5</v>
      </c>
      <c r="C1022" s="32">
        <f>VLOOKUP(B1022,'area in m2'!B$2:C$10,2,FALSE)</f>
        <v>200</v>
      </c>
      <c r="D1022" s="5" t="s">
        <v>13</v>
      </c>
      <c r="E1022" s="6">
        <v>545.12610863813825</v>
      </c>
      <c r="F1022" s="33" t="str">
        <f t="shared" si="30"/>
        <v>Over 530</v>
      </c>
      <c r="G1022" s="33">
        <f t="shared" si="31"/>
        <v>572.38241407004523</v>
      </c>
      <c r="H1022" s="7">
        <v>0.01</v>
      </c>
      <c r="I1022" s="5" t="s">
        <v>14</v>
      </c>
      <c r="J1022" s="5">
        <v>41</v>
      </c>
      <c r="K1022" s="2"/>
      <c r="L1022" s="2"/>
      <c r="M1022" s="1"/>
    </row>
    <row r="1023" spans="1:13" ht="14.4" x14ac:dyDescent="0.3">
      <c r="A1023" s="14">
        <v>44644</v>
      </c>
      <c r="B1023" s="5">
        <v>4</v>
      </c>
      <c r="C1023" s="32">
        <f>VLOOKUP(B1023,'area in m2'!B$2:C$10,2,FALSE)</f>
        <v>188</v>
      </c>
      <c r="D1023" s="5" t="s">
        <v>11</v>
      </c>
      <c r="E1023" s="6">
        <v>518.8632489854599</v>
      </c>
      <c r="F1023" s="33" t="str">
        <f t="shared" si="30"/>
        <v>Below 530</v>
      </c>
      <c r="G1023" s="33">
        <f t="shared" si="31"/>
        <v>544.80641143473292</v>
      </c>
      <c r="H1023" s="7">
        <v>0.02</v>
      </c>
      <c r="I1023" s="5" t="s">
        <v>15</v>
      </c>
      <c r="J1023" s="5">
        <v>63</v>
      </c>
      <c r="K1023" s="2"/>
      <c r="L1023" s="2"/>
      <c r="M1023" s="1"/>
    </row>
    <row r="1024" spans="1:13" ht="14.4" x14ac:dyDescent="0.3">
      <c r="A1024" s="14">
        <v>44574</v>
      </c>
      <c r="B1024" s="5">
        <v>3</v>
      </c>
      <c r="C1024" s="32">
        <f>VLOOKUP(B1024,'area in m2'!B$2:C$10,2,FALSE)</f>
        <v>195</v>
      </c>
      <c r="D1024" s="5" t="s">
        <v>11</v>
      </c>
      <c r="E1024" s="6">
        <v>535.2558181057384</v>
      </c>
      <c r="F1024" s="33" t="str">
        <f t="shared" si="30"/>
        <v>Over 530</v>
      </c>
      <c r="G1024" s="33">
        <f t="shared" si="31"/>
        <v>562.01860901102532</v>
      </c>
      <c r="H1024" s="7">
        <v>0.03</v>
      </c>
      <c r="I1024" s="5" t="s">
        <v>15</v>
      </c>
      <c r="J1024" s="5">
        <v>27</v>
      </c>
      <c r="K1024" s="2"/>
      <c r="L1024" s="2"/>
      <c r="M1024" s="1"/>
    </row>
    <row r="1025" spans="1:13" ht="14.4" x14ac:dyDescent="0.3">
      <c r="A1025" s="14">
        <v>44801</v>
      </c>
      <c r="B1025" s="5">
        <v>5</v>
      </c>
      <c r="C1025" s="32">
        <f>VLOOKUP(B1025,'area in m2'!B$2:C$10,2,FALSE)</f>
        <v>200</v>
      </c>
      <c r="D1025" s="5" t="s">
        <v>13</v>
      </c>
      <c r="E1025" s="6">
        <v>549.14436499218937</v>
      </c>
      <c r="F1025" s="33" t="str">
        <f t="shared" si="30"/>
        <v>Over 530</v>
      </c>
      <c r="G1025" s="33">
        <f t="shared" si="31"/>
        <v>576.60158324179883</v>
      </c>
      <c r="H1025" s="7">
        <v>0.01</v>
      </c>
      <c r="I1025" s="5" t="s">
        <v>14</v>
      </c>
      <c r="J1025" s="5">
        <v>23</v>
      </c>
      <c r="K1025" s="2"/>
      <c r="L1025" s="2"/>
      <c r="M1025" s="1"/>
    </row>
    <row r="1026" spans="1:13" ht="14.4" x14ac:dyDescent="0.3">
      <c r="A1026" s="14">
        <v>44834</v>
      </c>
      <c r="B1026" s="5">
        <v>7</v>
      </c>
      <c r="C1026" s="32">
        <f>VLOOKUP(B1026,'area in m2'!B$2:C$10,2,FALSE)</f>
        <v>166</v>
      </c>
      <c r="D1026" s="5" t="s">
        <v>12</v>
      </c>
      <c r="E1026" s="6">
        <v>524.81328580949776</v>
      </c>
      <c r="F1026" s="33" t="str">
        <f t="shared" si="30"/>
        <v>Below 530</v>
      </c>
      <c r="G1026" s="33">
        <f t="shared" si="31"/>
        <v>551.05395009997267</v>
      </c>
      <c r="H1026" s="7">
        <v>0</v>
      </c>
      <c r="I1026" s="5" t="s">
        <v>15</v>
      </c>
      <c r="J1026" s="5">
        <v>49</v>
      </c>
      <c r="K1026" s="2"/>
      <c r="L1026" s="2"/>
      <c r="M1026" s="1"/>
    </row>
    <row r="1027" spans="1:13" ht="14.4" x14ac:dyDescent="0.3">
      <c r="A1027" s="14">
        <v>44583</v>
      </c>
      <c r="B1027" s="5">
        <v>3</v>
      </c>
      <c r="C1027" s="32">
        <f>VLOOKUP(B1027,'area in m2'!B$2:C$10,2,FALSE)</f>
        <v>195</v>
      </c>
      <c r="D1027" s="5" t="s">
        <v>11</v>
      </c>
      <c r="E1027" s="6">
        <v>535.36978637438096</v>
      </c>
      <c r="F1027" s="33" t="str">
        <f t="shared" si="30"/>
        <v>Over 530</v>
      </c>
      <c r="G1027" s="33">
        <f t="shared" si="31"/>
        <v>562.13827569310001</v>
      </c>
      <c r="H1027" s="7">
        <v>0.02</v>
      </c>
      <c r="I1027" s="5" t="s">
        <v>14</v>
      </c>
      <c r="J1027" s="5">
        <v>33</v>
      </c>
      <c r="K1027" s="2"/>
      <c r="L1027" s="2"/>
      <c r="M1027" s="1"/>
    </row>
    <row r="1028" spans="1:13" ht="14.4" x14ac:dyDescent="0.3">
      <c r="A1028" s="14">
        <v>44832</v>
      </c>
      <c r="B1028" s="5">
        <v>5</v>
      </c>
      <c r="C1028" s="32">
        <f>VLOOKUP(B1028,'area in m2'!B$2:C$10,2,FALSE)</f>
        <v>200</v>
      </c>
      <c r="D1028" s="5" t="s">
        <v>13</v>
      </c>
      <c r="E1028" s="6">
        <v>535.53038426555486</v>
      </c>
      <c r="F1028" s="33" t="str">
        <f t="shared" si="30"/>
        <v>Over 530</v>
      </c>
      <c r="G1028" s="33">
        <f t="shared" si="31"/>
        <v>562.30690347883262</v>
      </c>
      <c r="H1028" s="7">
        <v>0.01</v>
      </c>
      <c r="I1028" s="5" t="s">
        <v>15</v>
      </c>
      <c r="J1028" s="5">
        <v>18</v>
      </c>
      <c r="K1028" s="2"/>
      <c r="L1028" s="2"/>
      <c r="M1028" s="1"/>
    </row>
    <row r="1029" spans="1:13" ht="14.4" x14ac:dyDescent="0.3">
      <c r="A1029" s="14">
        <v>44918</v>
      </c>
      <c r="B1029" s="5">
        <v>2</v>
      </c>
      <c r="C1029" s="32">
        <f>VLOOKUP(B1029,'area in m2'!B$2:C$10,2,FALSE)</f>
        <v>250</v>
      </c>
      <c r="D1029" s="5" t="s">
        <v>11</v>
      </c>
      <c r="E1029" s="6">
        <v>528.67071188674709</v>
      </c>
      <c r="F1029" s="33" t="str">
        <f t="shared" ref="F1029:F1092" si="32">IF(E1029&gt;530,"Over 530","Below 530")</f>
        <v>Below 530</v>
      </c>
      <c r="G1029" s="33">
        <f t="shared" ref="G1029:G1092" si="33">+E1029*1.05</f>
        <v>555.10424748108449</v>
      </c>
      <c r="H1029" s="7">
        <v>0.01</v>
      </c>
      <c r="I1029" s="5" t="s">
        <v>14</v>
      </c>
      <c r="J1029" s="5">
        <v>44</v>
      </c>
      <c r="K1029" s="2"/>
      <c r="L1029" s="2"/>
      <c r="M1029" s="1"/>
    </row>
    <row r="1030" spans="1:13" ht="14.4" x14ac:dyDescent="0.3">
      <c r="A1030" s="14">
        <v>44582</v>
      </c>
      <c r="B1030" s="5">
        <v>3</v>
      </c>
      <c r="C1030" s="32">
        <f>VLOOKUP(B1030,'area in m2'!B$2:C$10,2,FALSE)</f>
        <v>195</v>
      </c>
      <c r="D1030" s="5" t="s">
        <v>11</v>
      </c>
      <c r="E1030" s="6">
        <v>509.19986615697508</v>
      </c>
      <c r="F1030" s="33" t="str">
        <f t="shared" si="32"/>
        <v>Below 530</v>
      </c>
      <c r="G1030" s="33">
        <f t="shared" si="33"/>
        <v>534.65985946482385</v>
      </c>
      <c r="H1030" s="7">
        <v>0.03</v>
      </c>
      <c r="I1030" s="5" t="s">
        <v>14</v>
      </c>
      <c r="J1030" s="5">
        <v>37</v>
      </c>
      <c r="K1030" s="2"/>
      <c r="L1030" s="2"/>
      <c r="M1030" s="1"/>
    </row>
    <row r="1031" spans="1:13" ht="14.4" x14ac:dyDescent="0.3">
      <c r="A1031" s="14">
        <v>44646</v>
      </c>
      <c r="B1031" s="5">
        <v>8</v>
      </c>
      <c r="C1031" s="32">
        <f>VLOOKUP(B1031,'area in m2'!B$2:C$10,2,FALSE)</f>
        <v>142</v>
      </c>
      <c r="D1031" s="5" t="s">
        <v>12</v>
      </c>
      <c r="E1031" s="6">
        <v>533.24797477619268</v>
      </c>
      <c r="F1031" s="33" t="str">
        <f t="shared" si="32"/>
        <v>Over 530</v>
      </c>
      <c r="G1031" s="33">
        <f t="shared" si="33"/>
        <v>559.91037351500233</v>
      </c>
      <c r="H1031" s="7">
        <v>0.03</v>
      </c>
      <c r="I1031" s="5" t="s">
        <v>15</v>
      </c>
      <c r="J1031" s="5">
        <v>43</v>
      </c>
      <c r="K1031" s="2"/>
      <c r="L1031" s="2"/>
      <c r="M1031" s="1"/>
    </row>
    <row r="1032" spans="1:13" ht="14.4" x14ac:dyDescent="0.3">
      <c r="A1032" s="14">
        <v>44677</v>
      </c>
      <c r="B1032" s="5">
        <v>7</v>
      </c>
      <c r="C1032" s="32">
        <f>VLOOKUP(B1032,'area in m2'!B$2:C$10,2,FALSE)</f>
        <v>166</v>
      </c>
      <c r="D1032" s="5" t="s">
        <v>12</v>
      </c>
      <c r="E1032" s="6">
        <v>517.80904000386818</v>
      </c>
      <c r="F1032" s="33" t="str">
        <f t="shared" si="32"/>
        <v>Below 530</v>
      </c>
      <c r="G1032" s="33">
        <f t="shared" si="33"/>
        <v>543.69949200406165</v>
      </c>
      <c r="H1032" s="7">
        <v>0.01</v>
      </c>
      <c r="I1032" s="5" t="s">
        <v>14</v>
      </c>
      <c r="J1032" s="5">
        <v>33</v>
      </c>
      <c r="K1032" s="2"/>
      <c r="L1032" s="2"/>
      <c r="M1032" s="1"/>
    </row>
    <row r="1033" spans="1:13" ht="14.4" x14ac:dyDescent="0.3">
      <c r="A1033" s="14">
        <v>44725</v>
      </c>
      <c r="B1033" s="5">
        <v>4</v>
      </c>
      <c r="C1033" s="32">
        <f>VLOOKUP(B1033,'area in m2'!B$2:C$10,2,FALSE)</f>
        <v>188</v>
      </c>
      <c r="D1033" s="5" t="s">
        <v>11</v>
      </c>
      <c r="E1033" s="6">
        <v>520.51417839103397</v>
      </c>
      <c r="F1033" s="33" t="str">
        <f t="shared" si="32"/>
        <v>Below 530</v>
      </c>
      <c r="G1033" s="33">
        <f t="shared" si="33"/>
        <v>546.53988731058564</v>
      </c>
      <c r="H1033" s="7">
        <v>0.01</v>
      </c>
      <c r="I1033" s="5" t="s">
        <v>15</v>
      </c>
      <c r="J1033" s="5">
        <v>53</v>
      </c>
      <c r="K1033" s="2"/>
      <c r="L1033" s="2"/>
      <c r="M1033" s="1"/>
    </row>
    <row r="1034" spans="1:13" ht="14.4" x14ac:dyDescent="0.3">
      <c r="A1034" s="14">
        <v>44740</v>
      </c>
      <c r="B1034" s="5">
        <v>6</v>
      </c>
      <c r="C1034" s="32">
        <f>VLOOKUP(B1034,'area in m2'!B$2:C$10,2,FALSE)</f>
        <v>175</v>
      </c>
      <c r="D1034" s="5" t="s">
        <v>13</v>
      </c>
      <c r="E1034" s="6">
        <v>511.13727902466235</v>
      </c>
      <c r="F1034" s="33" t="str">
        <f t="shared" si="32"/>
        <v>Below 530</v>
      </c>
      <c r="G1034" s="33">
        <f t="shared" si="33"/>
        <v>536.69414297589549</v>
      </c>
      <c r="H1034" s="7">
        <v>0.01</v>
      </c>
      <c r="I1034" s="5" t="s">
        <v>14</v>
      </c>
      <c r="J1034" s="5">
        <v>30</v>
      </c>
      <c r="K1034" s="2"/>
      <c r="L1034" s="2"/>
      <c r="M1034" s="1"/>
    </row>
    <row r="1035" spans="1:13" ht="14.4" x14ac:dyDescent="0.3">
      <c r="A1035" s="14">
        <v>44628</v>
      </c>
      <c r="B1035" s="5">
        <v>8</v>
      </c>
      <c r="C1035" s="32">
        <f>VLOOKUP(B1035,'area in m2'!B$2:C$10,2,FALSE)</f>
        <v>142</v>
      </c>
      <c r="D1035" s="5" t="s">
        <v>12</v>
      </c>
      <c r="E1035" s="6">
        <v>525.17656797434483</v>
      </c>
      <c r="F1035" s="33" t="str">
        <f t="shared" si="32"/>
        <v>Below 530</v>
      </c>
      <c r="G1035" s="33">
        <f t="shared" si="33"/>
        <v>551.43539637306208</v>
      </c>
      <c r="H1035" s="7">
        <v>0.02</v>
      </c>
      <c r="I1035" s="5" t="s">
        <v>14</v>
      </c>
      <c r="J1035" s="5">
        <v>36</v>
      </c>
      <c r="K1035" s="2"/>
      <c r="L1035" s="2"/>
      <c r="M1035" s="1"/>
    </row>
    <row r="1036" spans="1:13" ht="14.4" x14ac:dyDescent="0.3">
      <c r="A1036" s="14">
        <v>44794</v>
      </c>
      <c r="B1036" s="5">
        <v>3</v>
      </c>
      <c r="C1036" s="32">
        <f>VLOOKUP(B1036,'area in m2'!B$2:C$10,2,FALSE)</f>
        <v>195</v>
      </c>
      <c r="D1036" s="5" t="s">
        <v>11</v>
      </c>
      <c r="E1036" s="6">
        <v>536.17169674608704</v>
      </c>
      <c r="F1036" s="33" t="str">
        <f t="shared" si="32"/>
        <v>Over 530</v>
      </c>
      <c r="G1036" s="33">
        <f t="shared" si="33"/>
        <v>562.98028158339139</v>
      </c>
      <c r="H1036" s="7">
        <v>0</v>
      </c>
      <c r="I1036" s="5" t="s">
        <v>15</v>
      </c>
      <c r="J1036" s="5">
        <v>59</v>
      </c>
      <c r="K1036" s="2"/>
      <c r="L1036" s="2"/>
      <c r="M1036" s="1"/>
    </row>
    <row r="1037" spans="1:13" ht="14.4" x14ac:dyDescent="0.3">
      <c r="A1037" s="14">
        <v>44755</v>
      </c>
      <c r="B1037" s="5">
        <v>4</v>
      </c>
      <c r="C1037" s="32">
        <f>VLOOKUP(B1037,'area in m2'!B$2:C$10,2,FALSE)</f>
        <v>188</v>
      </c>
      <c r="D1037" s="5" t="s">
        <v>11</v>
      </c>
      <c r="E1037" s="6">
        <v>515.51993813767876</v>
      </c>
      <c r="F1037" s="33" t="str">
        <f t="shared" si="32"/>
        <v>Below 530</v>
      </c>
      <c r="G1037" s="33">
        <f t="shared" si="33"/>
        <v>541.29593504456273</v>
      </c>
      <c r="H1037" s="7">
        <v>0.01</v>
      </c>
      <c r="I1037" s="5" t="s">
        <v>14</v>
      </c>
      <c r="J1037" s="5">
        <v>53</v>
      </c>
      <c r="K1037" s="2"/>
      <c r="L1037" s="2"/>
      <c r="M1037" s="1"/>
    </row>
    <row r="1038" spans="1:13" ht="14.4" x14ac:dyDescent="0.3">
      <c r="A1038" s="14">
        <v>44706</v>
      </c>
      <c r="B1038" s="5">
        <v>9</v>
      </c>
      <c r="C1038" s="32">
        <f>VLOOKUP(B1038,'area in m2'!B$2:C$10,2,FALSE)</f>
        <v>140</v>
      </c>
      <c r="D1038" s="5" t="s">
        <v>12</v>
      </c>
      <c r="E1038" s="6">
        <v>509.16186894785278</v>
      </c>
      <c r="F1038" s="33" t="str">
        <f t="shared" si="32"/>
        <v>Below 530</v>
      </c>
      <c r="G1038" s="33">
        <f t="shared" si="33"/>
        <v>534.61996239524547</v>
      </c>
      <c r="H1038" s="7">
        <v>0.01</v>
      </c>
      <c r="I1038" s="5" t="s">
        <v>14</v>
      </c>
      <c r="J1038" s="5">
        <v>48</v>
      </c>
      <c r="K1038" s="2"/>
      <c r="L1038" s="2"/>
      <c r="M1038" s="1"/>
    </row>
    <row r="1039" spans="1:13" ht="14.4" x14ac:dyDescent="0.3">
      <c r="A1039" s="14">
        <v>44562</v>
      </c>
      <c r="B1039" s="5">
        <v>2</v>
      </c>
      <c r="C1039" s="32">
        <f>VLOOKUP(B1039,'area in m2'!B$2:C$10,2,FALSE)</f>
        <v>250</v>
      </c>
      <c r="D1039" s="5" t="s">
        <v>11</v>
      </c>
      <c r="E1039" s="6">
        <v>525.90819447340164</v>
      </c>
      <c r="F1039" s="33" t="str">
        <f t="shared" si="32"/>
        <v>Below 530</v>
      </c>
      <c r="G1039" s="33">
        <f t="shared" si="33"/>
        <v>552.20360419707174</v>
      </c>
      <c r="H1039" s="7">
        <v>0</v>
      </c>
      <c r="I1039" s="5" t="s">
        <v>14</v>
      </c>
      <c r="J1039" s="5">
        <v>50</v>
      </c>
      <c r="K1039" s="2"/>
      <c r="L1039" s="2"/>
      <c r="M1039" s="1"/>
    </row>
    <row r="1040" spans="1:13" ht="14.4" x14ac:dyDescent="0.3">
      <c r="A1040" s="14">
        <v>44646</v>
      </c>
      <c r="B1040" s="5">
        <v>6</v>
      </c>
      <c r="C1040" s="32">
        <f>VLOOKUP(B1040,'area in m2'!B$2:C$10,2,FALSE)</f>
        <v>175</v>
      </c>
      <c r="D1040" s="5" t="s">
        <v>13</v>
      </c>
      <c r="E1040" s="6">
        <v>503.39429270881192</v>
      </c>
      <c r="F1040" s="33" t="str">
        <f t="shared" si="32"/>
        <v>Below 530</v>
      </c>
      <c r="G1040" s="33">
        <f t="shared" si="33"/>
        <v>528.56400734425256</v>
      </c>
      <c r="H1040" s="7">
        <v>0.03</v>
      </c>
      <c r="I1040" s="5" t="s">
        <v>15</v>
      </c>
      <c r="J1040" s="5">
        <v>17</v>
      </c>
      <c r="K1040" s="2"/>
      <c r="L1040" s="2"/>
      <c r="M1040" s="1"/>
    </row>
    <row r="1041" spans="1:13" ht="14.4" x14ac:dyDescent="0.3">
      <c r="A1041" s="14">
        <v>44700</v>
      </c>
      <c r="B1041" s="5">
        <v>5</v>
      </c>
      <c r="C1041" s="32">
        <f>VLOOKUP(B1041,'area in m2'!B$2:C$10,2,FALSE)</f>
        <v>200</v>
      </c>
      <c r="D1041" s="5" t="s">
        <v>13</v>
      </c>
      <c r="E1041" s="6">
        <v>537.33386304528631</v>
      </c>
      <c r="F1041" s="33" t="str">
        <f t="shared" si="32"/>
        <v>Over 530</v>
      </c>
      <c r="G1041" s="33">
        <f t="shared" si="33"/>
        <v>564.20055619755067</v>
      </c>
      <c r="H1041" s="7">
        <v>0.03</v>
      </c>
      <c r="I1041" s="5" t="s">
        <v>14</v>
      </c>
      <c r="J1041" s="5">
        <v>35</v>
      </c>
      <c r="K1041" s="2"/>
      <c r="L1041" s="2"/>
      <c r="M1041" s="1"/>
    </row>
    <row r="1042" spans="1:13" ht="14.4" x14ac:dyDescent="0.3">
      <c r="A1042" s="14">
        <v>44755</v>
      </c>
      <c r="B1042" s="5">
        <v>6</v>
      </c>
      <c r="C1042" s="32">
        <f>VLOOKUP(B1042,'area in m2'!B$2:C$10,2,FALSE)</f>
        <v>175</v>
      </c>
      <c r="D1042" s="5" t="s">
        <v>13</v>
      </c>
      <c r="E1042" s="6">
        <v>511.13727902466235</v>
      </c>
      <c r="F1042" s="33" t="str">
        <f t="shared" si="32"/>
        <v>Below 530</v>
      </c>
      <c r="G1042" s="33">
        <f t="shared" si="33"/>
        <v>536.69414297589549</v>
      </c>
      <c r="H1042" s="7">
        <v>0.02</v>
      </c>
      <c r="I1042" s="5" t="s">
        <v>14</v>
      </c>
      <c r="J1042" s="5">
        <v>32</v>
      </c>
      <c r="K1042" s="2"/>
      <c r="L1042" s="2"/>
      <c r="M1042" s="1"/>
    </row>
    <row r="1043" spans="1:13" ht="14.4" x14ac:dyDescent="0.3">
      <c r="A1043" s="14">
        <v>44765</v>
      </c>
      <c r="B1043" s="5">
        <v>1</v>
      </c>
      <c r="C1043" s="32">
        <f>VLOOKUP(B1043,'area in m2'!B$2:C$10,2,FALSE)</f>
        <v>280</v>
      </c>
      <c r="D1043" s="5" t="s">
        <v>11</v>
      </c>
      <c r="E1043" s="6">
        <v>522.48543200365566</v>
      </c>
      <c r="F1043" s="33" t="str">
        <f t="shared" si="32"/>
        <v>Below 530</v>
      </c>
      <c r="G1043" s="33">
        <f t="shared" si="33"/>
        <v>548.60970360383851</v>
      </c>
      <c r="H1043" s="7">
        <v>0.03</v>
      </c>
      <c r="I1043" s="5" t="s">
        <v>15</v>
      </c>
      <c r="J1043" s="5">
        <v>33</v>
      </c>
      <c r="K1043" s="2"/>
      <c r="L1043" s="2"/>
      <c r="M1043" s="1"/>
    </row>
    <row r="1044" spans="1:13" ht="14.4" x14ac:dyDescent="0.3">
      <c r="A1044" s="14">
        <v>44700</v>
      </c>
      <c r="B1044" s="5">
        <v>5</v>
      </c>
      <c r="C1044" s="32">
        <f>VLOOKUP(B1044,'area in m2'!B$2:C$10,2,FALSE)</f>
        <v>200</v>
      </c>
      <c r="D1044" s="5" t="s">
        <v>13</v>
      </c>
      <c r="E1044" s="6">
        <v>529.79647894655136</v>
      </c>
      <c r="F1044" s="33" t="str">
        <f t="shared" si="32"/>
        <v>Below 530</v>
      </c>
      <c r="G1044" s="33">
        <f t="shared" si="33"/>
        <v>556.286302893879</v>
      </c>
      <c r="H1044" s="7">
        <v>0</v>
      </c>
      <c r="I1044" s="5" t="s">
        <v>15</v>
      </c>
      <c r="J1044" s="5">
        <v>42</v>
      </c>
      <c r="K1044" s="2"/>
      <c r="L1044" s="2"/>
      <c r="M1044" s="1"/>
    </row>
    <row r="1045" spans="1:13" ht="14.4" x14ac:dyDescent="0.3">
      <c r="A1045" s="14">
        <v>44590</v>
      </c>
      <c r="B1045" s="5">
        <v>6</v>
      </c>
      <c r="C1045" s="32">
        <f>VLOOKUP(B1045,'area in m2'!B$2:C$10,2,FALSE)</f>
        <v>175</v>
      </c>
      <c r="D1045" s="5" t="s">
        <v>13</v>
      </c>
      <c r="E1045" s="6">
        <v>504.53867241586431</v>
      </c>
      <c r="F1045" s="33" t="str">
        <f t="shared" si="32"/>
        <v>Below 530</v>
      </c>
      <c r="G1045" s="33">
        <f t="shared" si="33"/>
        <v>529.76560603665757</v>
      </c>
      <c r="H1045" s="7">
        <v>0.02</v>
      </c>
      <c r="I1045" s="5" t="s">
        <v>14</v>
      </c>
      <c r="J1045" s="5">
        <v>25</v>
      </c>
      <c r="K1045" s="2"/>
      <c r="L1045" s="2"/>
      <c r="M1045" s="1"/>
    </row>
    <row r="1046" spans="1:13" ht="14.4" x14ac:dyDescent="0.3">
      <c r="A1046" s="14">
        <v>44690</v>
      </c>
      <c r="B1046" s="5">
        <v>8</v>
      </c>
      <c r="C1046" s="32">
        <f>VLOOKUP(B1046,'area in m2'!B$2:C$10,2,FALSE)</f>
        <v>142</v>
      </c>
      <c r="D1046" s="5" t="s">
        <v>12</v>
      </c>
      <c r="E1046" s="6">
        <v>500.33530914196035</v>
      </c>
      <c r="F1046" s="33" t="str">
        <f t="shared" si="32"/>
        <v>Below 530</v>
      </c>
      <c r="G1046" s="33">
        <f t="shared" si="33"/>
        <v>525.35207459905837</v>
      </c>
      <c r="H1046" s="7">
        <v>0</v>
      </c>
      <c r="I1046" s="5" t="s">
        <v>14</v>
      </c>
      <c r="J1046" s="5">
        <v>21</v>
      </c>
      <c r="K1046" s="2"/>
      <c r="L1046" s="2"/>
      <c r="M1046" s="1"/>
    </row>
    <row r="1047" spans="1:13" ht="14.4" x14ac:dyDescent="0.3">
      <c r="A1047" s="14">
        <v>44811</v>
      </c>
      <c r="B1047" s="5">
        <v>5</v>
      </c>
      <c r="C1047" s="32">
        <f>VLOOKUP(B1047,'area in m2'!B$2:C$10,2,FALSE)</f>
        <v>200</v>
      </c>
      <c r="D1047" s="5" t="s">
        <v>13</v>
      </c>
      <c r="E1047" s="6">
        <v>536.59495834927384</v>
      </c>
      <c r="F1047" s="33" t="str">
        <f t="shared" si="32"/>
        <v>Over 530</v>
      </c>
      <c r="G1047" s="33">
        <f t="shared" si="33"/>
        <v>563.42470626673753</v>
      </c>
      <c r="H1047" s="7">
        <v>0</v>
      </c>
      <c r="I1047" s="5" t="s">
        <v>15</v>
      </c>
      <c r="J1047" s="5">
        <v>65</v>
      </c>
      <c r="K1047" s="2"/>
      <c r="L1047" s="2"/>
      <c r="M1047" s="1"/>
    </row>
    <row r="1048" spans="1:13" ht="14.4" x14ac:dyDescent="0.3">
      <c r="A1048" s="14">
        <v>44784</v>
      </c>
      <c r="B1048" s="5">
        <v>1</v>
      </c>
      <c r="C1048" s="32">
        <f>VLOOKUP(B1048,'area in m2'!B$2:C$10,2,FALSE)</f>
        <v>280</v>
      </c>
      <c r="D1048" s="5" t="s">
        <v>11</v>
      </c>
      <c r="E1048" s="6">
        <v>549.80474388143921</v>
      </c>
      <c r="F1048" s="33" t="str">
        <f t="shared" si="32"/>
        <v>Over 530</v>
      </c>
      <c r="G1048" s="33">
        <f t="shared" si="33"/>
        <v>577.29498107551115</v>
      </c>
      <c r="H1048" s="7">
        <v>0.03</v>
      </c>
      <c r="I1048" s="5" t="s">
        <v>14</v>
      </c>
      <c r="J1048" s="5">
        <v>37</v>
      </c>
      <c r="K1048" s="2"/>
      <c r="L1048" s="2"/>
      <c r="M1048" s="1"/>
    </row>
    <row r="1049" spans="1:13" ht="14.4" x14ac:dyDescent="0.3">
      <c r="A1049" s="14">
        <v>44808</v>
      </c>
      <c r="B1049" s="5">
        <v>7</v>
      </c>
      <c r="C1049" s="32">
        <f>VLOOKUP(B1049,'area in m2'!B$2:C$10,2,FALSE)</f>
        <v>166</v>
      </c>
      <c r="D1049" s="5" t="s">
        <v>12</v>
      </c>
      <c r="E1049" s="6">
        <v>523.35155406822196</v>
      </c>
      <c r="F1049" s="33" t="str">
        <f t="shared" si="32"/>
        <v>Below 530</v>
      </c>
      <c r="G1049" s="33">
        <f t="shared" si="33"/>
        <v>549.51913177163306</v>
      </c>
      <c r="H1049" s="7">
        <v>0.03</v>
      </c>
      <c r="I1049" s="5" t="s">
        <v>14</v>
      </c>
      <c r="J1049" s="5">
        <v>34</v>
      </c>
      <c r="K1049" s="2"/>
      <c r="L1049" s="2"/>
      <c r="M1049" s="1"/>
    </row>
    <row r="1050" spans="1:13" ht="14.4" x14ac:dyDescent="0.3">
      <c r="A1050" s="14">
        <v>44791</v>
      </c>
      <c r="B1050" s="5">
        <v>2</v>
      </c>
      <c r="C1050" s="32">
        <f>VLOOKUP(B1050,'area in m2'!B$2:C$10,2,FALSE)</f>
        <v>250</v>
      </c>
      <c r="D1050" s="5" t="s">
        <v>11</v>
      </c>
      <c r="E1050" s="6">
        <v>536.13407296054902</v>
      </c>
      <c r="F1050" s="33" t="str">
        <f t="shared" si="32"/>
        <v>Over 530</v>
      </c>
      <c r="G1050" s="33">
        <f t="shared" si="33"/>
        <v>562.94077660857647</v>
      </c>
      <c r="H1050" s="7">
        <v>0</v>
      </c>
      <c r="I1050" s="5" t="s">
        <v>14</v>
      </c>
      <c r="J1050" s="5">
        <v>39</v>
      </c>
      <c r="K1050" s="2"/>
      <c r="L1050" s="2"/>
      <c r="M1050" s="1"/>
    </row>
    <row r="1051" spans="1:13" ht="14.4" x14ac:dyDescent="0.3">
      <c r="A1051" s="14">
        <v>44634</v>
      </c>
      <c r="B1051" s="5">
        <v>8</v>
      </c>
      <c r="C1051" s="32">
        <f>VLOOKUP(B1051,'area in m2'!B$2:C$10,2,FALSE)</f>
        <v>142</v>
      </c>
      <c r="D1051" s="5" t="s">
        <v>11</v>
      </c>
      <c r="E1051" s="6">
        <v>503.7559310605393</v>
      </c>
      <c r="F1051" s="33" t="str">
        <f t="shared" si="32"/>
        <v>Below 530</v>
      </c>
      <c r="G1051" s="33">
        <f t="shared" si="33"/>
        <v>528.94372761356624</v>
      </c>
      <c r="H1051" s="7">
        <v>0.02</v>
      </c>
      <c r="I1051" s="5" t="s">
        <v>14</v>
      </c>
      <c r="J1051" s="5">
        <v>43</v>
      </c>
      <c r="K1051" s="2"/>
      <c r="L1051" s="2"/>
      <c r="M1051" s="1"/>
    </row>
    <row r="1052" spans="1:13" ht="14.4" x14ac:dyDescent="0.3">
      <c r="A1052" s="14">
        <v>44831</v>
      </c>
      <c r="B1052" s="5">
        <v>4</v>
      </c>
      <c r="C1052" s="32">
        <f>VLOOKUP(B1052,'area in m2'!B$2:C$10,2,FALSE)</f>
        <v>188</v>
      </c>
      <c r="D1052" s="5" t="s">
        <v>11</v>
      </c>
      <c r="E1052" s="6">
        <v>538.3290420930125</v>
      </c>
      <c r="F1052" s="33" t="str">
        <f t="shared" si="32"/>
        <v>Over 530</v>
      </c>
      <c r="G1052" s="33">
        <f t="shared" si="33"/>
        <v>565.24549419766311</v>
      </c>
      <c r="H1052" s="7">
        <v>0.03</v>
      </c>
      <c r="I1052" s="5" t="s">
        <v>14</v>
      </c>
      <c r="J1052" s="5">
        <v>25</v>
      </c>
      <c r="K1052" s="2"/>
      <c r="L1052" s="2"/>
      <c r="M1052" s="1"/>
    </row>
    <row r="1053" spans="1:13" ht="14.4" x14ac:dyDescent="0.3">
      <c r="A1053" s="14">
        <v>44584</v>
      </c>
      <c r="B1053" s="5">
        <v>9</v>
      </c>
      <c r="C1053" s="32">
        <f>VLOOKUP(B1053,'area in m2'!B$2:C$10,2,FALSE)</f>
        <v>140</v>
      </c>
      <c r="D1053" s="5" t="s">
        <v>12</v>
      </c>
      <c r="E1053" s="6">
        <v>534.60893396178471</v>
      </c>
      <c r="F1053" s="33" t="str">
        <f t="shared" si="32"/>
        <v>Over 530</v>
      </c>
      <c r="G1053" s="33">
        <f t="shared" si="33"/>
        <v>561.339380659874</v>
      </c>
      <c r="H1053" s="7">
        <v>0</v>
      </c>
      <c r="I1053" s="5" t="s">
        <v>14</v>
      </c>
      <c r="J1053" s="5">
        <v>43</v>
      </c>
      <c r="K1053" s="2"/>
      <c r="L1053" s="2"/>
      <c r="M1053" s="1"/>
    </row>
    <row r="1054" spans="1:13" ht="14.4" x14ac:dyDescent="0.3">
      <c r="A1054" s="14">
        <v>44859</v>
      </c>
      <c r="B1054" s="5">
        <v>8</v>
      </c>
      <c r="C1054" s="32">
        <f>VLOOKUP(B1054,'area in m2'!B$2:C$10,2,FALSE)</f>
        <v>142</v>
      </c>
      <c r="D1054" s="5" t="s">
        <v>12</v>
      </c>
      <c r="E1054" s="6">
        <v>510.8053912661926</v>
      </c>
      <c r="F1054" s="33" t="str">
        <f t="shared" si="32"/>
        <v>Below 530</v>
      </c>
      <c r="G1054" s="33">
        <f t="shared" si="33"/>
        <v>536.34566082950221</v>
      </c>
      <c r="H1054" s="7">
        <v>0.02</v>
      </c>
      <c r="I1054" s="5" t="s">
        <v>15</v>
      </c>
      <c r="J1054" s="5">
        <v>35</v>
      </c>
      <c r="K1054" s="2"/>
      <c r="L1054" s="2"/>
      <c r="M1054" s="1"/>
    </row>
    <row r="1055" spans="1:13" ht="14.4" x14ac:dyDescent="0.3">
      <c r="A1055" s="14">
        <v>44738</v>
      </c>
      <c r="B1055" s="5">
        <v>8</v>
      </c>
      <c r="C1055" s="32">
        <f>VLOOKUP(B1055,'area in m2'!B$2:C$10,2,FALSE)</f>
        <v>142</v>
      </c>
      <c r="D1055" s="5" t="s">
        <v>12</v>
      </c>
      <c r="E1055" s="6">
        <v>547.76606447180711</v>
      </c>
      <c r="F1055" s="33" t="str">
        <f t="shared" si="32"/>
        <v>Over 530</v>
      </c>
      <c r="G1055" s="33">
        <f t="shared" si="33"/>
        <v>575.15436769539747</v>
      </c>
      <c r="H1055" s="7">
        <v>0.02</v>
      </c>
      <c r="I1055" s="5" t="s">
        <v>14</v>
      </c>
      <c r="J1055" s="5">
        <v>41</v>
      </c>
      <c r="K1055" s="2"/>
      <c r="L1055" s="2"/>
      <c r="M1055" s="1"/>
    </row>
    <row r="1056" spans="1:13" ht="14.4" x14ac:dyDescent="0.3">
      <c r="A1056" s="14">
        <v>44803</v>
      </c>
      <c r="B1056" s="5">
        <v>9</v>
      </c>
      <c r="C1056" s="32">
        <f>VLOOKUP(B1056,'area in m2'!B$2:C$10,2,FALSE)</f>
        <v>140</v>
      </c>
      <c r="D1056" s="5" t="s">
        <v>12</v>
      </c>
      <c r="E1056" s="6">
        <v>547.58858635095748</v>
      </c>
      <c r="F1056" s="33" t="str">
        <f t="shared" si="32"/>
        <v>Over 530</v>
      </c>
      <c r="G1056" s="33">
        <f t="shared" si="33"/>
        <v>574.96801566850536</v>
      </c>
      <c r="H1056" s="7">
        <v>0.02</v>
      </c>
      <c r="I1056" s="5" t="s">
        <v>15</v>
      </c>
      <c r="J1056" s="5">
        <v>37</v>
      </c>
      <c r="K1056" s="2"/>
      <c r="L1056" s="2"/>
      <c r="M1056" s="1"/>
    </row>
    <row r="1057" spans="1:13" ht="14.4" x14ac:dyDescent="0.3">
      <c r="A1057" s="14">
        <v>44871</v>
      </c>
      <c r="B1057" s="5">
        <v>8</v>
      </c>
      <c r="C1057" s="32">
        <f>VLOOKUP(B1057,'area in m2'!B$2:C$10,2,FALSE)</f>
        <v>142</v>
      </c>
      <c r="D1057" s="5" t="s">
        <v>12</v>
      </c>
      <c r="E1057" s="6">
        <v>527.60246038357127</v>
      </c>
      <c r="F1057" s="33" t="str">
        <f t="shared" si="32"/>
        <v>Below 530</v>
      </c>
      <c r="G1057" s="33">
        <f t="shared" si="33"/>
        <v>553.98258340274981</v>
      </c>
      <c r="H1057" s="7">
        <v>0.02</v>
      </c>
      <c r="I1057" s="5" t="s">
        <v>14</v>
      </c>
      <c r="J1057" s="5">
        <v>23</v>
      </c>
      <c r="K1057" s="2"/>
      <c r="L1057" s="2"/>
      <c r="M1057" s="1"/>
    </row>
    <row r="1058" spans="1:13" ht="14.4" x14ac:dyDescent="0.3">
      <c r="A1058" s="14">
        <v>44625</v>
      </c>
      <c r="B1058" s="5">
        <v>8</v>
      </c>
      <c r="C1058" s="32">
        <f>VLOOKUP(B1058,'area in m2'!B$2:C$10,2,FALSE)</f>
        <v>142</v>
      </c>
      <c r="D1058" s="5" t="s">
        <v>12</v>
      </c>
      <c r="E1058" s="6">
        <v>513.7812314640878</v>
      </c>
      <c r="F1058" s="33" t="str">
        <f t="shared" si="32"/>
        <v>Below 530</v>
      </c>
      <c r="G1058" s="33">
        <f t="shared" si="33"/>
        <v>539.47029303729221</v>
      </c>
      <c r="H1058" s="7">
        <v>0.03</v>
      </c>
      <c r="I1058" s="5" t="s">
        <v>14</v>
      </c>
      <c r="J1058" s="5">
        <v>43</v>
      </c>
      <c r="K1058" s="2"/>
      <c r="L1058" s="2"/>
      <c r="M1058" s="1"/>
    </row>
    <row r="1059" spans="1:13" ht="14.4" x14ac:dyDescent="0.3">
      <c r="A1059" s="14">
        <v>44871</v>
      </c>
      <c r="B1059" s="5">
        <v>6</v>
      </c>
      <c r="C1059" s="32">
        <f>VLOOKUP(B1059,'area in m2'!B$2:C$10,2,FALSE)</f>
        <v>175</v>
      </c>
      <c r="D1059" s="5" t="s">
        <v>13</v>
      </c>
      <c r="E1059" s="6">
        <v>508.27042118020563</v>
      </c>
      <c r="F1059" s="33" t="str">
        <f t="shared" si="32"/>
        <v>Below 530</v>
      </c>
      <c r="G1059" s="33">
        <f t="shared" si="33"/>
        <v>533.68394223921598</v>
      </c>
      <c r="H1059" s="7">
        <v>0</v>
      </c>
      <c r="I1059" s="5" t="s">
        <v>14</v>
      </c>
      <c r="J1059" s="5">
        <v>44</v>
      </c>
      <c r="K1059" s="2"/>
      <c r="L1059" s="2"/>
      <c r="M1059" s="1"/>
    </row>
    <row r="1060" spans="1:13" ht="14.4" x14ac:dyDescent="0.3">
      <c r="A1060" s="14">
        <v>44625</v>
      </c>
      <c r="B1060" s="5">
        <v>7</v>
      </c>
      <c r="C1060" s="32">
        <f>VLOOKUP(B1060,'area in m2'!B$2:C$10,2,FALSE)</f>
        <v>166</v>
      </c>
      <c r="D1060" s="5" t="s">
        <v>12</v>
      </c>
      <c r="E1060" s="6">
        <v>502.29140903571442</v>
      </c>
      <c r="F1060" s="33" t="str">
        <f t="shared" si="32"/>
        <v>Below 530</v>
      </c>
      <c r="G1060" s="33">
        <f t="shared" si="33"/>
        <v>527.40597948750019</v>
      </c>
      <c r="H1060" s="7">
        <v>0.01</v>
      </c>
      <c r="I1060" s="5" t="s">
        <v>15</v>
      </c>
      <c r="J1060" s="5">
        <v>44</v>
      </c>
      <c r="K1060" s="2"/>
      <c r="L1060" s="2"/>
      <c r="M1060" s="1"/>
    </row>
    <row r="1061" spans="1:13" ht="14.4" x14ac:dyDescent="0.3">
      <c r="A1061" s="14">
        <v>44860</v>
      </c>
      <c r="B1061" s="5">
        <v>3</v>
      </c>
      <c r="C1061" s="32">
        <f>VLOOKUP(B1061,'area in m2'!B$2:C$10,2,FALSE)</f>
        <v>195</v>
      </c>
      <c r="D1061" s="5" t="s">
        <v>11</v>
      </c>
      <c r="E1061" s="6">
        <v>526.70510895380721</v>
      </c>
      <c r="F1061" s="33" t="str">
        <f t="shared" si="32"/>
        <v>Below 530</v>
      </c>
      <c r="G1061" s="33">
        <f t="shared" si="33"/>
        <v>553.04036440149764</v>
      </c>
      <c r="H1061" s="7">
        <v>0</v>
      </c>
      <c r="I1061" s="5" t="s">
        <v>15</v>
      </c>
      <c r="J1061" s="5">
        <v>22</v>
      </c>
      <c r="K1061" s="2"/>
      <c r="L1061" s="2"/>
      <c r="M1061" s="1"/>
    </row>
    <row r="1062" spans="1:13" ht="14.4" x14ac:dyDescent="0.3">
      <c r="A1062" s="14">
        <v>44656</v>
      </c>
      <c r="B1062" s="5">
        <v>3</v>
      </c>
      <c r="C1062" s="32">
        <f>VLOOKUP(B1062,'area in m2'!B$2:C$10,2,FALSE)</f>
        <v>195</v>
      </c>
      <c r="D1062" s="5" t="s">
        <v>11</v>
      </c>
      <c r="E1062" s="6">
        <v>544.15537163849876</v>
      </c>
      <c r="F1062" s="33" t="str">
        <f t="shared" si="32"/>
        <v>Over 530</v>
      </c>
      <c r="G1062" s="33">
        <f t="shared" si="33"/>
        <v>571.3631402204237</v>
      </c>
      <c r="H1062" s="7">
        <v>0.02</v>
      </c>
      <c r="I1062" s="5" t="s">
        <v>14</v>
      </c>
      <c r="J1062" s="5">
        <v>24</v>
      </c>
      <c r="K1062" s="2"/>
      <c r="L1062" s="2"/>
      <c r="M1062" s="1"/>
    </row>
    <row r="1063" spans="1:13" ht="14.4" x14ac:dyDescent="0.3">
      <c r="A1063" s="14">
        <v>44751</v>
      </c>
      <c r="B1063" s="5">
        <v>1</v>
      </c>
      <c r="C1063" s="32">
        <f>VLOOKUP(B1063,'area in m2'!B$2:C$10,2,FALSE)</f>
        <v>280</v>
      </c>
      <c r="D1063" s="5" t="s">
        <v>11</v>
      </c>
      <c r="E1063" s="6">
        <v>503.53947176391466</v>
      </c>
      <c r="F1063" s="33" t="str">
        <f t="shared" si="32"/>
        <v>Below 530</v>
      </c>
      <c r="G1063" s="33">
        <f t="shared" si="33"/>
        <v>528.71644535211044</v>
      </c>
      <c r="H1063" s="7">
        <v>0.02</v>
      </c>
      <c r="I1063" s="5" t="s">
        <v>14</v>
      </c>
      <c r="J1063" s="5">
        <v>47</v>
      </c>
      <c r="K1063" s="2"/>
      <c r="L1063" s="2"/>
      <c r="M1063" s="1"/>
    </row>
    <row r="1064" spans="1:13" ht="14.4" x14ac:dyDescent="0.3">
      <c r="A1064" s="14">
        <v>44589</v>
      </c>
      <c r="B1064" s="5">
        <v>3</v>
      </c>
      <c r="C1064" s="32">
        <f>VLOOKUP(B1064,'area in m2'!B$2:C$10,2,FALSE)</f>
        <v>195</v>
      </c>
      <c r="D1064" s="5" t="s">
        <v>11</v>
      </c>
      <c r="E1064" s="6">
        <v>521.78303051548392</v>
      </c>
      <c r="F1064" s="33" t="str">
        <f t="shared" si="32"/>
        <v>Below 530</v>
      </c>
      <c r="G1064" s="33">
        <f t="shared" si="33"/>
        <v>547.87218204125816</v>
      </c>
      <c r="H1064" s="7">
        <v>0.02</v>
      </c>
      <c r="I1064" s="5" t="s">
        <v>15</v>
      </c>
      <c r="J1064" s="5">
        <v>46</v>
      </c>
      <c r="K1064" s="2"/>
      <c r="L1064" s="2"/>
      <c r="M1064" s="1"/>
    </row>
    <row r="1065" spans="1:13" ht="14.4" x14ac:dyDescent="0.3">
      <c r="A1065" s="14">
        <v>44713</v>
      </c>
      <c r="B1065" s="5">
        <v>8</v>
      </c>
      <c r="C1065" s="32">
        <f>VLOOKUP(B1065,'area in m2'!B$2:C$10,2,FALSE)</f>
        <v>142</v>
      </c>
      <c r="D1065" s="5" t="s">
        <v>12</v>
      </c>
      <c r="E1065" s="6">
        <v>539.52105589939038</v>
      </c>
      <c r="F1065" s="33" t="str">
        <f t="shared" si="32"/>
        <v>Over 530</v>
      </c>
      <c r="G1065" s="33">
        <f t="shared" si="33"/>
        <v>566.49710869435989</v>
      </c>
      <c r="H1065" s="7">
        <v>0</v>
      </c>
      <c r="I1065" s="5" t="s">
        <v>14</v>
      </c>
      <c r="J1065" s="5">
        <v>27</v>
      </c>
      <c r="K1065" s="2"/>
      <c r="L1065" s="2"/>
      <c r="M1065" s="1"/>
    </row>
    <row r="1066" spans="1:13" ht="14.4" x14ac:dyDescent="0.3">
      <c r="A1066" s="14">
        <v>44771</v>
      </c>
      <c r="B1066" s="5">
        <v>6</v>
      </c>
      <c r="C1066" s="32">
        <f>VLOOKUP(B1066,'area in m2'!B$2:C$10,2,FALSE)</f>
        <v>175</v>
      </c>
      <c r="D1066" s="5" t="s">
        <v>13</v>
      </c>
      <c r="E1066" s="6">
        <v>525.49924466842276</v>
      </c>
      <c r="F1066" s="33" t="str">
        <f t="shared" si="32"/>
        <v>Below 530</v>
      </c>
      <c r="G1066" s="33">
        <f t="shared" si="33"/>
        <v>551.77420690184397</v>
      </c>
      <c r="H1066" s="7">
        <v>0</v>
      </c>
      <c r="I1066" s="5" t="s">
        <v>14</v>
      </c>
      <c r="J1066" s="5">
        <v>40</v>
      </c>
      <c r="K1066" s="2"/>
      <c r="L1066" s="2"/>
      <c r="M1066" s="1"/>
    </row>
    <row r="1067" spans="1:13" ht="14.4" x14ac:dyDescent="0.3">
      <c r="A1067" s="14">
        <v>44852</v>
      </c>
      <c r="B1067" s="5">
        <v>3</v>
      </c>
      <c r="C1067" s="32">
        <f>VLOOKUP(B1067,'area in m2'!B$2:C$10,2,FALSE)</f>
        <v>195</v>
      </c>
      <c r="D1067" s="5" t="s">
        <v>11</v>
      </c>
      <c r="E1067" s="6">
        <v>533.57601609350058</v>
      </c>
      <c r="F1067" s="33" t="str">
        <f t="shared" si="32"/>
        <v>Over 530</v>
      </c>
      <c r="G1067" s="33">
        <f t="shared" si="33"/>
        <v>560.25481689817559</v>
      </c>
      <c r="H1067" s="7">
        <v>0.01</v>
      </c>
      <c r="I1067" s="5" t="s">
        <v>14</v>
      </c>
      <c r="J1067" s="5">
        <v>50</v>
      </c>
      <c r="K1067" s="2"/>
      <c r="L1067" s="2"/>
      <c r="M1067" s="1"/>
    </row>
    <row r="1068" spans="1:13" ht="14.4" x14ac:dyDescent="0.3">
      <c r="A1068" s="14">
        <v>44657</v>
      </c>
      <c r="B1068" s="5">
        <v>7</v>
      </c>
      <c r="C1068" s="32">
        <f>VLOOKUP(B1068,'area in m2'!B$2:C$10,2,FALSE)</f>
        <v>166</v>
      </c>
      <c r="D1068" s="5" t="s">
        <v>12</v>
      </c>
      <c r="E1068" s="6">
        <v>527.67632349783162</v>
      </c>
      <c r="F1068" s="33" t="str">
        <f t="shared" si="32"/>
        <v>Below 530</v>
      </c>
      <c r="G1068" s="33">
        <f t="shared" si="33"/>
        <v>554.06013967272327</v>
      </c>
      <c r="H1068" s="7">
        <v>0.03</v>
      </c>
      <c r="I1068" s="5" t="s">
        <v>15</v>
      </c>
      <c r="J1068" s="5">
        <v>16</v>
      </c>
      <c r="K1068" s="2"/>
      <c r="L1068" s="2"/>
      <c r="M1068" s="1"/>
    </row>
    <row r="1069" spans="1:13" ht="14.4" x14ac:dyDescent="0.3">
      <c r="A1069" s="14">
        <v>44713</v>
      </c>
      <c r="B1069" s="5">
        <v>3</v>
      </c>
      <c r="C1069" s="32">
        <f>VLOOKUP(B1069,'area in m2'!B$2:C$10,2,FALSE)</f>
        <v>195</v>
      </c>
      <c r="D1069" s="5" t="s">
        <v>11</v>
      </c>
      <c r="E1069" s="6">
        <v>507.57175024027401</v>
      </c>
      <c r="F1069" s="33" t="str">
        <f t="shared" si="32"/>
        <v>Below 530</v>
      </c>
      <c r="G1069" s="33">
        <f t="shared" si="33"/>
        <v>532.95033775228774</v>
      </c>
      <c r="H1069" s="7">
        <v>0.01</v>
      </c>
      <c r="I1069" s="5" t="s">
        <v>14</v>
      </c>
      <c r="J1069" s="5">
        <v>36</v>
      </c>
      <c r="K1069" s="2"/>
      <c r="L1069" s="2"/>
      <c r="M1069" s="1"/>
    </row>
    <row r="1070" spans="1:13" ht="14.4" x14ac:dyDescent="0.3">
      <c r="A1070" s="14">
        <v>44568</v>
      </c>
      <c r="B1070" s="5">
        <v>9</v>
      </c>
      <c r="C1070" s="32">
        <f>VLOOKUP(B1070,'area in m2'!B$2:C$10,2,FALSE)</f>
        <v>140</v>
      </c>
      <c r="D1070" s="5" t="s">
        <v>12</v>
      </c>
      <c r="E1070" s="6">
        <v>513.00795703122094</v>
      </c>
      <c r="F1070" s="33" t="str">
        <f t="shared" si="32"/>
        <v>Below 530</v>
      </c>
      <c r="G1070" s="33">
        <f t="shared" si="33"/>
        <v>538.65835488278196</v>
      </c>
      <c r="H1070" s="7">
        <v>0.01</v>
      </c>
      <c r="I1070" s="5" t="s">
        <v>14</v>
      </c>
      <c r="J1070" s="5">
        <v>21</v>
      </c>
      <c r="K1070" s="2"/>
      <c r="L1070" s="2"/>
      <c r="M1070" s="1"/>
    </row>
    <row r="1071" spans="1:13" ht="14.4" x14ac:dyDescent="0.3">
      <c r="A1071" s="14">
        <v>44900</v>
      </c>
      <c r="B1071" s="5">
        <v>8</v>
      </c>
      <c r="C1071" s="32">
        <f>VLOOKUP(B1071,'area in m2'!B$2:C$10,2,FALSE)</f>
        <v>142</v>
      </c>
      <c r="D1071" s="5" t="s">
        <v>12</v>
      </c>
      <c r="E1071" s="6">
        <v>535.86771622484594</v>
      </c>
      <c r="F1071" s="33" t="str">
        <f t="shared" si="32"/>
        <v>Over 530</v>
      </c>
      <c r="G1071" s="33">
        <f t="shared" si="33"/>
        <v>562.66110203608821</v>
      </c>
      <c r="H1071" s="7">
        <v>0.01</v>
      </c>
      <c r="I1071" s="5" t="s">
        <v>14</v>
      </c>
      <c r="J1071" s="5">
        <v>23</v>
      </c>
      <c r="K1071" s="2"/>
      <c r="L1071" s="2"/>
      <c r="M1071" s="1"/>
    </row>
    <row r="1072" spans="1:13" ht="14.4" x14ac:dyDescent="0.3">
      <c r="A1072" s="14">
        <v>44587</v>
      </c>
      <c r="B1072" s="5">
        <v>2</v>
      </c>
      <c r="C1072" s="32">
        <f>VLOOKUP(B1072,'area in m2'!B$2:C$10,2,FALSE)</f>
        <v>250</v>
      </c>
      <c r="D1072" s="5" t="s">
        <v>11</v>
      </c>
      <c r="E1072" s="6">
        <v>536.49900626389535</v>
      </c>
      <c r="F1072" s="33" t="str">
        <f t="shared" si="32"/>
        <v>Over 530</v>
      </c>
      <c r="G1072" s="33">
        <f t="shared" si="33"/>
        <v>563.32395657709014</v>
      </c>
      <c r="H1072" s="7">
        <v>0.01</v>
      </c>
      <c r="I1072" s="5" t="s">
        <v>14</v>
      </c>
      <c r="J1072" s="5">
        <v>40</v>
      </c>
      <c r="K1072" s="2"/>
      <c r="L1072" s="2"/>
      <c r="M1072" s="1"/>
    </row>
    <row r="1073" spans="1:13" ht="14.4" x14ac:dyDescent="0.3">
      <c r="A1073" s="14">
        <v>44667</v>
      </c>
      <c r="B1073" s="5">
        <v>9</v>
      </c>
      <c r="C1073" s="32">
        <f>VLOOKUP(B1073,'area in m2'!B$2:C$10,2,FALSE)</f>
        <v>140</v>
      </c>
      <c r="D1073" s="5" t="s">
        <v>12</v>
      </c>
      <c r="E1073" s="6">
        <v>544.87413455754722</v>
      </c>
      <c r="F1073" s="33" t="str">
        <f t="shared" si="32"/>
        <v>Over 530</v>
      </c>
      <c r="G1073" s="33">
        <f t="shared" si="33"/>
        <v>572.11784128542456</v>
      </c>
      <c r="H1073" s="7">
        <v>0.01</v>
      </c>
      <c r="I1073" s="5" t="s">
        <v>14</v>
      </c>
      <c r="J1073" s="5">
        <v>30</v>
      </c>
      <c r="K1073" s="2"/>
      <c r="L1073" s="2"/>
      <c r="M1073" s="1"/>
    </row>
    <row r="1074" spans="1:13" ht="14.4" x14ac:dyDescent="0.3">
      <c r="A1074" s="14">
        <v>44704</v>
      </c>
      <c r="B1074" s="5">
        <v>4</v>
      </c>
      <c r="C1074" s="32">
        <f>VLOOKUP(B1074,'area in m2'!B$2:C$10,2,FALSE)</f>
        <v>188</v>
      </c>
      <c r="D1074" s="5" t="s">
        <v>11</v>
      </c>
      <c r="E1074" s="6">
        <v>531.47763423534616</v>
      </c>
      <c r="F1074" s="33" t="str">
        <f t="shared" si="32"/>
        <v>Over 530</v>
      </c>
      <c r="G1074" s="33">
        <f t="shared" si="33"/>
        <v>558.05151594711344</v>
      </c>
      <c r="H1074" s="7">
        <v>0.03</v>
      </c>
      <c r="I1074" s="5" t="s">
        <v>15</v>
      </c>
      <c r="J1074" s="5">
        <v>30</v>
      </c>
      <c r="K1074" s="2"/>
      <c r="L1074" s="2"/>
      <c r="M1074" s="1"/>
    </row>
    <row r="1075" spans="1:13" ht="14.4" x14ac:dyDescent="0.3">
      <c r="A1075" s="14">
        <v>44797</v>
      </c>
      <c r="B1075" s="5">
        <v>2</v>
      </c>
      <c r="C1075" s="32">
        <f>VLOOKUP(B1075,'area in m2'!B$2:C$10,2,FALSE)</f>
        <v>250</v>
      </c>
      <c r="D1075" s="5" t="s">
        <v>11</v>
      </c>
      <c r="E1075" s="6">
        <v>515.74905112599117</v>
      </c>
      <c r="F1075" s="33" t="str">
        <f t="shared" si="32"/>
        <v>Below 530</v>
      </c>
      <c r="G1075" s="33">
        <f t="shared" si="33"/>
        <v>541.5365036822908</v>
      </c>
      <c r="H1075" s="7">
        <v>0</v>
      </c>
      <c r="I1075" s="5" t="s">
        <v>15</v>
      </c>
      <c r="J1075" s="5">
        <v>57</v>
      </c>
      <c r="K1075" s="2"/>
      <c r="L1075" s="2"/>
      <c r="M1075" s="1"/>
    </row>
    <row r="1076" spans="1:13" ht="14.4" x14ac:dyDescent="0.3">
      <c r="A1076" s="14">
        <v>44596</v>
      </c>
      <c r="B1076" s="5">
        <v>7</v>
      </c>
      <c r="C1076" s="32">
        <f>VLOOKUP(B1076,'area in m2'!B$2:C$10,2,FALSE)</f>
        <v>166</v>
      </c>
      <c r="D1076" s="5" t="s">
        <v>12</v>
      </c>
      <c r="E1076" s="6">
        <v>538.47602510509387</v>
      </c>
      <c r="F1076" s="33" t="str">
        <f t="shared" si="32"/>
        <v>Over 530</v>
      </c>
      <c r="G1076" s="33">
        <f t="shared" si="33"/>
        <v>565.39982636034858</v>
      </c>
      <c r="H1076" s="7">
        <v>0.01</v>
      </c>
      <c r="I1076" s="5" t="s">
        <v>14</v>
      </c>
      <c r="J1076" s="5">
        <v>24</v>
      </c>
      <c r="K1076" s="2"/>
      <c r="L1076" s="2"/>
      <c r="M1076" s="1"/>
    </row>
    <row r="1077" spans="1:13" ht="14.4" x14ac:dyDescent="0.3">
      <c r="A1077" s="14">
        <v>44729</v>
      </c>
      <c r="B1077" s="5">
        <v>2</v>
      </c>
      <c r="C1077" s="32">
        <f>VLOOKUP(B1077,'area in m2'!B$2:C$10,2,FALSE)</f>
        <v>250</v>
      </c>
      <c r="D1077" s="5" t="s">
        <v>11</v>
      </c>
      <c r="E1077" s="6">
        <v>548.34165942334221</v>
      </c>
      <c r="F1077" s="33" t="str">
        <f t="shared" si="32"/>
        <v>Over 530</v>
      </c>
      <c r="G1077" s="33">
        <f t="shared" si="33"/>
        <v>575.75874239450934</v>
      </c>
      <c r="H1077" s="7">
        <v>0</v>
      </c>
      <c r="I1077" s="5" t="s">
        <v>14</v>
      </c>
      <c r="J1077" s="5">
        <v>25</v>
      </c>
      <c r="K1077" s="2"/>
      <c r="L1077" s="2"/>
      <c r="M1077" s="1"/>
    </row>
    <row r="1078" spans="1:13" ht="14.4" x14ac:dyDescent="0.3">
      <c r="A1078" s="14">
        <v>44678</v>
      </c>
      <c r="B1078" s="5">
        <v>8</v>
      </c>
      <c r="C1078" s="32">
        <f>VLOOKUP(B1078,'area in m2'!B$2:C$10,2,FALSE)</f>
        <v>142</v>
      </c>
      <c r="D1078" s="5" t="s">
        <v>11</v>
      </c>
      <c r="E1078" s="6">
        <v>517.73777878689998</v>
      </c>
      <c r="F1078" s="33" t="str">
        <f t="shared" si="32"/>
        <v>Below 530</v>
      </c>
      <c r="G1078" s="33">
        <f t="shared" si="33"/>
        <v>543.62466772624498</v>
      </c>
      <c r="H1078" s="7">
        <v>0.01</v>
      </c>
      <c r="I1078" s="5" t="s">
        <v>14</v>
      </c>
      <c r="J1078" s="5">
        <v>30</v>
      </c>
      <c r="K1078" s="2"/>
      <c r="L1078" s="2"/>
      <c r="M1078" s="1"/>
    </row>
    <row r="1079" spans="1:13" ht="14.4" x14ac:dyDescent="0.3">
      <c r="A1079" s="14">
        <v>44674</v>
      </c>
      <c r="B1079" s="5">
        <v>5</v>
      </c>
      <c r="C1079" s="32">
        <f>VLOOKUP(B1079,'area in m2'!B$2:C$10,2,FALSE)</f>
        <v>200</v>
      </c>
      <c r="D1079" s="5" t="s">
        <v>13</v>
      </c>
      <c r="E1079" s="6">
        <v>548.88656006991368</v>
      </c>
      <c r="F1079" s="33" t="str">
        <f t="shared" si="32"/>
        <v>Over 530</v>
      </c>
      <c r="G1079" s="33">
        <f t="shared" si="33"/>
        <v>576.33088807340937</v>
      </c>
      <c r="H1079" s="7">
        <v>0.02</v>
      </c>
      <c r="I1079" s="5" t="s">
        <v>15</v>
      </c>
      <c r="J1079" s="5">
        <v>37</v>
      </c>
      <c r="K1079" s="2"/>
      <c r="L1079" s="2"/>
      <c r="M1079" s="1"/>
    </row>
    <row r="1080" spans="1:13" ht="14.4" x14ac:dyDescent="0.3">
      <c r="A1080" s="14">
        <v>44718</v>
      </c>
      <c r="B1080" s="5">
        <v>3</v>
      </c>
      <c r="C1080" s="32">
        <f>VLOOKUP(B1080,'area in m2'!B$2:C$10,2,FALSE)</f>
        <v>195</v>
      </c>
      <c r="D1080" s="5" t="s">
        <v>11</v>
      </c>
      <c r="E1080" s="6">
        <v>504.91062676936497</v>
      </c>
      <c r="F1080" s="33" t="str">
        <f t="shared" si="32"/>
        <v>Below 530</v>
      </c>
      <c r="G1080" s="33">
        <f t="shared" si="33"/>
        <v>530.15615810783322</v>
      </c>
      <c r="H1080" s="7">
        <v>0</v>
      </c>
      <c r="I1080" s="5" t="s">
        <v>15</v>
      </c>
      <c r="J1080" s="5">
        <v>61</v>
      </c>
      <c r="K1080" s="2"/>
      <c r="L1080" s="2"/>
      <c r="M1080" s="1"/>
    </row>
    <row r="1081" spans="1:13" ht="14.4" x14ac:dyDescent="0.3">
      <c r="A1081" s="14">
        <v>44795</v>
      </c>
      <c r="B1081" s="5">
        <v>7</v>
      </c>
      <c r="C1081" s="32">
        <f>VLOOKUP(B1081,'area in m2'!B$2:C$10,2,FALSE)</f>
        <v>166</v>
      </c>
      <c r="D1081" s="5" t="s">
        <v>12</v>
      </c>
      <c r="E1081" s="6">
        <v>521.54162511679351</v>
      </c>
      <c r="F1081" s="33" t="str">
        <f t="shared" si="32"/>
        <v>Below 530</v>
      </c>
      <c r="G1081" s="33">
        <f t="shared" si="33"/>
        <v>547.61870637263326</v>
      </c>
      <c r="H1081" s="7">
        <v>0.01</v>
      </c>
      <c r="I1081" s="5" t="s">
        <v>14</v>
      </c>
      <c r="J1081" s="5">
        <v>30</v>
      </c>
      <c r="K1081" s="2"/>
      <c r="L1081" s="2"/>
      <c r="M1081" s="1"/>
    </row>
    <row r="1082" spans="1:13" ht="14.4" x14ac:dyDescent="0.3">
      <c r="A1082" s="14">
        <v>44799</v>
      </c>
      <c r="B1082" s="5">
        <v>6</v>
      </c>
      <c r="C1082" s="32">
        <f>VLOOKUP(B1082,'area in m2'!B$2:C$10,2,FALSE)</f>
        <v>175</v>
      </c>
      <c r="D1082" s="5" t="s">
        <v>13</v>
      </c>
      <c r="E1082" s="6">
        <v>527.47439312936694</v>
      </c>
      <c r="F1082" s="33" t="str">
        <f t="shared" si="32"/>
        <v>Below 530</v>
      </c>
      <c r="G1082" s="33">
        <f t="shared" si="33"/>
        <v>553.84811278583527</v>
      </c>
      <c r="H1082" s="7">
        <v>0.02</v>
      </c>
      <c r="I1082" s="5" t="s">
        <v>14</v>
      </c>
      <c r="J1082" s="5">
        <v>30</v>
      </c>
      <c r="K1082" s="2"/>
      <c r="L1082" s="2"/>
      <c r="M1082" s="1"/>
    </row>
    <row r="1083" spans="1:13" ht="14.4" x14ac:dyDescent="0.3">
      <c r="A1083" s="14">
        <v>44692</v>
      </c>
      <c r="B1083" s="5">
        <v>7</v>
      </c>
      <c r="C1083" s="32">
        <f>VLOOKUP(B1083,'area in m2'!B$2:C$10,2,FALSE)</f>
        <v>166</v>
      </c>
      <c r="D1083" s="5" t="s">
        <v>12</v>
      </c>
      <c r="E1083" s="6">
        <v>547.93749925884549</v>
      </c>
      <c r="F1083" s="33" t="str">
        <f t="shared" si="32"/>
        <v>Over 530</v>
      </c>
      <c r="G1083" s="33">
        <f t="shared" si="33"/>
        <v>575.33437422178781</v>
      </c>
      <c r="H1083" s="7">
        <v>0</v>
      </c>
      <c r="I1083" s="5" t="s">
        <v>14</v>
      </c>
      <c r="J1083" s="5">
        <v>21</v>
      </c>
      <c r="K1083" s="2"/>
      <c r="L1083" s="2"/>
      <c r="M1083" s="1"/>
    </row>
    <row r="1084" spans="1:13" ht="14.4" x14ac:dyDescent="0.3">
      <c r="A1084" s="14">
        <v>44925</v>
      </c>
      <c r="B1084" s="5">
        <v>2</v>
      </c>
      <c r="C1084" s="32">
        <f>VLOOKUP(B1084,'area in m2'!B$2:C$10,2,FALSE)</f>
        <v>250</v>
      </c>
      <c r="D1084" s="5" t="s">
        <v>11</v>
      </c>
      <c r="E1084" s="6">
        <v>513.43335679943812</v>
      </c>
      <c r="F1084" s="33" t="str">
        <f t="shared" si="32"/>
        <v>Below 530</v>
      </c>
      <c r="G1084" s="33">
        <f t="shared" si="33"/>
        <v>539.10502463941009</v>
      </c>
      <c r="H1084" s="7">
        <v>0</v>
      </c>
      <c r="I1084" s="5" t="s">
        <v>14</v>
      </c>
      <c r="J1084" s="5">
        <v>40</v>
      </c>
      <c r="K1084" s="2"/>
      <c r="L1084" s="2"/>
      <c r="M1084" s="1"/>
    </row>
    <row r="1085" spans="1:13" ht="14.4" x14ac:dyDescent="0.3">
      <c r="A1085" s="14">
        <v>44630</v>
      </c>
      <c r="B1085" s="5">
        <v>9</v>
      </c>
      <c r="C1085" s="32">
        <f>VLOOKUP(B1085,'area in m2'!B$2:C$10,2,FALSE)</f>
        <v>140</v>
      </c>
      <c r="D1085" s="5" t="s">
        <v>12</v>
      </c>
      <c r="E1085" s="6">
        <v>501.57891366752665</v>
      </c>
      <c r="F1085" s="33" t="str">
        <f t="shared" si="32"/>
        <v>Below 530</v>
      </c>
      <c r="G1085" s="33">
        <f t="shared" si="33"/>
        <v>526.65785935090298</v>
      </c>
      <c r="H1085" s="7">
        <v>0</v>
      </c>
      <c r="I1085" s="5" t="s">
        <v>14</v>
      </c>
      <c r="J1085" s="5">
        <v>35</v>
      </c>
      <c r="K1085" s="2"/>
      <c r="L1085" s="2"/>
      <c r="M1085" s="1"/>
    </row>
    <row r="1086" spans="1:13" ht="14.4" x14ac:dyDescent="0.3">
      <c r="A1086" s="14">
        <v>44830</v>
      </c>
      <c r="B1086" s="5">
        <v>6</v>
      </c>
      <c r="C1086" s="32">
        <f>VLOOKUP(B1086,'area in m2'!B$2:C$10,2,FALSE)</f>
        <v>175</v>
      </c>
      <c r="D1086" s="5" t="s">
        <v>13</v>
      </c>
      <c r="E1086" s="6">
        <v>529.82803792813684</v>
      </c>
      <c r="F1086" s="33" t="str">
        <f t="shared" si="32"/>
        <v>Below 530</v>
      </c>
      <c r="G1086" s="33">
        <f t="shared" si="33"/>
        <v>556.31943982454368</v>
      </c>
      <c r="H1086" s="7">
        <v>0.03</v>
      </c>
      <c r="I1086" s="5" t="s">
        <v>15</v>
      </c>
      <c r="J1086" s="5">
        <v>41</v>
      </c>
      <c r="K1086" s="2"/>
      <c r="L1086" s="2"/>
      <c r="M1086" s="1"/>
    </row>
    <row r="1087" spans="1:13" ht="14.4" x14ac:dyDescent="0.3">
      <c r="A1087" s="14">
        <v>44792</v>
      </c>
      <c r="B1087" s="5">
        <v>8</v>
      </c>
      <c r="C1087" s="32">
        <f>VLOOKUP(B1087,'area in m2'!B$2:C$10,2,FALSE)</f>
        <v>142</v>
      </c>
      <c r="D1087" s="5" t="s">
        <v>12</v>
      </c>
      <c r="E1087" s="6">
        <v>535.60514185718694</v>
      </c>
      <c r="F1087" s="33" t="str">
        <f t="shared" si="32"/>
        <v>Over 530</v>
      </c>
      <c r="G1087" s="33">
        <f t="shared" si="33"/>
        <v>562.38539895004635</v>
      </c>
      <c r="H1087" s="7">
        <v>0.03</v>
      </c>
      <c r="I1087" s="5" t="s">
        <v>15</v>
      </c>
      <c r="J1087" s="5">
        <v>33</v>
      </c>
      <c r="K1087" s="2"/>
      <c r="L1087" s="2"/>
      <c r="M1087" s="1"/>
    </row>
    <row r="1088" spans="1:13" ht="14.4" x14ac:dyDescent="0.3">
      <c r="A1088" s="14">
        <v>44637</v>
      </c>
      <c r="B1088" s="5">
        <v>8</v>
      </c>
      <c r="C1088" s="32">
        <f>VLOOKUP(B1088,'area in m2'!B$2:C$10,2,FALSE)</f>
        <v>142</v>
      </c>
      <c r="D1088" s="5" t="s">
        <v>12</v>
      </c>
      <c r="E1088" s="6">
        <v>509.71307958120542</v>
      </c>
      <c r="F1088" s="33" t="str">
        <f t="shared" si="32"/>
        <v>Below 530</v>
      </c>
      <c r="G1088" s="33">
        <f t="shared" si="33"/>
        <v>535.19873356026574</v>
      </c>
      <c r="H1088" s="7">
        <v>0.01</v>
      </c>
      <c r="I1088" s="5" t="s">
        <v>14</v>
      </c>
      <c r="J1088" s="5">
        <v>41</v>
      </c>
      <c r="K1088" s="2"/>
      <c r="L1088" s="2"/>
      <c r="M1088" s="1"/>
    </row>
    <row r="1089" spans="1:13" ht="14.4" x14ac:dyDescent="0.3">
      <c r="A1089" s="14">
        <v>44636</v>
      </c>
      <c r="B1089" s="5">
        <v>3</v>
      </c>
      <c r="C1089" s="32">
        <f>VLOOKUP(B1089,'area in m2'!B$2:C$10,2,FALSE)</f>
        <v>195</v>
      </c>
      <c r="D1089" s="5" t="s">
        <v>11</v>
      </c>
      <c r="E1089" s="6">
        <v>544.80780312079514</v>
      </c>
      <c r="F1089" s="33" t="str">
        <f t="shared" si="32"/>
        <v>Over 530</v>
      </c>
      <c r="G1089" s="33">
        <f t="shared" si="33"/>
        <v>572.04819327683492</v>
      </c>
      <c r="H1089" s="7">
        <v>0.02</v>
      </c>
      <c r="I1089" s="5" t="s">
        <v>15</v>
      </c>
      <c r="J1089" s="5">
        <v>58</v>
      </c>
      <c r="K1089" s="2"/>
      <c r="L1089" s="2"/>
      <c r="M1089" s="1"/>
    </row>
    <row r="1090" spans="1:13" ht="14.4" x14ac:dyDescent="0.3">
      <c r="A1090" s="14">
        <v>44624</v>
      </c>
      <c r="B1090" s="5">
        <v>4</v>
      </c>
      <c r="C1090" s="32">
        <f>VLOOKUP(B1090,'area in m2'!B$2:C$10,2,FALSE)</f>
        <v>188</v>
      </c>
      <c r="D1090" s="5" t="s">
        <v>11</v>
      </c>
      <c r="E1090" s="6">
        <v>545.49866649102842</v>
      </c>
      <c r="F1090" s="33" t="str">
        <f t="shared" si="32"/>
        <v>Over 530</v>
      </c>
      <c r="G1090" s="33">
        <f t="shared" si="33"/>
        <v>572.77359981557981</v>
      </c>
      <c r="H1090" s="7">
        <v>0.03</v>
      </c>
      <c r="I1090" s="5" t="s">
        <v>14</v>
      </c>
      <c r="J1090" s="5">
        <v>28</v>
      </c>
      <c r="K1090" s="2"/>
      <c r="L1090" s="2"/>
      <c r="M1090" s="1"/>
    </row>
    <row r="1091" spans="1:13" ht="14.4" x14ac:dyDescent="0.3">
      <c r="A1091" s="14">
        <v>44667</v>
      </c>
      <c r="B1091" s="5">
        <v>5</v>
      </c>
      <c r="C1091" s="32">
        <f>VLOOKUP(B1091,'area in m2'!B$2:C$10,2,FALSE)</f>
        <v>200</v>
      </c>
      <c r="D1091" s="5" t="s">
        <v>13</v>
      </c>
      <c r="E1091" s="6">
        <v>551.44504845173742</v>
      </c>
      <c r="F1091" s="33" t="str">
        <f t="shared" si="32"/>
        <v>Over 530</v>
      </c>
      <c r="G1091" s="33">
        <f t="shared" si="33"/>
        <v>579.01730087432429</v>
      </c>
      <c r="H1091" s="7">
        <v>0.01</v>
      </c>
      <c r="I1091" s="5" t="s">
        <v>15</v>
      </c>
      <c r="J1091" s="5">
        <v>31</v>
      </c>
      <c r="K1091" s="2"/>
      <c r="L1091" s="2"/>
      <c r="M1091" s="1"/>
    </row>
    <row r="1092" spans="1:13" ht="14.4" x14ac:dyDescent="0.3">
      <c r="A1092" s="14">
        <v>44866</v>
      </c>
      <c r="B1092" s="5">
        <v>2</v>
      </c>
      <c r="C1092" s="32">
        <f>VLOOKUP(B1092,'area in m2'!B$2:C$10,2,FALSE)</f>
        <v>250</v>
      </c>
      <c r="D1092" s="5" t="s">
        <v>11</v>
      </c>
      <c r="E1092" s="6">
        <v>502.5980693503634</v>
      </c>
      <c r="F1092" s="33" t="str">
        <f t="shared" si="32"/>
        <v>Below 530</v>
      </c>
      <c r="G1092" s="33">
        <f t="shared" si="33"/>
        <v>527.72797281788155</v>
      </c>
      <c r="H1092" s="7">
        <v>0.02</v>
      </c>
      <c r="I1092" s="5" t="s">
        <v>14</v>
      </c>
      <c r="J1092" s="5">
        <v>55</v>
      </c>
      <c r="K1092" s="2"/>
      <c r="L1092" s="2"/>
      <c r="M1092" s="1"/>
    </row>
    <row r="1093" spans="1:13" ht="14.4" x14ac:dyDescent="0.3">
      <c r="A1093" s="14">
        <v>44878</v>
      </c>
      <c r="B1093" s="5">
        <v>5</v>
      </c>
      <c r="C1093" s="32">
        <f>VLOOKUP(B1093,'area in m2'!B$2:C$10,2,FALSE)</f>
        <v>200</v>
      </c>
      <c r="D1093" s="5" t="s">
        <v>13</v>
      </c>
      <c r="E1093" s="6">
        <v>543.85982950144717</v>
      </c>
      <c r="F1093" s="33" t="str">
        <f t="shared" ref="F1093:F1156" si="34">IF(E1093&gt;530,"Over 530","Below 530")</f>
        <v>Over 530</v>
      </c>
      <c r="G1093" s="33">
        <f t="shared" ref="G1093:G1156" si="35">+E1093*1.05</f>
        <v>571.05282097651957</v>
      </c>
      <c r="H1093" s="7">
        <v>0</v>
      </c>
      <c r="I1093" s="5" t="s">
        <v>14</v>
      </c>
      <c r="J1093" s="5">
        <v>25</v>
      </c>
      <c r="K1093" s="2"/>
      <c r="L1093" s="2"/>
      <c r="M1093" s="1"/>
    </row>
    <row r="1094" spans="1:13" ht="14.4" x14ac:dyDescent="0.3">
      <c r="A1094" s="14">
        <v>44845</v>
      </c>
      <c r="B1094" s="5">
        <v>3</v>
      </c>
      <c r="C1094" s="32">
        <f>VLOOKUP(B1094,'area in m2'!B$2:C$10,2,FALSE)</f>
        <v>195</v>
      </c>
      <c r="D1094" s="5" t="s">
        <v>11</v>
      </c>
      <c r="E1094" s="6">
        <v>549.61360945463093</v>
      </c>
      <c r="F1094" s="33" t="str">
        <f t="shared" si="34"/>
        <v>Over 530</v>
      </c>
      <c r="G1094" s="33">
        <f t="shared" si="35"/>
        <v>577.09428992736252</v>
      </c>
      <c r="H1094" s="7">
        <v>0</v>
      </c>
      <c r="I1094" s="5" t="s">
        <v>15</v>
      </c>
      <c r="J1094" s="5">
        <v>26</v>
      </c>
      <c r="K1094" s="2"/>
      <c r="L1094" s="2"/>
      <c r="M1094" s="1"/>
    </row>
    <row r="1095" spans="1:13" ht="14.4" x14ac:dyDescent="0.3">
      <c r="A1095" s="14">
        <v>44640</v>
      </c>
      <c r="B1095" s="5">
        <v>9</v>
      </c>
      <c r="C1095" s="32">
        <f>VLOOKUP(B1095,'area in m2'!B$2:C$10,2,FALSE)</f>
        <v>140</v>
      </c>
      <c r="D1095" s="5" t="s">
        <v>12</v>
      </c>
      <c r="E1095" s="6">
        <v>512.79645658375466</v>
      </c>
      <c r="F1095" s="33" t="str">
        <f t="shared" si="34"/>
        <v>Below 530</v>
      </c>
      <c r="G1095" s="33">
        <f t="shared" si="35"/>
        <v>538.43627941294244</v>
      </c>
      <c r="H1095" s="7">
        <v>0.01</v>
      </c>
      <c r="I1095" s="5" t="s">
        <v>14</v>
      </c>
      <c r="J1095" s="5">
        <v>62</v>
      </c>
      <c r="K1095" s="2"/>
      <c r="L1095" s="2"/>
      <c r="M1095" s="1"/>
    </row>
    <row r="1096" spans="1:13" ht="14.4" x14ac:dyDescent="0.3">
      <c r="A1096" s="14">
        <v>44593</v>
      </c>
      <c r="B1096" s="5">
        <v>9</v>
      </c>
      <c r="C1096" s="32">
        <f>VLOOKUP(B1096,'area in m2'!B$2:C$10,2,FALSE)</f>
        <v>140</v>
      </c>
      <c r="D1096" s="5" t="s">
        <v>12</v>
      </c>
      <c r="E1096" s="6">
        <v>533.03546409924274</v>
      </c>
      <c r="F1096" s="33" t="str">
        <f t="shared" si="34"/>
        <v>Over 530</v>
      </c>
      <c r="G1096" s="33">
        <f t="shared" si="35"/>
        <v>559.68723730420493</v>
      </c>
      <c r="H1096" s="7">
        <v>0.03</v>
      </c>
      <c r="I1096" s="5" t="s">
        <v>14</v>
      </c>
      <c r="J1096" s="5">
        <v>30</v>
      </c>
      <c r="K1096" s="2"/>
      <c r="L1096" s="2"/>
      <c r="M1096" s="1"/>
    </row>
    <row r="1097" spans="1:13" ht="14.4" x14ac:dyDescent="0.3">
      <c r="A1097" s="14">
        <v>44783</v>
      </c>
      <c r="B1097" s="5">
        <v>6</v>
      </c>
      <c r="C1097" s="32">
        <f>VLOOKUP(B1097,'area in m2'!B$2:C$10,2,FALSE)</f>
        <v>175</v>
      </c>
      <c r="D1097" s="5" t="s">
        <v>13</v>
      </c>
      <c r="E1097" s="6">
        <v>513.65130156096893</v>
      </c>
      <c r="F1097" s="33" t="str">
        <f t="shared" si="34"/>
        <v>Below 530</v>
      </c>
      <c r="G1097" s="33">
        <f t="shared" si="35"/>
        <v>539.3338666390174</v>
      </c>
      <c r="H1097" s="7">
        <v>0</v>
      </c>
      <c r="I1097" s="5" t="s">
        <v>14</v>
      </c>
      <c r="J1097" s="5">
        <v>37</v>
      </c>
      <c r="K1097" s="2"/>
      <c r="L1097" s="2"/>
      <c r="M1097" s="1"/>
    </row>
    <row r="1098" spans="1:13" ht="14.4" x14ac:dyDescent="0.3">
      <c r="A1098" s="14">
        <v>44692</v>
      </c>
      <c r="B1098" s="5">
        <v>7</v>
      </c>
      <c r="C1098" s="32">
        <f>VLOOKUP(B1098,'area in m2'!B$2:C$10,2,FALSE)</f>
        <v>166</v>
      </c>
      <c r="D1098" s="5" t="s">
        <v>12</v>
      </c>
      <c r="E1098" s="6">
        <v>529.12706268340935</v>
      </c>
      <c r="F1098" s="33" t="str">
        <f t="shared" si="34"/>
        <v>Below 530</v>
      </c>
      <c r="G1098" s="33">
        <f t="shared" si="35"/>
        <v>555.58341581757986</v>
      </c>
      <c r="H1098" s="7">
        <v>0.01</v>
      </c>
      <c r="I1098" s="5" t="s">
        <v>14</v>
      </c>
      <c r="J1098" s="5">
        <v>47</v>
      </c>
      <c r="K1098" s="2"/>
      <c r="L1098" s="2"/>
      <c r="M1098" s="1"/>
    </row>
    <row r="1099" spans="1:13" ht="14.4" x14ac:dyDescent="0.3">
      <c r="A1099" s="14">
        <v>44889</v>
      </c>
      <c r="B1099" s="5">
        <v>2</v>
      </c>
      <c r="C1099" s="32">
        <f>VLOOKUP(B1099,'area in m2'!B$2:C$10,2,FALSE)</f>
        <v>250</v>
      </c>
      <c r="D1099" s="5" t="s">
        <v>11</v>
      </c>
      <c r="E1099" s="6">
        <v>504.21074028462044</v>
      </c>
      <c r="F1099" s="33" t="str">
        <f t="shared" si="34"/>
        <v>Below 530</v>
      </c>
      <c r="G1099" s="33">
        <f t="shared" si="35"/>
        <v>529.42127729885146</v>
      </c>
      <c r="H1099" s="7">
        <v>0</v>
      </c>
      <c r="I1099" s="5" t="s">
        <v>15</v>
      </c>
      <c r="J1099" s="5">
        <v>22</v>
      </c>
      <c r="K1099" s="2"/>
      <c r="L1099" s="2"/>
      <c r="M1099" s="1"/>
    </row>
    <row r="1100" spans="1:13" ht="14.4" x14ac:dyDescent="0.3">
      <c r="A1100" s="14">
        <v>44851</v>
      </c>
      <c r="B1100" s="5">
        <v>5</v>
      </c>
      <c r="C1100" s="32">
        <f>VLOOKUP(B1100,'area in m2'!B$2:C$10,2,FALSE)</f>
        <v>200</v>
      </c>
      <c r="D1100" s="5" t="s">
        <v>13</v>
      </c>
      <c r="E1100" s="6">
        <v>522.81754962265586</v>
      </c>
      <c r="F1100" s="33" t="str">
        <f t="shared" si="34"/>
        <v>Below 530</v>
      </c>
      <c r="G1100" s="33">
        <f t="shared" si="35"/>
        <v>548.95842710378872</v>
      </c>
      <c r="H1100" s="7">
        <v>0.02</v>
      </c>
      <c r="I1100" s="5" t="s">
        <v>15</v>
      </c>
      <c r="J1100" s="5">
        <v>41</v>
      </c>
      <c r="K1100" s="2"/>
      <c r="L1100" s="2"/>
      <c r="M1100" s="1"/>
    </row>
    <row r="1101" spans="1:13" ht="14.4" x14ac:dyDescent="0.3">
      <c r="A1101" s="14">
        <v>44809</v>
      </c>
      <c r="B1101" s="5">
        <v>6</v>
      </c>
      <c r="C1101" s="32">
        <f>VLOOKUP(B1101,'area in m2'!B$2:C$10,2,FALSE)</f>
        <v>175</v>
      </c>
      <c r="D1101" s="5" t="s">
        <v>13</v>
      </c>
      <c r="E1101" s="6">
        <v>504.41229730739724</v>
      </c>
      <c r="F1101" s="33" t="str">
        <f t="shared" si="34"/>
        <v>Below 530</v>
      </c>
      <c r="G1101" s="33">
        <f t="shared" si="35"/>
        <v>529.63291217276708</v>
      </c>
      <c r="H1101" s="7">
        <v>0.01</v>
      </c>
      <c r="I1101" s="5" t="s">
        <v>15</v>
      </c>
      <c r="J1101" s="5">
        <v>26</v>
      </c>
      <c r="K1101" s="2"/>
      <c r="L1101" s="2"/>
      <c r="M1101" s="1"/>
    </row>
    <row r="1102" spans="1:13" ht="14.4" x14ac:dyDescent="0.3">
      <c r="A1102" s="14">
        <v>44828</v>
      </c>
      <c r="B1102" s="5">
        <v>3</v>
      </c>
      <c r="C1102" s="32">
        <f>VLOOKUP(B1102,'area in m2'!B$2:C$10,2,FALSE)</f>
        <v>195</v>
      </c>
      <c r="D1102" s="5" t="s">
        <v>11</v>
      </c>
      <c r="E1102" s="6">
        <v>515.33053769153776</v>
      </c>
      <c r="F1102" s="33" t="str">
        <f t="shared" si="34"/>
        <v>Below 530</v>
      </c>
      <c r="G1102" s="33">
        <f t="shared" si="35"/>
        <v>541.09706457611469</v>
      </c>
      <c r="H1102" s="7">
        <v>0.03</v>
      </c>
      <c r="I1102" s="5" t="s">
        <v>14</v>
      </c>
      <c r="J1102" s="5">
        <v>48</v>
      </c>
      <c r="K1102" s="2"/>
      <c r="L1102" s="2"/>
      <c r="M1102" s="1"/>
    </row>
    <row r="1103" spans="1:13" ht="14.4" x14ac:dyDescent="0.3">
      <c r="A1103" s="14">
        <v>44775</v>
      </c>
      <c r="B1103" s="5">
        <v>2</v>
      </c>
      <c r="C1103" s="32">
        <f>VLOOKUP(B1103,'area in m2'!B$2:C$10,2,FALSE)</f>
        <v>250</v>
      </c>
      <c r="D1103" s="5" t="s">
        <v>11</v>
      </c>
      <c r="E1103" s="6">
        <v>500.50019488799717</v>
      </c>
      <c r="F1103" s="33" t="str">
        <f t="shared" si="34"/>
        <v>Below 530</v>
      </c>
      <c r="G1103" s="33">
        <f t="shared" si="35"/>
        <v>525.52520463239705</v>
      </c>
      <c r="H1103" s="7">
        <v>0</v>
      </c>
      <c r="I1103" s="5" t="s">
        <v>15</v>
      </c>
      <c r="J1103" s="5">
        <v>44</v>
      </c>
      <c r="K1103" s="2"/>
      <c r="L1103" s="2"/>
      <c r="M1103" s="1"/>
    </row>
    <row r="1104" spans="1:13" ht="14.4" x14ac:dyDescent="0.3">
      <c r="A1104" s="14">
        <v>44797</v>
      </c>
      <c r="B1104" s="5">
        <v>2</v>
      </c>
      <c r="C1104" s="32">
        <f>VLOOKUP(B1104,'area in m2'!B$2:C$10,2,FALSE)</f>
        <v>250</v>
      </c>
      <c r="D1104" s="5" t="s">
        <v>11</v>
      </c>
      <c r="E1104" s="6">
        <v>507.30419295628508</v>
      </c>
      <c r="F1104" s="33" t="str">
        <f t="shared" si="34"/>
        <v>Below 530</v>
      </c>
      <c r="G1104" s="33">
        <f t="shared" si="35"/>
        <v>532.66940260409933</v>
      </c>
      <c r="H1104" s="7">
        <v>0.01</v>
      </c>
      <c r="I1104" s="5" t="s">
        <v>14</v>
      </c>
      <c r="J1104" s="5">
        <v>36</v>
      </c>
      <c r="K1104" s="2"/>
      <c r="L1104" s="2"/>
      <c r="M1104" s="1"/>
    </row>
    <row r="1105" spans="1:13" ht="14.4" x14ac:dyDescent="0.3">
      <c r="A1105" s="14">
        <v>44897</v>
      </c>
      <c r="B1105" s="5">
        <v>5</v>
      </c>
      <c r="C1105" s="32">
        <f>VLOOKUP(B1105,'area in m2'!B$2:C$10,2,FALSE)</f>
        <v>200</v>
      </c>
      <c r="D1105" s="5" t="s">
        <v>13</v>
      </c>
      <c r="E1105" s="6">
        <v>548.66037282141406</v>
      </c>
      <c r="F1105" s="33" t="str">
        <f t="shared" si="34"/>
        <v>Over 530</v>
      </c>
      <c r="G1105" s="33">
        <f t="shared" si="35"/>
        <v>576.09339146248476</v>
      </c>
      <c r="H1105" s="7">
        <v>0.03</v>
      </c>
      <c r="I1105" s="5" t="s">
        <v>14</v>
      </c>
      <c r="J1105" s="5">
        <v>25</v>
      </c>
      <c r="K1105" s="2"/>
      <c r="L1105" s="2"/>
      <c r="M1105" s="1"/>
    </row>
    <row r="1106" spans="1:13" ht="14.4" x14ac:dyDescent="0.3">
      <c r="A1106" s="14">
        <v>44754</v>
      </c>
      <c r="B1106" s="5">
        <v>7</v>
      </c>
      <c r="C1106" s="32">
        <f>VLOOKUP(B1106,'area in m2'!B$2:C$10,2,FALSE)</f>
        <v>166</v>
      </c>
      <c r="D1106" s="5" t="s">
        <v>12</v>
      </c>
      <c r="E1106" s="6">
        <v>532.97193798744502</v>
      </c>
      <c r="F1106" s="33" t="str">
        <f t="shared" si="34"/>
        <v>Over 530</v>
      </c>
      <c r="G1106" s="33">
        <f t="shared" si="35"/>
        <v>559.62053488681727</v>
      </c>
      <c r="H1106" s="7">
        <v>0.03</v>
      </c>
      <c r="I1106" s="5" t="s">
        <v>14</v>
      </c>
      <c r="J1106" s="5">
        <v>41</v>
      </c>
      <c r="K1106" s="2"/>
      <c r="L1106" s="2"/>
      <c r="M1106" s="1"/>
    </row>
    <row r="1107" spans="1:13" ht="14.4" x14ac:dyDescent="0.3">
      <c r="A1107" s="14">
        <v>44823</v>
      </c>
      <c r="B1107" s="5">
        <v>3</v>
      </c>
      <c r="C1107" s="32">
        <f>VLOOKUP(B1107,'area in m2'!B$2:C$10,2,FALSE)</f>
        <v>195</v>
      </c>
      <c r="D1107" s="5" t="s">
        <v>11</v>
      </c>
      <c r="E1107" s="6">
        <v>526.48078324179005</v>
      </c>
      <c r="F1107" s="33" t="str">
        <f t="shared" si="34"/>
        <v>Below 530</v>
      </c>
      <c r="G1107" s="33">
        <f t="shared" si="35"/>
        <v>552.8048224038796</v>
      </c>
      <c r="H1107" s="7">
        <v>0.02</v>
      </c>
      <c r="I1107" s="5" t="s">
        <v>14</v>
      </c>
      <c r="J1107" s="5">
        <v>41</v>
      </c>
      <c r="K1107" s="2"/>
      <c r="L1107" s="2"/>
      <c r="M1107" s="1"/>
    </row>
    <row r="1108" spans="1:13" ht="14.4" x14ac:dyDescent="0.3">
      <c r="A1108" s="14">
        <v>44789</v>
      </c>
      <c r="B1108" s="5">
        <v>5</v>
      </c>
      <c r="C1108" s="32">
        <f>VLOOKUP(B1108,'area in m2'!B$2:C$10,2,FALSE)</f>
        <v>200</v>
      </c>
      <c r="D1108" s="5" t="s">
        <v>13</v>
      </c>
      <c r="E1108" s="6">
        <v>545.89</v>
      </c>
      <c r="F1108" s="33" t="str">
        <f t="shared" si="34"/>
        <v>Over 530</v>
      </c>
      <c r="G1108" s="33">
        <f t="shared" si="35"/>
        <v>573.18449999999996</v>
      </c>
      <c r="H1108" s="7">
        <v>0</v>
      </c>
      <c r="I1108" s="5" t="s">
        <v>14</v>
      </c>
      <c r="J1108" s="5">
        <v>43</v>
      </c>
      <c r="K1108" s="2"/>
      <c r="L1108" s="2"/>
      <c r="M1108" s="1"/>
    </row>
    <row r="1109" spans="1:13" ht="14.4" x14ac:dyDescent="0.3">
      <c r="A1109" s="14">
        <v>44723</v>
      </c>
      <c r="B1109" s="5">
        <v>8</v>
      </c>
      <c r="C1109" s="32">
        <f>VLOOKUP(B1109,'area in m2'!B$2:C$10,2,FALSE)</f>
        <v>142</v>
      </c>
      <c r="D1109" s="5" t="s">
        <v>12</v>
      </c>
      <c r="E1109" s="6">
        <v>519.21583428902431</v>
      </c>
      <c r="F1109" s="33" t="str">
        <f t="shared" si="34"/>
        <v>Below 530</v>
      </c>
      <c r="G1109" s="33">
        <f t="shared" si="35"/>
        <v>545.17662600347558</v>
      </c>
      <c r="H1109" s="7">
        <v>0.03</v>
      </c>
      <c r="I1109" s="5" t="s">
        <v>14</v>
      </c>
      <c r="J1109" s="5">
        <v>30</v>
      </c>
      <c r="K1109" s="2"/>
      <c r="L1109" s="2"/>
      <c r="M1109" s="1"/>
    </row>
    <row r="1110" spans="1:13" ht="14.4" x14ac:dyDescent="0.3">
      <c r="A1110" s="14">
        <v>44562</v>
      </c>
      <c r="B1110" s="5">
        <v>4</v>
      </c>
      <c r="C1110" s="32">
        <f>VLOOKUP(B1110,'area in m2'!B$2:C$10,2,FALSE)</f>
        <v>188</v>
      </c>
      <c r="D1110" s="5" t="s">
        <v>11</v>
      </c>
      <c r="E1110" s="6">
        <v>533.45215875695067</v>
      </c>
      <c r="F1110" s="33" t="str">
        <f t="shared" si="34"/>
        <v>Over 530</v>
      </c>
      <c r="G1110" s="33">
        <f t="shared" si="35"/>
        <v>560.12476669479827</v>
      </c>
      <c r="H1110" s="7">
        <v>0.01</v>
      </c>
      <c r="I1110" s="5" t="s">
        <v>14</v>
      </c>
      <c r="J1110" s="5">
        <v>38</v>
      </c>
      <c r="K1110" s="2"/>
      <c r="L1110" s="2"/>
      <c r="M1110" s="1"/>
    </row>
    <row r="1111" spans="1:13" ht="14.4" x14ac:dyDescent="0.3">
      <c r="A1111" s="14">
        <v>44919</v>
      </c>
      <c r="B1111" s="5">
        <v>8</v>
      </c>
      <c r="C1111" s="32">
        <f>VLOOKUP(B1111,'area in m2'!B$2:C$10,2,FALSE)</f>
        <v>142</v>
      </c>
      <c r="D1111" s="5" t="s">
        <v>12</v>
      </c>
      <c r="E1111" s="6">
        <v>520.92631766317481</v>
      </c>
      <c r="F1111" s="33" t="str">
        <f t="shared" si="34"/>
        <v>Below 530</v>
      </c>
      <c r="G1111" s="33">
        <f t="shared" si="35"/>
        <v>546.97263354633355</v>
      </c>
      <c r="H1111" s="7">
        <v>0</v>
      </c>
      <c r="I1111" s="5" t="s">
        <v>15</v>
      </c>
      <c r="J1111" s="5">
        <v>60</v>
      </c>
      <c r="K1111" s="2"/>
      <c r="L1111" s="2"/>
      <c r="M1111" s="1"/>
    </row>
    <row r="1112" spans="1:13" ht="14.4" x14ac:dyDescent="0.3">
      <c r="A1112" s="14">
        <v>44846</v>
      </c>
      <c r="B1112" s="5">
        <v>3</v>
      </c>
      <c r="C1112" s="32">
        <f>VLOOKUP(B1112,'area in m2'!B$2:C$10,2,FALSE)</f>
        <v>195</v>
      </c>
      <c r="D1112" s="5" t="s">
        <v>11</v>
      </c>
      <c r="E1112" s="6">
        <v>508.22532616136868</v>
      </c>
      <c r="F1112" s="33" t="str">
        <f t="shared" si="34"/>
        <v>Below 530</v>
      </c>
      <c r="G1112" s="33">
        <f t="shared" si="35"/>
        <v>533.63659246943712</v>
      </c>
      <c r="H1112" s="7">
        <v>0.02</v>
      </c>
      <c r="I1112" s="5" t="s">
        <v>14</v>
      </c>
      <c r="J1112" s="5">
        <v>46</v>
      </c>
      <c r="K1112" s="2"/>
      <c r="L1112" s="2"/>
      <c r="M1112" s="1"/>
    </row>
    <row r="1113" spans="1:13" ht="14.4" x14ac:dyDescent="0.3">
      <c r="A1113" s="14">
        <v>44788</v>
      </c>
      <c r="B1113" s="5">
        <v>8</v>
      </c>
      <c r="C1113" s="32">
        <f>VLOOKUP(B1113,'area in m2'!B$2:C$10,2,FALSE)</f>
        <v>142</v>
      </c>
      <c r="D1113" s="5" t="s">
        <v>11</v>
      </c>
      <c r="E1113" s="6">
        <v>534.90036524120205</v>
      </c>
      <c r="F1113" s="33" t="str">
        <f t="shared" si="34"/>
        <v>Over 530</v>
      </c>
      <c r="G1113" s="33">
        <f t="shared" si="35"/>
        <v>561.64538350326222</v>
      </c>
      <c r="H1113" s="7">
        <v>0.03</v>
      </c>
      <c r="I1113" s="5" t="s">
        <v>14</v>
      </c>
      <c r="J1113" s="5">
        <v>21</v>
      </c>
      <c r="K1113" s="2"/>
      <c r="L1113" s="2"/>
      <c r="M1113" s="1"/>
    </row>
    <row r="1114" spans="1:13" ht="14.4" x14ac:dyDescent="0.3">
      <c r="A1114" s="14">
        <v>44583</v>
      </c>
      <c r="B1114" s="5">
        <v>4</v>
      </c>
      <c r="C1114" s="32">
        <f>VLOOKUP(B1114,'area in m2'!B$2:C$10,2,FALSE)</f>
        <v>188</v>
      </c>
      <c r="D1114" s="5" t="s">
        <v>11</v>
      </c>
      <c r="E1114" s="6">
        <v>519.29271769845946</v>
      </c>
      <c r="F1114" s="33" t="str">
        <f t="shared" si="34"/>
        <v>Below 530</v>
      </c>
      <c r="G1114" s="33">
        <f t="shared" si="35"/>
        <v>545.2573535833825</v>
      </c>
      <c r="H1114" s="7">
        <v>0.01</v>
      </c>
      <c r="I1114" s="5" t="s">
        <v>14</v>
      </c>
      <c r="J1114" s="5">
        <v>38</v>
      </c>
      <c r="K1114" s="2"/>
      <c r="L1114" s="2"/>
      <c r="M1114" s="1"/>
    </row>
    <row r="1115" spans="1:13" ht="14.4" x14ac:dyDescent="0.3">
      <c r="A1115" s="14">
        <v>44705</v>
      </c>
      <c r="B1115" s="5">
        <v>3</v>
      </c>
      <c r="C1115" s="32">
        <f>VLOOKUP(B1115,'area in m2'!B$2:C$10,2,FALSE)</f>
        <v>195</v>
      </c>
      <c r="D1115" s="5" t="s">
        <v>11</v>
      </c>
      <c r="E1115" s="6">
        <v>518.21791959480515</v>
      </c>
      <c r="F1115" s="33" t="str">
        <f t="shared" si="34"/>
        <v>Below 530</v>
      </c>
      <c r="G1115" s="33">
        <f t="shared" si="35"/>
        <v>544.12881557454546</v>
      </c>
      <c r="H1115" s="7">
        <v>0</v>
      </c>
      <c r="I1115" s="5" t="s">
        <v>14</v>
      </c>
      <c r="J1115" s="5">
        <v>27</v>
      </c>
      <c r="K1115" s="2"/>
      <c r="L1115" s="2"/>
      <c r="M1115" s="1"/>
    </row>
    <row r="1116" spans="1:13" ht="14.4" x14ac:dyDescent="0.3">
      <c r="A1116" s="14">
        <v>44649</v>
      </c>
      <c r="B1116" s="5">
        <v>6</v>
      </c>
      <c r="C1116" s="32">
        <f>VLOOKUP(B1116,'area in m2'!B$2:C$10,2,FALSE)</f>
        <v>175</v>
      </c>
      <c r="D1116" s="5" t="s">
        <v>13</v>
      </c>
      <c r="E1116" s="6">
        <v>542.202625246362</v>
      </c>
      <c r="F1116" s="33" t="str">
        <f t="shared" si="34"/>
        <v>Over 530</v>
      </c>
      <c r="G1116" s="33">
        <f t="shared" si="35"/>
        <v>569.31275650868008</v>
      </c>
      <c r="H1116" s="7">
        <v>0.03</v>
      </c>
      <c r="I1116" s="5" t="s">
        <v>14</v>
      </c>
      <c r="J1116" s="5">
        <v>31</v>
      </c>
      <c r="K1116" s="2"/>
      <c r="L1116" s="2"/>
      <c r="M1116" s="1"/>
    </row>
    <row r="1117" spans="1:13" ht="14.4" x14ac:dyDescent="0.3">
      <c r="A1117" s="14">
        <v>44672</v>
      </c>
      <c r="B1117" s="5">
        <v>4</v>
      </c>
      <c r="C1117" s="32">
        <f>VLOOKUP(B1117,'area in m2'!B$2:C$10,2,FALSE)</f>
        <v>188</v>
      </c>
      <c r="D1117" s="5" t="s">
        <v>11</v>
      </c>
      <c r="E1117" s="6">
        <v>547.07569583071017</v>
      </c>
      <c r="F1117" s="33" t="str">
        <f t="shared" si="34"/>
        <v>Over 530</v>
      </c>
      <c r="G1117" s="33">
        <f t="shared" si="35"/>
        <v>574.42948062224571</v>
      </c>
      <c r="H1117" s="7">
        <v>0.01</v>
      </c>
      <c r="I1117" s="5" t="s">
        <v>14</v>
      </c>
      <c r="J1117" s="5">
        <v>31</v>
      </c>
      <c r="K1117" s="2"/>
      <c r="L1117" s="2"/>
      <c r="M1117" s="1"/>
    </row>
    <row r="1118" spans="1:13" ht="14.4" x14ac:dyDescent="0.3">
      <c r="A1118" s="14">
        <v>44729</v>
      </c>
      <c r="B1118" s="5">
        <v>2</v>
      </c>
      <c r="C1118" s="32">
        <f>VLOOKUP(B1118,'area in m2'!B$2:C$10,2,FALSE)</f>
        <v>250</v>
      </c>
      <c r="D1118" s="5" t="s">
        <v>11</v>
      </c>
      <c r="E1118" s="6">
        <v>532.17310187600015</v>
      </c>
      <c r="F1118" s="33" t="str">
        <f t="shared" si="34"/>
        <v>Over 530</v>
      </c>
      <c r="G1118" s="33">
        <f t="shared" si="35"/>
        <v>558.7817569698002</v>
      </c>
      <c r="H1118" s="7">
        <v>0.02</v>
      </c>
      <c r="I1118" s="5" t="s">
        <v>15</v>
      </c>
      <c r="J1118" s="5">
        <v>57</v>
      </c>
      <c r="K1118" s="2"/>
      <c r="L1118" s="2"/>
      <c r="M1118" s="1"/>
    </row>
    <row r="1119" spans="1:13" ht="14.4" x14ac:dyDescent="0.3">
      <c r="A1119" s="14">
        <v>44868</v>
      </c>
      <c r="B1119" s="5">
        <v>7</v>
      </c>
      <c r="C1119" s="32">
        <f>VLOOKUP(B1119,'area in m2'!B$2:C$10,2,FALSE)</f>
        <v>166</v>
      </c>
      <c r="D1119" s="5" t="s">
        <v>12</v>
      </c>
      <c r="E1119" s="6">
        <v>542.97657786781383</v>
      </c>
      <c r="F1119" s="33" t="str">
        <f t="shared" si="34"/>
        <v>Over 530</v>
      </c>
      <c r="G1119" s="33">
        <f t="shared" si="35"/>
        <v>570.12540676120454</v>
      </c>
      <c r="H1119" s="7">
        <v>0.02</v>
      </c>
      <c r="I1119" s="5" t="s">
        <v>14</v>
      </c>
      <c r="J1119" s="5">
        <v>36</v>
      </c>
      <c r="K1119" s="2"/>
      <c r="L1119" s="2"/>
      <c r="M1119" s="1"/>
    </row>
    <row r="1120" spans="1:13" ht="14.4" x14ac:dyDescent="0.3">
      <c r="A1120" s="14">
        <v>44748</v>
      </c>
      <c r="B1120" s="5">
        <v>4</v>
      </c>
      <c r="C1120" s="32">
        <f>VLOOKUP(B1120,'area in m2'!B$2:C$10,2,FALSE)</f>
        <v>188</v>
      </c>
      <c r="D1120" s="5" t="s">
        <v>11</v>
      </c>
      <c r="E1120" s="6">
        <v>509.47989935927581</v>
      </c>
      <c r="F1120" s="33" t="str">
        <f t="shared" si="34"/>
        <v>Below 530</v>
      </c>
      <c r="G1120" s="33">
        <f t="shared" si="35"/>
        <v>534.9538943272396</v>
      </c>
      <c r="H1120" s="7">
        <v>0</v>
      </c>
      <c r="I1120" s="5" t="s">
        <v>14</v>
      </c>
      <c r="J1120" s="5">
        <v>50</v>
      </c>
      <c r="K1120" s="2"/>
      <c r="L1120" s="2"/>
      <c r="M1120" s="1"/>
    </row>
    <row r="1121" spans="1:13" ht="14.4" x14ac:dyDescent="0.3">
      <c r="A1121" s="14">
        <v>44638</v>
      </c>
      <c r="B1121" s="5">
        <v>4</v>
      </c>
      <c r="C1121" s="32">
        <f>VLOOKUP(B1121,'area in m2'!B$2:C$10,2,FALSE)</f>
        <v>188</v>
      </c>
      <c r="D1121" s="5" t="s">
        <v>11</v>
      </c>
      <c r="E1121" s="6">
        <v>513.46295486884537</v>
      </c>
      <c r="F1121" s="33" t="str">
        <f t="shared" si="34"/>
        <v>Below 530</v>
      </c>
      <c r="G1121" s="33">
        <f t="shared" si="35"/>
        <v>539.13610261228769</v>
      </c>
      <c r="H1121" s="7">
        <v>0.03</v>
      </c>
      <c r="I1121" s="5" t="s">
        <v>15</v>
      </c>
      <c r="J1121" s="5">
        <v>38</v>
      </c>
      <c r="K1121" s="2"/>
      <c r="L1121" s="2"/>
      <c r="M1121" s="1"/>
    </row>
    <row r="1122" spans="1:13" ht="14.4" x14ac:dyDescent="0.3">
      <c r="A1122" s="14">
        <v>44912</v>
      </c>
      <c r="B1122" s="5">
        <v>2</v>
      </c>
      <c r="C1122" s="32">
        <f>VLOOKUP(B1122,'area in m2'!B$2:C$10,2,FALSE)</f>
        <v>250</v>
      </c>
      <c r="D1122" s="5" t="s">
        <v>11</v>
      </c>
      <c r="E1122" s="6">
        <v>529.58101440644896</v>
      </c>
      <c r="F1122" s="33" t="str">
        <f t="shared" si="34"/>
        <v>Below 530</v>
      </c>
      <c r="G1122" s="33">
        <f t="shared" si="35"/>
        <v>556.06006512677141</v>
      </c>
      <c r="H1122" s="7">
        <v>0.01</v>
      </c>
      <c r="I1122" s="5" t="s">
        <v>14</v>
      </c>
      <c r="J1122" s="5">
        <v>28</v>
      </c>
      <c r="K1122" s="2"/>
      <c r="L1122" s="2"/>
      <c r="M1122" s="1"/>
    </row>
    <row r="1123" spans="1:13" ht="14.4" x14ac:dyDescent="0.3">
      <c r="A1123" s="14">
        <v>44664</v>
      </c>
      <c r="B1123" s="5">
        <v>6</v>
      </c>
      <c r="C1123" s="32">
        <f>VLOOKUP(B1123,'area in m2'!B$2:C$10,2,FALSE)</f>
        <v>175</v>
      </c>
      <c r="D1123" s="5" t="s">
        <v>13</v>
      </c>
      <c r="E1123" s="6">
        <v>511.13727902466235</v>
      </c>
      <c r="F1123" s="33" t="str">
        <f t="shared" si="34"/>
        <v>Below 530</v>
      </c>
      <c r="G1123" s="33">
        <f t="shared" si="35"/>
        <v>536.69414297589549</v>
      </c>
      <c r="H1123" s="7">
        <v>0.03</v>
      </c>
      <c r="I1123" s="5" t="s">
        <v>14</v>
      </c>
      <c r="J1123" s="5">
        <v>38</v>
      </c>
      <c r="K1123" s="2"/>
      <c r="L1123" s="2"/>
      <c r="M1123" s="1"/>
    </row>
    <row r="1124" spans="1:13" ht="14.4" x14ac:dyDescent="0.3">
      <c r="A1124" s="14">
        <v>44709</v>
      </c>
      <c r="B1124" s="5">
        <v>1</v>
      </c>
      <c r="C1124" s="32">
        <f>VLOOKUP(B1124,'area in m2'!B$2:C$10,2,FALSE)</f>
        <v>280</v>
      </c>
      <c r="D1124" s="5" t="s">
        <v>11</v>
      </c>
      <c r="E1124" s="6">
        <v>503.89889916406628</v>
      </c>
      <c r="F1124" s="33" t="str">
        <f t="shared" si="34"/>
        <v>Below 530</v>
      </c>
      <c r="G1124" s="33">
        <f t="shared" si="35"/>
        <v>529.09384412226962</v>
      </c>
      <c r="H1124" s="7">
        <v>0.03</v>
      </c>
      <c r="I1124" s="5" t="s">
        <v>14</v>
      </c>
      <c r="J1124" s="5">
        <v>38</v>
      </c>
      <c r="K1124" s="2"/>
      <c r="L1124" s="2"/>
      <c r="M1124" s="1"/>
    </row>
    <row r="1125" spans="1:13" ht="14.4" x14ac:dyDescent="0.3">
      <c r="A1125" s="14">
        <v>44663</v>
      </c>
      <c r="B1125" s="5">
        <v>5</v>
      </c>
      <c r="C1125" s="32">
        <f>VLOOKUP(B1125,'area in m2'!B$2:C$10,2,FALSE)</f>
        <v>200</v>
      </c>
      <c r="D1125" s="5" t="s">
        <v>13</v>
      </c>
      <c r="E1125" s="6">
        <v>541.85673634392697</v>
      </c>
      <c r="F1125" s="33" t="str">
        <f t="shared" si="34"/>
        <v>Over 530</v>
      </c>
      <c r="G1125" s="33">
        <f t="shared" si="35"/>
        <v>568.94957316112334</v>
      </c>
      <c r="H1125" s="7">
        <v>0</v>
      </c>
      <c r="I1125" s="5" t="s">
        <v>14</v>
      </c>
      <c r="J1125" s="5">
        <v>47</v>
      </c>
      <c r="K1125" s="2"/>
      <c r="L1125" s="2"/>
      <c r="M1125" s="1"/>
    </row>
    <row r="1126" spans="1:13" ht="14.4" x14ac:dyDescent="0.3">
      <c r="A1126" s="14">
        <v>44832</v>
      </c>
      <c r="B1126" s="5">
        <v>2</v>
      </c>
      <c r="C1126" s="32">
        <f>VLOOKUP(B1126,'area in m2'!B$2:C$10,2,FALSE)</f>
        <v>250</v>
      </c>
      <c r="D1126" s="5" t="s">
        <v>11</v>
      </c>
      <c r="E1126" s="6">
        <v>508.88728119887946</v>
      </c>
      <c r="F1126" s="33" t="str">
        <f t="shared" si="34"/>
        <v>Below 530</v>
      </c>
      <c r="G1126" s="33">
        <f t="shared" si="35"/>
        <v>534.33164525882341</v>
      </c>
      <c r="H1126" s="7">
        <v>0.01</v>
      </c>
      <c r="I1126" s="5" t="s">
        <v>14</v>
      </c>
      <c r="J1126" s="5">
        <v>39</v>
      </c>
      <c r="K1126" s="2"/>
      <c r="L1126" s="2"/>
      <c r="M1126" s="1"/>
    </row>
    <row r="1127" spans="1:13" ht="14.4" x14ac:dyDescent="0.3">
      <c r="A1127" s="14">
        <v>44794</v>
      </c>
      <c r="B1127" s="5">
        <v>7</v>
      </c>
      <c r="C1127" s="32">
        <f>VLOOKUP(B1127,'area in m2'!B$2:C$10,2,FALSE)</f>
        <v>166</v>
      </c>
      <c r="D1127" s="5" t="s">
        <v>12</v>
      </c>
      <c r="E1127" s="6">
        <v>533.73124521169848</v>
      </c>
      <c r="F1127" s="33" t="str">
        <f t="shared" si="34"/>
        <v>Over 530</v>
      </c>
      <c r="G1127" s="33">
        <f t="shared" si="35"/>
        <v>560.41780747228347</v>
      </c>
      <c r="H1127" s="7">
        <v>0.01</v>
      </c>
      <c r="I1127" s="5" t="s">
        <v>14</v>
      </c>
      <c r="J1127" s="5">
        <v>21</v>
      </c>
      <c r="K1127" s="2"/>
      <c r="L1127" s="2"/>
      <c r="M1127" s="1"/>
    </row>
    <row r="1128" spans="1:13" ht="14.4" x14ac:dyDescent="0.3">
      <c r="A1128" s="14">
        <v>44913</v>
      </c>
      <c r="B1128" s="5">
        <v>8</v>
      </c>
      <c r="C1128" s="32">
        <f>VLOOKUP(B1128,'area in m2'!B$2:C$10,2,FALSE)</f>
        <v>142</v>
      </c>
      <c r="D1128" s="5" t="s">
        <v>11</v>
      </c>
      <c r="E1128" s="6">
        <v>542.74294173354065</v>
      </c>
      <c r="F1128" s="33" t="str">
        <f t="shared" si="34"/>
        <v>Over 530</v>
      </c>
      <c r="G1128" s="33">
        <f t="shared" si="35"/>
        <v>569.88008882021768</v>
      </c>
      <c r="H1128" s="7">
        <v>0</v>
      </c>
      <c r="I1128" s="5" t="s">
        <v>14</v>
      </c>
      <c r="J1128" s="5">
        <v>42</v>
      </c>
      <c r="K1128" s="2"/>
      <c r="L1128" s="2"/>
      <c r="M1128" s="1"/>
    </row>
    <row r="1129" spans="1:13" ht="14.4" x14ac:dyDescent="0.3">
      <c r="A1129" s="14">
        <v>44923</v>
      </c>
      <c r="B1129" s="5">
        <v>2</v>
      </c>
      <c r="C1129" s="32">
        <f>VLOOKUP(B1129,'area in m2'!B$2:C$10,2,FALSE)</f>
        <v>250</v>
      </c>
      <c r="D1129" s="5" t="s">
        <v>11</v>
      </c>
      <c r="E1129" s="6">
        <v>544.83169118273509</v>
      </c>
      <c r="F1129" s="33" t="str">
        <f t="shared" si="34"/>
        <v>Over 530</v>
      </c>
      <c r="G1129" s="33">
        <f t="shared" si="35"/>
        <v>572.07327574187184</v>
      </c>
      <c r="H1129" s="7">
        <v>0</v>
      </c>
      <c r="I1129" s="5" t="s">
        <v>14</v>
      </c>
      <c r="J1129" s="5">
        <v>23</v>
      </c>
      <c r="K1129" s="2"/>
      <c r="L1129" s="2"/>
      <c r="M1129" s="1"/>
    </row>
    <row r="1130" spans="1:13" ht="14.4" x14ac:dyDescent="0.3">
      <c r="A1130" s="14">
        <v>44601</v>
      </c>
      <c r="B1130" s="5">
        <v>4</v>
      </c>
      <c r="C1130" s="32">
        <f>VLOOKUP(B1130,'area in m2'!B$2:C$10,2,FALSE)</f>
        <v>188</v>
      </c>
      <c r="D1130" s="5" t="s">
        <v>11</v>
      </c>
      <c r="E1130" s="6">
        <v>505.30051394302973</v>
      </c>
      <c r="F1130" s="33" t="str">
        <f t="shared" si="34"/>
        <v>Below 530</v>
      </c>
      <c r="G1130" s="33">
        <f t="shared" si="35"/>
        <v>530.56553964018121</v>
      </c>
      <c r="H1130" s="7">
        <v>0.01</v>
      </c>
      <c r="I1130" s="5" t="s">
        <v>14</v>
      </c>
      <c r="J1130" s="5">
        <v>34</v>
      </c>
      <c r="K1130" s="2"/>
      <c r="L1130" s="2"/>
      <c r="M1130" s="1"/>
    </row>
    <row r="1131" spans="1:13" ht="14.4" x14ac:dyDescent="0.3">
      <c r="A1131" s="14">
        <v>44642</v>
      </c>
      <c r="B1131" s="5">
        <v>5</v>
      </c>
      <c r="C1131" s="32">
        <f>VLOOKUP(B1131,'area in m2'!B$2:C$10,2,FALSE)</f>
        <v>200</v>
      </c>
      <c r="D1131" s="5" t="s">
        <v>13</v>
      </c>
      <c r="E1131" s="6">
        <v>531.61983805925138</v>
      </c>
      <c r="F1131" s="33" t="str">
        <f t="shared" si="34"/>
        <v>Over 530</v>
      </c>
      <c r="G1131" s="33">
        <f t="shared" si="35"/>
        <v>558.20082996221402</v>
      </c>
      <c r="H1131" s="7">
        <v>0.01</v>
      </c>
      <c r="I1131" s="5" t="s">
        <v>14</v>
      </c>
      <c r="J1131" s="5">
        <v>48</v>
      </c>
      <c r="K1131" s="2"/>
      <c r="L1131" s="2"/>
      <c r="M1131" s="1"/>
    </row>
    <row r="1132" spans="1:13" ht="14.4" x14ac:dyDescent="0.3">
      <c r="A1132" s="14">
        <v>44721</v>
      </c>
      <c r="B1132" s="5">
        <v>1</v>
      </c>
      <c r="C1132" s="32">
        <f>VLOOKUP(B1132,'area in m2'!B$2:C$10,2,FALSE)</f>
        <v>280</v>
      </c>
      <c r="D1132" s="5" t="s">
        <v>11</v>
      </c>
      <c r="E1132" s="6">
        <v>520.32363578995501</v>
      </c>
      <c r="F1132" s="33" t="str">
        <f t="shared" si="34"/>
        <v>Below 530</v>
      </c>
      <c r="G1132" s="33">
        <f t="shared" si="35"/>
        <v>546.33981757945276</v>
      </c>
      <c r="H1132" s="7">
        <v>0.01</v>
      </c>
      <c r="I1132" s="5" t="s">
        <v>15</v>
      </c>
      <c r="J1132" s="5">
        <v>21</v>
      </c>
      <c r="K1132" s="2"/>
      <c r="L1132" s="2"/>
      <c r="M1132" s="1"/>
    </row>
    <row r="1133" spans="1:13" ht="14.4" x14ac:dyDescent="0.3">
      <c r="A1133" s="14">
        <v>44732</v>
      </c>
      <c r="B1133" s="5">
        <v>5</v>
      </c>
      <c r="C1133" s="32">
        <f>VLOOKUP(B1133,'area in m2'!B$2:C$10,2,FALSE)</f>
        <v>200</v>
      </c>
      <c r="D1133" s="5" t="s">
        <v>13</v>
      </c>
      <c r="E1133" s="6">
        <v>538.60965598210078</v>
      </c>
      <c r="F1133" s="33" t="str">
        <f t="shared" si="34"/>
        <v>Over 530</v>
      </c>
      <c r="G1133" s="33">
        <f t="shared" si="35"/>
        <v>565.54013878120588</v>
      </c>
      <c r="H1133" s="7">
        <v>0.02</v>
      </c>
      <c r="I1133" s="5" t="s">
        <v>14</v>
      </c>
      <c r="J1133" s="5">
        <v>37</v>
      </c>
      <c r="K1133" s="2"/>
      <c r="L1133" s="2"/>
      <c r="M1133" s="1"/>
    </row>
    <row r="1134" spans="1:13" ht="14.4" x14ac:dyDescent="0.3">
      <c r="A1134" s="14">
        <v>44641</v>
      </c>
      <c r="B1134" s="5">
        <v>2</v>
      </c>
      <c r="C1134" s="32">
        <f>VLOOKUP(B1134,'area in m2'!B$2:C$10,2,FALSE)</f>
        <v>250</v>
      </c>
      <c r="D1134" s="5" t="s">
        <v>11</v>
      </c>
      <c r="E1134" s="6">
        <v>518.22451243210799</v>
      </c>
      <c r="F1134" s="33" t="str">
        <f t="shared" si="34"/>
        <v>Below 530</v>
      </c>
      <c r="G1134" s="33">
        <f t="shared" si="35"/>
        <v>544.13573805371345</v>
      </c>
      <c r="H1134" s="7">
        <v>0.02</v>
      </c>
      <c r="I1134" s="5" t="s">
        <v>15</v>
      </c>
      <c r="J1134" s="5">
        <v>44</v>
      </c>
      <c r="K1134" s="2"/>
      <c r="L1134" s="2"/>
      <c r="M1134" s="1"/>
    </row>
    <row r="1135" spans="1:13" ht="14.4" x14ac:dyDescent="0.3">
      <c r="A1135" s="14">
        <v>44602</v>
      </c>
      <c r="B1135" s="5">
        <v>5</v>
      </c>
      <c r="C1135" s="32">
        <f>VLOOKUP(B1135,'area in m2'!B$2:C$10,2,FALSE)</f>
        <v>200</v>
      </c>
      <c r="D1135" s="5" t="s">
        <v>13</v>
      </c>
      <c r="E1135" s="6">
        <v>541.35330117717967</v>
      </c>
      <c r="F1135" s="33" t="str">
        <f t="shared" si="34"/>
        <v>Over 530</v>
      </c>
      <c r="G1135" s="33">
        <f t="shared" si="35"/>
        <v>568.42096623603868</v>
      </c>
      <c r="H1135" s="7">
        <v>0.03</v>
      </c>
      <c r="I1135" s="5" t="s">
        <v>14</v>
      </c>
      <c r="J1135" s="5">
        <v>41</v>
      </c>
      <c r="K1135" s="2"/>
      <c r="L1135" s="2"/>
      <c r="M1135" s="1"/>
    </row>
    <row r="1136" spans="1:13" ht="14.4" x14ac:dyDescent="0.3">
      <c r="A1136" s="14">
        <v>44675</v>
      </c>
      <c r="B1136" s="5">
        <v>5</v>
      </c>
      <c r="C1136" s="32">
        <f>VLOOKUP(B1136,'area in m2'!B$2:C$10,2,FALSE)</f>
        <v>200</v>
      </c>
      <c r="D1136" s="5" t="s">
        <v>13</v>
      </c>
      <c r="E1136" s="6">
        <v>534.68359440909171</v>
      </c>
      <c r="F1136" s="33" t="str">
        <f t="shared" si="34"/>
        <v>Over 530</v>
      </c>
      <c r="G1136" s="33">
        <f t="shared" si="35"/>
        <v>561.41777412954627</v>
      </c>
      <c r="H1136" s="7">
        <v>0.02</v>
      </c>
      <c r="I1136" s="5" t="s">
        <v>14</v>
      </c>
      <c r="J1136" s="5">
        <v>22</v>
      </c>
      <c r="K1136" s="2"/>
      <c r="L1136" s="2"/>
      <c r="M1136" s="1"/>
    </row>
    <row r="1137" spans="1:13" ht="14.4" x14ac:dyDescent="0.3">
      <c r="A1137" s="14">
        <v>44647</v>
      </c>
      <c r="B1137" s="5">
        <v>4</v>
      </c>
      <c r="C1137" s="32">
        <f>VLOOKUP(B1137,'area in m2'!B$2:C$10,2,FALSE)</f>
        <v>188</v>
      </c>
      <c r="D1137" s="5" t="s">
        <v>11</v>
      </c>
      <c r="E1137" s="6">
        <v>533.50891399734883</v>
      </c>
      <c r="F1137" s="33" t="str">
        <f t="shared" si="34"/>
        <v>Over 530</v>
      </c>
      <c r="G1137" s="33">
        <f t="shared" si="35"/>
        <v>560.18435969721634</v>
      </c>
      <c r="H1137" s="7">
        <v>0.03</v>
      </c>
      <c r="I1137" s="5" t="s">
        <v>15</v>
      </c>
      <c r="J1137" s="5">
        <v>24</v>
      </c>
      <c r="K1137" s="2"/>
      <c r="L1137" s="2"/>
      <c r="M1137" s="1"/>
    </row>
    <row r="1138" spans="1:13" ht="14.4" x14ac:dyDescent="0.3">
      <c r="A1138" s="14">
        <v>44657</v>
      </c>
      <c r="B1138" s="5">
        <v>9</v>
      </c>
      <c r="C1138" s="32">
        <f>VLOOKUP(B1138,'area in m2'!B$2:C$10,2,FALSE)</f>
        <v>140</v>
      </c>
      <c r="D1138" s="5" t="s">
        <v>12</v>
      </c>
      <c r="E1138" s="6">
        <v>511.21290602845966</v>
      </c>
      <c r="F1138" s="33" t="str">
        <f t="shared" si="34"/>
        <v>Below 530</v>
      </c>
      <c r="G1138" s="33">
        <f t="shared" si="35"/>
        <v>536.77355132988271</v>
      </c>
      <c r="H1138" s="7">
        <v>0.01</v>
      </c>
      <c r="I1138" s="5" t="s">
        <v>14</v>
      </c>
      <c r="J1138" s="5">
        <v>21</v>
      </c>
      <c r="K1138" s="2"/>
      <c r="L1138" s="2"/>
      <c r="M1138" s="1"/>
    </row>
    <row r="1139" spans="1:13" ht="14.4" x14ac:dyDescent="0.3">
      <c r="A1139" s="14">
        <v>44717</v>
      </c>
      <c r="B1139" s="5">
        <v>9</v>
      </c>
      <c r="C1139" s="32">
        <f>VLOOKUP(B1139,'area in m2'!B$2:C$10,2,FALSE)</f>
        <v>140</v>
      </c>
      <c r="D1139" s="5" t="s">
        <v>12</v>
      </c>
      <c r="E1139" s="6">
        <v>535.44451995396321</v>
      </c>
      <c r="F1139" s="33" t="str">
        <f t="shared" si="34"/>
        <v>Over 530</v>
      </c>
      <c r="G1139" s="33">
        <f t="shared" si="35"/>
        <v>562.21674595166144</v>
      </c>
      <c r="H1139" s="7">
        <v>0.03</v>
      </c>
      <c r="I1139" s="5" t="s">
        <v>14</v>
      </c>
      <c r="J1139" s="5">
        <v>37</v>
      </c>
      <c r="K1139" s="2"/>
      <c r="L1139" s="2"/>
      <c r="M1139" s="1"/>
    </row>
    <row r="1140" spans="1:13" ht="14.4" x14ac:dyDescent="0.3">
      <c r="A1140" s="14">
        <v>44740</v>
      </c>
      <c r="B1140" s="5">
        <v>8</v>
      </c>
      <c r="C1140" s="32">
        <f>VLOOKUP(B1140,'area in m2'!B$2:C$10,2,FALSE)</f>
        <v>142</v>
      </c>
      <c r="D1140" s="5" t="s">
        <v>12</v>
      </c>
      <c r="E1140" s="6">
        <v>530.98038561994417</v>
      </c>
      <c r="F1140" s="33" t="str">
        <f t="shared" si="34"/>
        <v>Over 530</v>
      </c>
      <c r="G1140" s="33">
        <f t="shared" si="35"/>
        <v>557.52940490094136</v>
      </c>
      <c r="H1140" s="7">
        <v>0.01</v>
      </c>
      <c r="I1140" s="5" t="s">
        <v>14</v>
      </c>
      <c r="J1140" s="5">
        <v>37</v>
      </c>
      <c r="K1140" s="2"/>
      <c r="L1140" s="2"/>
      <c r="M1140" s="1"/>
    </row>
    <row r="1141" spans="1:13" ht="14.4" x14ac:dyDescent="0.3">
      <c r="A1141" s="14">
        <v>44892</v>
      </c>
      <c r="B1141" s="5">
        <v>5</v>
      </c>
      <c r="C1141" s="32">
        <f>VLOOKUP(B1141,'area in m2'!B$2:C$10,2,FALSE)</f>
        <v>200</v>
      </c>
      <c r="D1141" s="5" t="s">
        <v>13</v>
      </c>
      <c r="E1141" s="6">
        <v>524.12251128445905</v>
      </c>
      <c r="F1141" s="33" t="str">
        <f t="shared" si="34"/>
        <v>Below 530</v>
      </c>
      <c r="G1141" s="33">
        <f t="shared" si="35"/>
        <v>550.32863684868198</v>
      </c>
      <c r="H1141" s="7">
        <v>0.01</v>
      </c>
      <c r="I1141" s="5" t="s">
        <v>14</v>
      </c>
      <c r="J1141" s="5">
        <v>46</v>
      </c>
      <c r="K1141" s="2"/>
      <c r="L1141" s="2"/>
      <c r="M1141" s="1"/>
    </row>
    <row r="1142" spans="1:13" ht="14.4" x14ac:dyDescent="0.3">
      <c r="A1142" s="14">
        <v>44916</v>
      </c>
      <c r="B1142" s="5">
        <v>9</v>
      </c>
      <c r="C1142" s="32">
        <f>VLOOKUP(B1142,'area in m2'!B$2:C$10,2,FALSE)</f>
        <v>140</v>
      </c>
      <c r="D1142" s="5" t="s">
        <v>12</v>
      </c>
      <c r="E1142" s="6">
        <v>540.95148230286304</v>
      </c>
      <c r="F1142" s="33" t="str">
        <f t="shared" si="34"/>
        <v>Over 530</v>
      </c>
      <c r="G1142" s="33">
        <f t="shared" si="35"/>
        <v>567.99905641800626</v>
      </c>
      <c r="H1142" s="7">
        <v>0</v>
      </c>
      <c r="I1142" s="5" t="s">
        <v>14</v>
      </c>
      <c r="J1142" s="5">
        <v>24</v>
      </c>
      <c r="K1142" s="2"/>
      <c r="L1142" s="2"/>
      <c r="M1142" s="1"/>
    </row>
    <row r="1143" spans="1:13" ht="14.4" x14ac:dyDescent="0.3">
      <c r="A1143" s="14">
        <v>44692</v>
      </c>
      <c r="B1143" s="5">
        <v>2</v>
      </c>
      <c r="C1143" s="32">
        <f>VLOOKUP(B1143,'area in m2'!B$2:C$10,2,FALSE)</f>
        <v>250</v>
      </c>
      <c r="D1143" s="5" t="s">
        <v>11</v>
      </c>
      <c r="E1143" s="6">
        <v>505.73398595801609</v>
      </c>
      <c r="F1143" s="33" t="str">
        <f t="shared" si="34"/>
        <v>Below 530</v>
      </c>
      <c r="G1143" s="33">
        <f t="shared" si="35"/>
        <v>531.02068525591687</v>
      </c>
      <c r="H1143" s="7">
        <v>0.01</v>
      </c>
      <c r="I1143" s="5" t="s">
        <v>14</v>
      </c>
      <c r="J1143" s="5">
        <v>30</v>
      </c>
      <c r="K1143" s="2"/>
      <c r="L1143" s="2"/>
      <c r="M1143" s="1"/>
    </row>
    <row r="1144" spans="1:13" ht="14.4" x14ac:dyDescent="0.3">
      <c r="A1144" s="14">
        <v>44616</v>
      </c>
      <c r="B1144" s="5">
        <v>1</v>
      </c>
      <c r="C1144" s="32">
        <f>VLOOKUP(B1144,'area in m2'!B$2:C$10,2,FALSE)</f>
        <v>280</v>
      </c>
      <c r="D1144" s="5" t="s">
        <v>11</v>
      </c>
      <c r="E1144" s="6">
        <v>518.70509654133639</v>
      </c>
      <c r="F1144" s="33" t="str">
        <f t="shared" si="34"/>
        <v>Below 530</v>
      </c>
      <c r="G1144" s="33">
        <f t="shared" si="35"/>
        <v>544.64035136840323</v>
      </c>
      <c r="H1144" s="7">
        <v>0.01</v>
      </c>
      <c r="I1144" s="5" t="s">
        <v>14</v>
      </c>
      <c r="J1144" s="5">
        <v>28</v>
      </c>
      <c r="K1144" s="2"/>
      <c r="L1144" s="2"/>
      <c r="M1144" s="1"/>
    </row>
    <row r="1145" spans="1:13" ht="14.4" x14ac:dyDescent="0.3">
      <c r="A1145" s="14">
        <v>44802</v>
      </c>
      <c r="B1145" s="5">
        <v>8</v>
      </c>
      <c r="C1145" s="32">
        <f>VLOOKUP(B1145,'area in m2'!B$2:C$10,2,FALSE)</f>
        <v>142</v>
      </c>
      <c r="D1145" s="5" t="s">
        <v>12</v>
      </c>
      <c r="E1145" s="6">
        <v>511.42170763116428</v>
      </c>
      <c r="F1145" s="33" t="str">
        <f t="shared" si="34"/>
        <v>Below 530</v>
      </c>
      <c r="G1145" s="33">
        <f t="shared" si="35"/>
        <v>536.99279301272247</v>
      </c>
      <c r="H1145" s="7">
        <v>0.01</v>
      </c>
      <c r="I1145" s="5" t="s">
        <v>14</v>
      </c>
      <c r="J1145" s="5">
        <v>29</v>
      </c>
      <c r="K1145" s="2"/>
      <c r="L1145" s="2"/>
      <c r="M1145" s="1"/>
    </row>
    <row r="1146" spans="1:13" ht="14.4" x14ac:dyDescent="0.3">
      <c r="A1146" s="14">
        <v>44656</v>
      </c>
      <c r="B1146" s="5">
        <v>9</v>
      </c>
      <c r="C1146" s="32">
        <f>VLOOKUP(B1146,'area in m2'!B$2:C$10,2,FALSE)</f>
        <v>140</v>
      </c>
      <c r="D1146" s="5" t="s">
        <v>12</v>
      </c>
      <c r="E1146" s="6">
        <v>500.61041584744999</v>
      </c>
      <c r="F1146" s="33" t="str">
        <f t="shared" si="34"/>
        <v>Below 530</v>
      </c>
      <c r="G1146" s="33">
        <f t="shared" si="35"/>
        <v>525.64093663982248</v>
      </c>
      <c r="H1146" s="7">
        <v>0.02</v>
      </c>
      <c r="I1146" s="5" t="s">
        <v>15</v>
      </c>
      <c r="J1146" s="5">
        <v>50</v>
      </c>
      <c r="K1146" s="2"/>
      <c r="L1146" s="2"/>
      <c r="M1146" s="1"/>
    </row>
    <row r="1147" spans="1:13" ht="14.4" x14ac:dyDescent="0.3">
      <c r="A1147" s="14">
        <v>44895</v>
      </c>
      <c r="B1147" s="5">
        <v>2</v>
      </c>
      <c r="C1147" s="32">
        <f>VLOOKUP(B1147,'area in m2'!B$2:C$10,2,FALSE)</f>
        <v>250</v>
      </c>
      <c r="D1147" s="5" t="s">
        <v>11</v>
      </c>
      <c r="E1147" s="6">
        <v>532.61729415612172</v>
      </c>
      <c r="F1147" s="33" t="str">
        <f t="shared" si="34"/>
        <v>Over 530</v>
      </c>
      <c r="G1147" s="33">
        <f t="shared" si="35"/>
        <v>559.24815886392787</v>
      </c>
      <c r="H1147" s="7">
        <v>0.03</v>
      </c>
      <c r="I1147" s="5" t="s">
        <v>15</v>
      </c>
      <c r="J1147" s="5">
        <v>38</v>
      </c>
      <c r="K1147" s="2"/>
      <c r="L1147" s="2"/>
      <c r="M1147" s="1"/>
    </row>
    <row r="1148" spans="1:13" ht="14.4" x14ac:dyDescent="0.3">
      <c r="A1148" s="14">
        <v>44844</v>
      </c>
      <c r="B1148" s="5">
        <v>6</v>
      </c>
      <c r="C1148" s="32">
        <f>VLOOKUP(B1148,'area in m2'!B$2:C$10,2,FALSE)</f>
        <v>175</v>
      </c>
      <c r="D1148" s="5" t="s">
        <v>13</v>
      </c>
      <c r="E1148" s="6">
        <v>508.78183429455112</v>
      </c>
      <c r="F1148" s="33" t="str">
        <f t="shared" si="34"/>
        <v>Below 530</v>
      </c>
      <c r="G1148" s="33">
        <f t="shared" si="35"/>
        <v>534.22092600927874</v>
      </c>
      <c r="H1148" s="7">
        <v>0.01</v>
      </c>
      <c r="I1148" s="5" t="s">
        <v>14</v>
      </c>
      <c r="J1148" s="5">
        <v>34</v>
      </c>
      <c r="K1148" s="2"/>
      <c r="L1148" s="2"/>
      <c r="M1148" s="1"/>
    </row>
    <row r="1149" spans="1:13" ht="14.4" x14ac:dyDescent="0.3">
      <c r="A1149" s="14">
        <v>44705</v>
      </c>
      <c r="B1149" s="5">
        <v>8</v>
      </c>
      <c r="C1149" s="32">
        <f>VLOOKUP(B1149,'area in m2'!B$2:C$10,2,FALSE)</f>
        <v>142</v>
      </c>
      <c r="D1149" s="5" t="s">
        <v>12</v>
      </c>
      <c r="E1149" s="6">
        <v>517.24556660099552</v>
      </c>
      <c r="F1149" s="33" t="str">
        <f t="shared" si="34"/>
        <v>Below 530</v>
      </c>
      <c r="G1149" s="33">
        <f t="shared" si="35"/>
        <v>543.10784493104529</v>
      </c>
      <c r="H1149" s="7">
        <v>0.03</v>
      </c>
      <c r="I1149" s="5" t="s">
        <v>14</v>
      </c>
      <c r="J1149" s="5">
        <v>43</v>
      </c>
      <c r="K1149" s="2"/>
      <c r="L1149" s="2"/>
      <c r="M1149" s="1"/>
    </row>
    <row r="1150" spans="1:13" ht="14.4" x14ac:dyDescent="0.3">
      <c r="A1150" s="14">
        <v>44916</v>
      </c>
      <c r="B1150" s="5">
        <v>8</v>
      </c>
      <c r="C1150" s="32">
        <f>VLOOKUP(B1150,'area in m2'!B$2:C$10,2,FALSE)</f>
        <v>142</v>
      </c>
      <c r="D1150" s="5" t="s">
        <v>11</v>
      </c>
      <c r="E1150" s="6">
        <v>541.63147743650825</v>
      </c>
      <c r="F1150" s="33" t="str">
        <f t="shared" si="34"/>
        <v>Over 530</v>
      </c>
      <c r="G1150" s="33">
        <f t="shared" si="35"/>
        <v>568.71305130833366</v>
      </c>
      <c r="H1150" s="7">
        <v>0</v>
      </c>
      <c r="I1150" s="5" t="s">
        <v>14</v>
      </c>
      <c r="J1150" s="5">
        <v>24</v>
      </c>
      <c r="K1150" s="2"/>
      <c r="L1150" s="2"/>
      <c r="M1150" s="1"/>
    </row>
    <row r="1151" spans="1:13" ht="14.4" x14ac:dyDescent="0.3">
      <c r="A1151" s="14">
        <v>44897</v>
      </c>
      <c r="B1151" s="5">
        <v>8</v>
      </c>
      <c r="C1151" s="32">
        <f>VLOOKUP(B1151,'area in m2'!B$2:C$10,2,FALSE)</f>
        <v>142</v>
      </c>
      <c r="D1151" s="5" t="s">
        <v>12</v>
      </c>
      <c r="E1151" s="6">
        <v>534.56326922569951</v>
      </c>
      <c r="F1151" s="33" t="str">
        <f t="shared" si="34"/>
        <v>Over 530</v>
      </c>
      <c r="G1151" s="33">
        <f t="shared" si="35"/>
        <v>561.29143268698454</v>
      </c>
      <c r="H1151" s="7">
        <v>0</v>
      </c>
      <c r="I1151" s="5" t="s">
        <v>14</v>
      </c>
      <c r="J1151" s="5">
        <v>53</v>
      </c>
      <c r="K1151" s="2"/>
      <c r="L1151" s="2"/>
      <c r="M1151" s="1"/>
    </row>
    <row r="1152" spans="1:13" ht="14.4" x14ac:dyDescent="0.3">
      <c r="A1152" s="14">
        <v>44845</v>
      </c>
      <c r="B1152" s="5">
        <v>4</v>
      </c>
      <c r="C1152" s="32">
        <f>VLOOKUP(B1152,'area in m2'!B$2:C$10,2,FALSE)</f>
        <v>188</v>
      </c>
      <c r="D1152" s="5" t="s">
        <v>11</v>
      </c>
      <c r="E1152" s="6">
        <v>532.51573341732364</v>
      </c>
      <c r="F1152" s="33" t="str">
        <f t="shared" si="34"/>
        <v>Over 530</v>
      </c>
      <c r="G1152" s="33">
        <f t="shared" si="35"/>
        <v>559.14152008818985</v>
      </c>
      <c r="H1152" s="7">
        <v>0.03</v>
      </c>
      <c r="I1152" s="5" t="s">
        <v>15</v>
      </c>
      <c r="J1152" s="5">
        <v>45</v>
      </c>
      <c r="K1152" s="2"/>
      <c r="L1152" s="2"/>
      <c r="M1152" s="1"/>
    </row>
    <row r="1153" spans="1:13" ht="14.4" x14ac:dyDescent="0.3">
      <c r="A1153" s="14">
        <v>44813</v>
      </c>
      <c r="B1153" s="5">
        <v>1</v>
      </c>
      <c r="C1153" s="32">
        <f>VLOOKUP(B1153,'area in m2'!B$2:C$10,2,FALSE)</f>
        <v>280</v>
      </c>
      <c r="D1153" s="5" t="s">
        <v>11</v>
      </c>
      <c r="E1153" s="6">
        <v>504.83785555900158</v>
      </c>
      <c r="F1153" s="33" t="str">
        <f t="shared" si="34"/>
        <v>Below 530</v>
      </c>
      <c r="G1153" s="33">
        <f t="shared" si="35"/>
        <v>530.07974833695164</v>
      </c>
      <c r="H1153" s="7">
        <v>0</v>
      </c>
      <c r="I1153" s="5" t="s">
        <v>15</v>
      </c>
      <c r="J1153" s="5">
        <v>42</v>
      </c>
      <c r="K1153" s="2"/>
      <c r="L1153" s="2"/>
      <c r="M1153" s="1"/>
    </row>
    <row r="1154" spans="1:13" ht="14.4" x14ac:dyDescent="0.3">
      <c r="A1154" s="14">
        <v>44632</v>
      </c>
      <c r="B1154" s="5">
        <v>2</v>
      </c>
      <c r="C1154" s="32">
        <f>VLOOKUP(B1154,'area in m2'!B$2:C$10,2,FALSE)</f>
        <v>250</v>
      </c>
      <c r="D1154" s="5" t="s">
        <v>11</v>
      </c>
      <c r="E1154" s="6">
        <v>527.1352324788395</v>
      </c>
      <c r="F1154" s="33" t="str">
        <f t="shared" si="34"/>
        <v>Below 530</v>
      </c>
      <c r="G1154" s="33">
        <f t="shared" si="35"/>
        <v>553.49199410278152</v>
      </c>
      <c r="H1154" s="7">
        <v>0.03</v>
      </c>
      <c r="I1154" s="5" t="s">
        <v>14</v>
      </c>
      <c r="J1154" s="5">
        <v>48</v>
      </c>
      <c r="K1154" s="2"/>
      <c r="L1154" s="2"/>
      <c r="M1154" s="1"/>
    </row>
    <row r="1155" spans="1:13" ht="14.4" x14ac:dyDescent="0.3">
      <c r="A1155" s="14">
        <v>44874</v>
      </c>
      <c r="B1155" s="5">
        <v>3</v>
      </c>
      <c r="C1155" s="32">
        <f>VLOOKUP(B1155,'area in m2'!B$2:C$10,2,FALSE)</f>
        <v>195</v>
      </c>
      <c r="D1155" s="5" t="s">
        <v>11</v>
      </c>
      <c r="E1155" s="6">
        <v>538.34255716094958</v>
      </c>
      <c r="F1155" s="33" t="str">
        <f t="shared" si="34"/>
        <v>Over 530</v>
      </c>
      <c r="G1155" s="33">
        <f t="shared" si="35"/>
        <v>565.25968501899706</v>
      </c>
      <c r="H1155" s="7">
        <v>0.02</v>
      </c>
      <c r="I1155" s="5" t="s">
        <v>14</v>
      </c>
      <c r="J1155" s="5">
        <v>23</v>
      </c>
      <c r="K1155" s="2"/>
      <c r="L1155" s="2"/>
      <c r="M1155" s="1"/>
    </row>
    <row r="1156" spans="1:13" ht="14.4" x14ac:dyDescent="0.3">
      <c r="A1156" s="14">
        <v>44701</v>
      </c>
      <c r="B1156" s="5">
        <v>1</v>
      </c>
      <c r="C1156" s="32">
        <f>VLOOKUP(B1156,'area in m2'!B$2:C$10,2,FALSE)</f>
        <v>280</v>
      </c>
      <c r="D1156" s="5" t="s">
        <v>11</v>
      </c>
      <c r="E1156" s="6">
        <v>540.38655925911371</v>
      </c>
      <c r="F1156" s="33" t="str">
        <f t="shared" si="34"/>
        <v>Over 530</v>
      </c>
      <c r="G1156" s="33">
        <f t="shared" si="35"/>
        <v>567.4058872220694</v>
      </c>
      <c r="H1156" s="7">
        <v>0.03</v>
      </c>
      <c r="I1156" s="5" t="s">
        <v>14</v>
      </c>
      <c r="J1156" s="5">
        <v>27</v>
      </c>
      <c r="K1156" s="2"/>
      <c r="L1156" s="2"/>
      <c r="M1156" s="1"/>
    </row>
    <row r="1157" spans="1:13" ht="14.4" x14ac:dyDescent="0.3">
      <c r="A1157" s="14">
        <v>44625</v>
      </c>
      <c r="B1157" s="5">
        <v>3</v>
      </c>
      <c r="C1157" s="32">
        <f>VLOOKUP(B1157,'area in m2'!B$2:C$10,2,FALSE)</f>
        <v>195</v>
      </c>
      <c r="D1157" s="5" t="s">
        <v>11</v>
      </c>
      <c r="E1157" s="6">
        <v>517.1021064596207</v>
      </c>
      <c r="F1157" s="33" t="str">
        <f t="shared" ref="F1157:F1220" si="36">IF(E1157&gt;530,"Over 530","Below 530")</f>
        <v>Below 530</v>
      </c>
      <c r="G1157" s="33">
        <f t="shared" ref="G1157:G1220" si="37">+E1157*1.05</f>
        <v>542.9572117826018</v>
      </c>
      <c r="H1157" s="7">
        <v>0.03</v>
      </c>
      <c r="I1157" s="5" t="s">
        <v>15</v>
      </c>
      <c r="J1157" s="5">
        <v>32</v>
      </c>
      <c r="K1157" s="2"/>
      <c r="L1157" s="2"/>
      <c r="M1157" s="1"/>
    </row>
    <row r="1158" spans="1:13" ht="14.4" x14ac:dyDescent="0.3">
      <c r="A1158" s="14">
        <v>44577</v>
      </c>
      <c r="B1158" s="5">
        <v>6</v>
      </c>
      <c r="C1158" s="32">
        <f>VLOOKUP(B1158,'area in m2'!B$2:C$10,2,FALSE)</f>
        <v>175</v>
      </c>
      <c r="D1158" s="5" t="s">
        <v>13</v>
      </c>
      <c r="E1158" s="6">
        <v>538.66408451724965</v>
      </c>
      <c r="F1158" s="33" t="str">
        <f t="shared" si="36"/>
        <v>Over 530</v>
      </c>
      <c r="G1158" s="33">
        <f t="shared" si="37"/>
        <v>565.59728874311213</v>
      </c>
      <c r="H1158" s="7">
        <v>0.03</v>
      </c>
      <c r="I1158" s="5" t="s">
        <v>14</v>
      </c>
      <c r="J1158" s="5">
        <v>21</v>
      </c>
      <c r="K1158" s="2"/>
      <c r="L1158" s="2"/>
      <c r="M1158" s="1"/>
    </row>
    <row r="1159" spans="1:13" ht="14.4" x14ac:dyDescent="0.3">
      <c r="A1159" s="14">
        <v>44714</v>
      </c>
      <c r="B1159" s="5">
        <v>6</v>
      </c>
      <c r="C1159" s="32">
        <f>VLOOKUP(B1159,'area in m2'!B$2:C$10,2,FALSE)</f>
        <v>175</v>
      </c>
      <c r="D1159" s="5" t="s">
        <v>13</v>
      </c>
      <c r="E1159" s="6">
        <v>507.89616855035911</v>
      </c>
      <c r="F1159" s="33" t="str">
        <f t="shared" si="36"/>
        <v>Below 530</v>
      </c>
      <c r="G1159" s="33">
        <f t="shared" si="37"/>
        <v>533.29097697787711</v>
      </c>
      <c r="H1159" s="7">
        <v>0.02</v>
      </c>
      <c r="I1159" s="5" t="s">
        <v>14</v>
      </c>
      <c r="J1159" s="5">
        <v>41</v>
      </c>
      <c r="K1159" s="2"/>
      <c r="L1159" s="2"/>
      <c r="M1159" s="1"/>
    </row>
    <row r="1160" spans="1:13" ht="14.4" x14ac:dyDescent="0.3">
      <c r="A1160" s="14">
        <v>44582</v>
      </c>
      <c r="B1160" s="5">
        <v>4</v>
      </c>
      <c r="C1160" s="32">
        <f>VLOOKUP(B1160,'area in m2'!B$2:C$10,2,FALSE)</f>
        <v>188</v>
      </c>
      <c r="D1160" s="5" t="s">
        <v>11</v>
      </c>
      <c r="E1160" s="6">
        <v>529.85897678171386</v>
      </c>
      <c r="F1160" s="33" t="str">
        <f t="shared" si="36"/>
        <v>Below 530</v>
      </c>
      <c r="G1160" s="33">
        <f t="shared" si="37"/>
        <v>556.35192562079953</v>
      </c>
      <c r="H1160" s="7">
        <v>0.03</v>
      </c>
      <c r="I1160" s="5" t="s">
        <v>14</v>
      </c>
      <c r="J1160" s="5">
        <v>21</v>
      </c>
      <c r="K1160" s="2"/>
      <c r="L1160" s="2"/>
      <c r="M1160" s="1"/>
    </row>
    <row r="1161" spans="1:13" ht="14.4" x14ac:dyDescent="0.3">
      <c r="A1161" s="14">
        <v>44912</v>
      </c>
      <c r="B1161" s="5">
        <v>2</v>
      </c>
      <c r="C1161" s="32">
        <f>VLOOKUP(B1161,'area in m2'!B$2:C$10,2,FALSE)</f>
        <v>250</v>
      </c>
      <c r="D1161" s="5" t="s">
        <v>11</v>
      </c>
      <c r="E1161" s="6">
        <v>524.74698039949726</v>
      </c>
      <c r="F1161" s="33" t="str">
        <f t="shared" si="36"/>
        <v>Below 530</v>
      </c>
      <c r="G1161" s="33">
        <f t="shared" si="37"/>
        <v>550.98432941947215</v>
      </c>
      <c r="H1161" s="7">
        <v>0.03</v>
      </c>
      <c r="I1161" s="5" t="s">
        <v>14</v>
      </c>
      <c r="J1161" s="5">
        <v>30</v>
      </c>
      <c r="K1161" s="2"/>
      <c r="L1161" s="2"/>
      <c r="M1161" s="1"/>
    </row>
    <row r="1162" spans="1:13" ht="14.4" x14ac:dyDescent="0.3">
      <c r="A1162" s="14">
        <v>44898</v>
      </c>
      <c r="B1162" s="5">
        <v>8</v>
      </c>
      <c r="C1162" s="32">
        <f>VLOOKUP(B1162,'area in m2'!B$2:C$10,2,FALSE)</f>
        <v>142</v>
      </c>
      <c r="D1162" s="5" t="s">
        <v>12</v>
      </c>
      <c r="E1162" s="6">
        <v>533.99744922362061</v>
      </c>
      <c r="F1162" s="33" t="str">
        <f t="shared" si="36"/>
        <v>Over 530</v>
      </c>
      <c r="G1162" s="33">
        <f t="shared" si="37"/>
        <v>560.69732168480164</v>
      </c>
      <c r="H1162" s="7">
        <v>0.02</v>
      </c>
      <c r="I1162" s="5" t="s">
        <v>14</v>
      </c>
      <c r="J1162" s="5">
        <v>42</v>
      </c>
      <c r="K1162" s="2"/>
      <c r="L1162" s="2"/>
      <c r="M1162" s="1"/>
    </row>
    <row r="1163" spans="1:13" ht="14.4" x14ac:dyDescent="0.3">
      <c r="A1163" s="14">
        <v>44736</v>
      </c>
      <c r="B1163" s="5">
        <v>3</v>
      </c>
      <c r="C1163" s="32">
        <f>VLOOKUP(B1163,'area in m2'!B$2:C$10,2,FALSE)</f>
        <v>195</v>
      </c>
      <c r="D1163" s="5" t="s">
        <v>11</v>
      </c>
      <c r="E1163" s="6">
        <v>504.55259129418391</v>
      </c>
      <c r="F1163" s="33" t="str">
        <f t="shared" si="36"/>
        <v>Below 530</v>
      </c>
      <c r="G1163" s="33">
        <f t="shared" si="37"/>
        <v>529.78022085889313</v>
      </c>
      <c r="H1163" s="7">
        <v>0.03</v>
      </c>
      <c r="I1163" s="5" t="s">
        <v>15</v>
      </c>
      <c r="J1163" s="5">
        <v>43</v>
      </c>
      <c r="K1163" s="2"/>
      <c r="L1163" s="2"/>
      <c r="M1163" s="1"/>
    </row>
    <row r="1164" spans="1:13" ht="14.4" x14ac:dyDescent="0.3">
      <c r="A1164" s="14">
        <v>44848</v>
      </c>
      <c r="B1164" s="5">
        <v>4</v>
      </c>
      <c r="C1164" s="32">
        <f>VLOOKUP(B1164,'area in m2'!B$2:C$10,2,FALSE)</f>
        <v>188</v>
      </c>
      <c r="D1164" s="5" t="s">
        <v>11</v>
      </c>
      <c r="E1164" s="6">
        <v>548.26875835242754</v>
      </c>
      <c r="F1164" s="33" t="str">
        <f t="shared" si="36"/>
        <v>Over 530</v>
      </c>
      <c r="G1164" s="33">
        <f t="shared" si="37"/>
        <v>575.68219627004896</v>
      </c>
      <c r="H1164" s="7">
        <v>0</v>
      </c>
      <c r="I1164" s="5" t="s">
        <v>14</v>
      </c>
      <c r="J1164" s="5">
        <v>29</v>
      </c>
      <c r="K1164" s="2"/>
      <c r="L1164" s="2"/>
      <c r="M1164" s="1"/>
    </row>
    <row r="1165" spans="1:13" ht="14.4" x14ac:dyDescent="0.3">
      <c r="A1165" s="14">
        <v>44925</v>
      </c>
      <c r="B1165" s="5">
        <v>2</v>
      </c>
      <c r="C1165" s="32">
        <f>VLOOKUP(B1165,'area in m2'!B$2:C$10,2,FALSE)</f>
        <v>250</v>
      </c>
      <c r="D1165" s="5" t="s">
        <v>11</v>
      </c>
      <c r="E1165" s="6">
        <v>550.67713769630791</v>
      </c>
      <c r="F1165" s="33" t="str">
        <f t="shared" si="36"/>
        <v>Over 530</v>
      </c>
      <c r="G1165" s="33">
        <f t="shared" si="37"/>
        <v>578.21099458112337</v>
      </c>
      <c r="H1165" s="7">
        <v>0</v>
      </c>
      <c r="I1165" s="5" t="s">
        <v>14</v>
      </c>
      <c r="J1165" s="5">
        <v>28</v>
      </c>
      <c r="K1165" s="2"/>
      <c r="L1165" s="2"/>
      <c r="M1165" s="1"/>
    </row>
    <row r="1166" spans="1:13" ht="14.4" x14ac:dyDescent="0.3">
      <c r="A1166" s="14">
        <v>44798</v>
      </c>
      <c r="B1166" s="5">
        <v>3</v>
      </c>
      <c r="C1166" s="32">
        <f>VLOOKUP(B1166,'area in m2'!B$2:C$10,2,FALSE)</f>
        <v>195</v>
      </c>
      <c r="D1166" s="5" t="s">
        <v>11</v>
      </c>
      <c r="E1166" s="6">
        <v>543.83759794197067</v>
      </c>
      <c r="F1166" s="33" t="str">
        <f t="shared" si="36"/>
        <v>Over 530</v>
      </c>
      <c r="G1166" s="33">
        <f t="shared" si="37"/>
        <v>571.02947783906927</v>
      </c>
      <c r="H1166" s="7">
        <v>0.03</v>
      </c>
      <c r="I1166" s="5" t="s">
        <v>14</v>
      </c>
      <c r="J1166" s="5">
        <v>30</v>
      </c>
      <c r="K1166" s="2"/>
      <c r="L1166" s="2"/>
      <c r="M1166" s="1"/>
    </row>
    <row r="1167" spans="1:13" ht="14.4" x14ac:dyDescent="0.3">
      <c r="A1167" s="14">
        <v>44602</v>
      </c>
      <c r="B1167" s="5">
        <v>7</v>
      </c>
      <c r="C1167" s="32">
        <f>VLOOKUP(B1167,'area in m2'!B$2:C$10,2,FALSE)</f>
        <v>166</v>
      </c>
      <c r="D1167" s="5" t="s">
        <v>12</v>
      </c>
      <c r="E1167" s="6">
        <v>506.88728879521386</v>
      </c>
      <c r="F1167" s="33" t="str">
        <f t="shared" si="36"/>
        <v>Below 530</v>
      </c>
      <c r="G1167" s="33">
        <f t="shared" si="37"/>
        <v>532.2316532349746</v>
      </c>
      <c r="H1167" s="7">
        <v>0.02</v>
      </c>
      <c r="I1167" s="5" t="s">
        <v>14</v>
      </c>
      <c r="J1167" s="5">
        <v>49</v>
      </c>
      <c r="K1167" s="2"/>
      <c r="L1167" s="2"/>
      <c r="M1167" s="1"/>
    </row>
    <row r="1168" spans="1:13" ht="14.4" x14ac:dyDescent="0.3">
      <c r="A1168" s="14">
        <v>44904</v>
      </c>
      <c r="B1168" s="5">
        <v>5</v>
      </c>
      <c r="C1168" s="32">
        <f>VLOOKUP(B1168,'area in m2'!B$2:C$10,2,FALSE)</f>
        <v>200</v>
      </c>
      <c r="D1168" s="5" t="s">
        <v>13</v>
      </c>
      <c r="E1168" s="6">
        <v>553.17012214630086</v>
      </c>
      <c r="F1168" s="33" t="str">
        <f t="shared" si="36"/>
        <v>Over 530</v>
      </c>
      <c r="G1168" s="33">
        <f t="shared" si="37"/>
        <v>580.82862825361588</v>
      </c>
      <c r="H1168" s="7">
        <v>0.01</v>
      </c>
      <c r="I1168" s="5" t="s">
        <v>14</v>
      </c>
      <c r="J1168" s="5">
        <v>24</v>
      </c>
      <c r="K1168" s="2"/>
      <c r="L1168" s="2"/>
      <c r="M1168" s="1"/>
    </row>
    <row r="1169" spans="1:13" ht="14.4" x14ac:dyDescent="0.3">
      <c r="A1169" s="14">
        <v>44772</v>
      </c>
      <c r="B1169" s="5">
        <v>8</v>
      </c>
      <c r="C1169" s="32">
        <f>VLOOKUP(B1169,'area in m2'!B$2:C$10,2,FALSE)</f>
        <v>142</v>
      </c>
      <c r="D1169" s="5" t="s">
        <v>12</v>
      </c>
      <c r="E1169" s="6">
        <v>504.89207390766478</v>
      </c>
      <c r="F1169" s="33" t="str">
        <f t="shared" si="36"/>
        <v>Below 530</v>
      </c>
      <c r="G1169" s="33">
        <f t="shared" si="37"/>
        <v>530.13667760304804</v>
      </c>
      <c r="H1169" s="7">
        <v>0.02</v>
      </c>
      <c r="I1169" s="5" t="s">
        <v>14</v>
      </c>
      <c r="J1169" s="5">
        <v>28</v>
      </c>
      <c r="K1169" s="2"/>
      <c r="L1169" s="2"/>
      <c r="M1169" s="1"/>
    </row>
    <row r="1170" spans="1:13" ht="14.4" x14ac:dyDescent="0.3">
      <c r="A1170" s="14">
        <v>44646</v>
      </c>
      <c r="B1170" s="5">
        <v>6</v>
      </c>
      <c r="C1170" s="32">
        <f>VLOOKUP(B1170,'area in m2'!B$2:C$10,2,FALSE)</f>
        <v>175</v>
      </c>
      <c r="D1170" s="5" t="s">
        <v>13</v>
      </c>
      <c r="E1170" s="6">
        <v>529.52876239282614</v>
      </c>
      <c r="F1170" s="33" t="str">
        <f t="shared" si="36"/>
        <v>Below 530</v>
      </c>
      <c r="G1170" s="33">
        <f t="shared" si="37"/>
        <v>556.00520051246747</v>
      </c>
      <c r="H1170" s="7">
        <v>0.03</v>
      </c>
      <c r="I1170" s="5" t="s">
        <v>15</v>
      </c>
      <c r="J1170" s="5">
        <v>26</v>
      </c>
      <c r="K1170" s="2"/>
      <c r="L1170" s="2"/>
      <c r="M1170" s="1"/>
    </row>
    <row r="1171" spans="1:13" ht="14.4" x14ac:dyDescent="0.3">
      <c r="A1171" s="14">
        <v>44850</v>
      </c>
      <c r="B1171" s="5">
        <v>6</v>
      </c>
      <c r="C1171" s="32">
        <f>VLOOKUP(B1171,'area in m2'!B$2:C$10,2,FALSE)</f>
        <v>175</v>
      </c>
      <c r="D1171" s="5" t="s">
        <v>13</v>
      </c>
      <c r="E1171" s="6">
        <v>504.78613375569239</v>
      </c>
      <c r="F1171" s="33" t="str">
        <f t="shared" si="36"/>
        <v>Below 530</v>
      </c>
      <c r="G1171" s="33">
        <f t="shared" si="37"/>
        <v>530.02544044347701</v>
      </c>
      <c r="H1171" s="7">
        <v>0.02</v>
      </c>
      <c r="I1171" s="5" t="s">
        <v>14</v>
      </c>
      <c r="J1171" s="5">
        <v>34</v>
      </c>
      <c r="K1171" s="2"/>
      <c r="L1171" s="2"/>
      <c r="M1171" s="1"/>
    </row>
    <row r="1172" spans="1:13" ht="14.4" x14ac:dyDescent="0.3">
      <c r="A1172" s="14">
        <v>44769</v>
      </c>
      <c r="B1172" s="5">
        <v>4</v>
      </c>
      <c r="C1172" s="32">
        <f>VLOOKUP(B1172,'area in m2'!B$2:C$10,2,FALSE)</f>
        <v>188</v>
      </c>
      <c r="D1172" s="5" t="s">
        <v>11</v>
      </c>
      <c r="E1172" s="6">
        <v>521.39732224413001</v>
      </c>
      <c r="F1172" s="33" t="str">
        <f t="shared" si="36"/>
        <v>Below 530</v>
      </c>
      <c r="G1172" s="33">
        <f t="shared" si="37"/>
        <v>547.46718835633658</v>
      </c>
      <c r="H1172" s="7">
        <v>0.02</v>
      </c>
      <c r="I1172" s="5" t="s">
        <v>14</v>
      </c>
      <c r="J1172" s="5">
        <v>44</v>
      </c>
      <c r="K1172" s="2"/>
      <c r="L1172" s="2"/>
      <c r="M1172" s="1"/>
    </row>
    <row r="1173" spans="1:13" ht="14.4" x14ac:dyDescent="0.3">
      <c r="A1173" s="14">
        <v>44806</v>
      </c>
      <c r="B1173" s="5">
        <v>8</v>
      </c>
      <c r="C1173" s="32">
        <f>VLOOKUP(B1173,'area in m2'!B$2:C$10,2,FALSE)</f>
        <v>142</v>
      </c>
      <c r="D1173" s="5" t="s">
        <v>12</v>
      </c>
      <c r="E1173" s="6">
        <v>548.08164462648347</v>
      </c>
      <c r="F1173" s="33" t="str">
        <f t="shared" si="36"/>
        <v>Over 530</v>
      </c>
      <c r="G1173" s="33">
        <f t="shared" si="37"/>
        <v>575.48572685780766</v>
      </c>
      <c r="H1173" s="7">
        <v>0.02</v>
      </c>
      <c r="I1173" s="5" t="s">
        <v>14</v>
      </c>
      <c r="J1173" s="5">
        <v>27</v>
      </c>
      <c r="K1173" s="2"/>
      <c r="L1173" s="2"/>
      <c r="M1173" s="1"/>
    </row>
    <row r="1174" spans="1:13" ht="14.4" x14ac:dyDescent="0.3">
      <c r="A1174" s="14">
        <v>44820</v>
      </c>
      <c r="B1174" s="5">
        <v>1</v>
      </c>
      <c r="C1174" s="32">
        <f>VLOOKUP(B1174,'area in m2'!B$2:C$10,2,FALSE)</f>
        <v>280</v>
      </c>
      <c r="D1174" s="5" t="s">
        <v>11</v>
      </c>
      <c r="E1174" s="6">
        <v>510.30758073047946</v>
      </c>
      <c r="F1174" s="33" t="str">
        <f t="shared" si="36"/>
        <v>Below 530</v>
      </c>
      <c r="G1174" s="33">
        <f t="shared" si="37"/>
        <v>535.82295976700345</v>
      </c>
      <c r="H1174" s="7">
        <v>0.02</v>
      </c>
      <c r="I1174" s="5" t="s">
        <v>14</v>
      </c>
      <c r="J1174" s="5">
        <v>32</v>
      </c>
      <c r="K1174" s="2"/>
      <c r="L1174" s="2"/>
      <c r="M1174" s="1"/>
    </row>
    <row r="1175" spans="1:13" ht="14.4" x14ac:dyDescent="0.3">
      <c r="A1175" s="14">
        <v>44621</v>
      </c>
      <c r="B1175" s="5">
        <v>6</v>
      </c>
      <c r="C1175" s="32">
        <f>VLOOKUP(B1175,'area in m2'!B$2:C$10,2,FALSE)</f>
        <v>175</v>
      </c>
      <c r="D1175" s="5" t="s">
        <v>13</v>
      </c>
      <c r="E1175" s="6">
        <v>535.74848366456172</v>
      </c>
      <c r="F1175" s="33" t="str">
        <f t="shared" si="36"/>
        <v>Over 530</v>
      </c>
      <c r="G1175" s="33">
        <f t="shared" si="37"/>
        <v>562.53590784778987</v>
      </c>
      <c r="H1175" s="7">
        <v>0</v>
      </c>
      <c r="I1175" s="5" t="s">
        <v>14</v>
      </c>
      <c r="J1175" s="5">
        <v>46</v>
      </c>
      <c r="K1175" s="2"/>
      <c r="L1175" s="2"/>
      <c r="M1175" s="1"/>
    </row>
    <row r="1176" spans="1:13" ht="14.4" x14ac:dyDescent="0.3">
      <c r="A1176" s="14">
        <v>44922</v>
      </c>
      <c r="B1176" s="5">
        <v>6</v>
      </c>
      <c r="C1176" s="32">
        <f>VLOOKUP(B1176,'area in m2'!B$2:C$10,2,FALSE)</f>
        <v>175</v>
      </c>
      <c r="D1176" s="5" t="s">
        <v>13</v>
      </c>
      <c r="E1176" s="6">
        <v>521.85875951446997</v>
      </c>
      <c r="F1176" s="33" t="str">
        <f t="shared" si="36"/>
        <v>Below 530</v>
      </c>
      <c r="G1176" s="33">
        <f t="shared" si="37"/>
        <v>547.95169749019351</v>
      </c>
      <c r="H1176" s="7">
        <v>0.01</v>
      </c>
      <c r="I1176" s="5" t="s">
        <v>15</v>
      </c>
      <c r="J1176" s="5">
        <v>36</v>
      </c>
      <c r="K1176" s="2"/>
      <c r="L1176" s="2"/>
      <c r="M1176" s="1"/>
    </row>
    <row r="1177" spans="1:13" ht="14.4" x14ac:dyDescent="0.3">
      <c r="A1177" s="14">
        <v>44689</v>
      </c>
      <c r="B1177" s="5">
        <v>6</v>
      </c>
      <c r="C1177" s="32">
        <f>VLOOKUP(B1177,'area in m2'!B$2:C$10,2,FALSE)</f>
        <v>175</v>
      </c>
      <c r="D1177" s="5" t="s">
        <v>13</v>
      </c>
      <c r="E1177" s="6">
        <v>507.89616855035911</v>
      </c>
      <c r="F1177" s="33" t="str">
        <f t="shared" si="36"/>
        <v>Below 530</v>
      </c>
      <c r="G1177" s="33">
        <f t="shared" si="37"/>
        <v>533.29097697787711</v>
      </c>
      <c r="H1177" s="7">
        <v>0</v>
      </c>
      <c r="I1177" s="5" t="s">
        <v>14</v>
      </c>
      <c r="J1177" s="5">
        <v>36</v>
      </c>
      <c r="K1177" s="2"/>
      <c r="L1177" s="2"/>
      <c r="M1177" s="1"/>
    </row>
    <row r="1178" spans="1:13" ht="14.4" x14ac:dyDescent="0.3">
      <c r="A1178" s="14">
        <v>44810</v>
      </c>
      <c r="B1178" s="5">
        <v>4</v>
      </c>
      <c r="C1178" s="32">
        <f>VLOOKUP(B1178,'area in m2'!B$2:C$10,2,FALSE)</f>
        <v>188</v>
      </c>
      <c r="D1178" s="5" t="s">
        <v>11</v>
      </c>
      <c r="E1178" s="6">
        <v>506.76232130573317</v>
      </c>
      <c r="F1178" s="33" t="str">
        <f t="shared" si="36"/>
        <v>Below 530</v>
      </c>
      <c r="G1178" s="33">
        <f t="shared" si="37"/>
        <v>532.10043737101989</v>
      </c>
      <c r="H1178" s="7">
        <v>0.02</v>
      </c>
      <c r="I1178" s="5" t="s">
        <v>14</v>
      </c>
      <c r="J1178" s="5">
        <v>26</v>
      </c>
      <c r="K1178" s="2"/>
      <c r="L1178" s="2"/>
      <c r="M1178" s="1"/>
    </row>
    <row r="1179" spans="1:13" ht="14.4" x14ac:dyDescent="0.3">
      <c r="A1179" s="14">
        <v>44765</v>
      </c>
      <c r="B1179" s="5">
        <v>8</v>
      </c>
      <c r="C1179" s="32">
        <f>VLOOKUP(B1179,'area in m2'!B$2:C$10,2,FALSE)</f>
        <v>142</v>
      </c>
      <c r="D1179" s="5" t="s">
        <v>12</v>
      </c>
      <c r="E1179" s="6">
        <v>501.79940746721513</v>
      </c>
      <c r="F1179" s="33" t="str">
        <f t="shared" si="36"/>
        <v>Below 530</v>
      </c>
      <c r="G1179" s="33">
        <f t="shared" si="37"/>
        <v>526.88937784057589</v>
      </c>
      <c r="H1179" s="7">
        <v>0</v>
      </c>
      <c r="I1179" s="5" t="s">
        <v>15</v>
      </c>
      <c r="J1179" s="5">
        <v>50</v>
      </c>
      <c r="K1179" s="2"/>
      <c r="L1179" s="2"/>
      <c r="M1179" s="1"/>
    </row>
    <row r="1180" spans="1:13" ht="14.4" x14ac:dyDescent="0.3">
      <c r="A1180" s="14">
        <v>44873</v>
      </c>
      <c r="B1180" s="5">
        <v>3</v>
      </c>
      <c r="C1180" s="32">
        <f>VLOOKUP(B1180,'area in m2'!B$2:C$10,2,FALSE)</f>
        <v>195</v>
      </c>
      <c r="D1180" s="5" t="s">
        <v>11</v>
      </c>
      <c r="E1180" s="6">
        <v>521.50637273913708</v>
      </c>
      <c r="F1180" s="33" t="str">
        <f t="shared" si="36"/>
        <v>Below 530</v>
      </c>
      <c r="G1180" s="33">
        <f t="shared" si="37"/>
        <v>547.581691376094</v>
      </c>
      <c r="H1180" s="7">
        <v>0</v>
      </c>
      <c r="I1180" s="5" t="s">
        <v>14</v>
      </c>
      <c r="J1180" s="5">
        <v>33</v>
      </c>
      <c r="K1180" s="2"/>
      <c r="L1180" s="2"/>
      <c r="M1180" s="1"/>
    </row>
    <row r="1181" spans="1:13" ht="14.4" x14ac:dyDescent="0.3">
      <c r="A1181" s="14">
        <v>44638</v>
      </c>
      <c r="B1181" s="5">
        <v>4</v>
      </c>
      <c r="C1181" s="32">
        <f>VLOOKUP(B1181,'area in m2'!B$2:C$10,2,FALSE)</f>
        <v>188</v>
      </c>
      <c r="D1181" s="5" t="s">
        <v>11</v>
      </c>
      <c r="E1181" s="6">
        <v>513.39155697721526</v>
      </c>
      <c r="F1181" s="33" t="str">
        <f t="shared" si="36"/>
        <v>Below 530</v>
      </c>
      <c r="G1181" s="33">
        <f t="shared" si="37"/>
        <v>539.061134826076</v>
      </c>
      <c r="H1181" s="7">
        <v>0.03</v>
      </c>
      <c r="I1181" s="5" t="s">
        <v>15</v>
      </c>
      <c r="J1181" s="5">
        <v>64</v>
      </c>
      <c r="K1181" s="2"/>
      <c r="L1181" s="2"/>
      <c r="M1181" s="1"/>
    </row>
    <row r="1182" spans="1:13" ht="14.4" x14ac:dyDescent="0.3">
      <c r="A1182" s="14">
        <v>44637</v>
      </c>
      <c r="B1182" s="5">
        <v>9</v>
      </c>
      <c r="C1182" s="32">
        <f>VLOOKUP(B1182,'area in m2'!B$2:C$10,2,FALSE)</f>
        <v>140</v>
      </c>
      <c r="D1182" s="5" t="s">
        <v>12</v>
      </c>
      <c r="E1182" s="6">
        <v>513.94342700538164</v>
      </c>
      <c r="F1182" s="33" t="str">
        <f t="shared" si="36"/>
        <v>Below 530</v>
      </c>
      <c r="G1182" s="33">
        <f t="shared" si="37"/>
        <v>539.6405983556507</v>
      </c>
      <c r="H1182" s="7">
        <v>0.02</v>
      </c>
      <c r="I1182" s="5" t="s">
        <v>14</v>
      </c>
      <c r="J1182" s="5">
        <v>32</v>
      </c>
      <c r="K1182" s="2"/>
      <c r="L1182" s="2"/>
      <c r="M1182" s="1"/>
    </row>
    <row r="1183" spans="1:13" ht="14.4" x14ac:dyDescent="0.3">
      <c r="A1183" s="14">
        <v>44893</v>
      </c>
      <c r="B1183" s="5">
        <v>3</v>
      </c>
      <c r="C1183" s="32">
        <f>VLOOKUP(B1183,'area in m2'!B$2:C$10,2,FALSE)</f>
        <v>195</v>
      </c>
      <c r="D1183" s="5" t="s">
        <v>11</v>
      </c>
      <c r="E1183" s="6">
        <v>529.00117267695441</v>
      </c>
      <c r="F1183" s="33" t="str">
        <f t="shared" si="36"/>
        <v>Below 530</v>
      </c>
      <c r="G1183" s="33">
        <f t="shared" si="37"/>
        <v>555.4512313108022</v>
      </c>
      <c r="H1183" s="7">
        <v>0.02</v>
      </c>
      <c r="I1183" s="5" t="s">
        <v>14</v>
      </c>
      <c r="J1183" s="5">
        <v>31</v>
      </c>
      <c r="K1183" s="2"/>
      <c r="L1183" s="2"/>
      <c r="M1183" s="1"/>
    </row>
    <row r="1184" spans="1:13" ht="14.4" x14ac:dyDescent="0.3">
      <c r="A1184" s="14">
        <v>44769</v>
      </c>
      <c r="B1184" s="5">
        <v>5</v>
      </c>
      <c r="C1184" s="32">
        <f>VLOOKUP(B1184,'area in m2'!B$2:C$10,2,FALSE)</f>
        <v>200</v>
      </c>
      <c r="D1184" s="5" t="s">
        <v>13</v>
      </c>
      <c r="E1184" s="6">
        <v>549.53666722381786</v>
      </c>
      <c r="F1184" s="33" t="str">
        <f t="shared" si="36"/>
        <v>Over 530</v>
      </c>
      <c r="G1184" s="33">
        <f t="shared" si="37"/>
        <v>577.01350058500873</v>
      </c>
      <c r="H1184" s="7">
        <v>0.03</v>
      </c>
      <c r="I1184" s="5" t="s">
        <v>14</v>
      </c>
      <c r="J1184" s="5">
        <v>50</v>
      </c>
      <c r="K1184" s="2"/>
      <c r="L1184" s="2"/>
      <c r="M1184" s="1"/>
    </row>
    <row r="1185" spans="1:13" ht="14.4" x14ac:dyDescent="0.3">
      <c r="A1185" s="14">
        <v>44685</v>
      </c>
      <c r="B1185" s="5">
        <v>4</v>
      </c>
      <c r="C1185" s="32">
        <f>VLOOKUP(B1185,'area in m2'!B$2:C$10,2,FALSE)</f>
        <v>188</v>
      </c>
      <c r="D1185" s="5" t="s">
        <v>11</v>
      </c>
      <c r="E1185" s="6">
        <v>522.84563488608001</v>
      </c>
      <c r="F1185" s="33" t="str">
        <f t="shared" si="36"/>
        <v>Below 530</v>
      </c>
      <c r="G1185" s="33">
        <f t="shared" si="37"/>
        <v>548.98791663038401</v>
      </c>
      <c r="H1185" s="7">
        <v>0.03</v>
      </c>
      <c r="I1185" s="5" t="s">
        <v>14</v>
      </c>
      <c r="J1185" s="5">
        <v>36</v>
      </c>
      <c r="K1185" s="2"/>
      <c r="L1185" s="2"/>
      <c r="M1185" s="1"/>
    </row>
    <row r="1186" spans="1:13" ht="14.4" x14ac:dyDescent="0.3">
      <c r="A1186" s="14">
        <v>44811</v>
      </c>
      <c r="B1186" s="5">
        <v>6</v>
      </c>
      <c r="C1186" s="32">
        <f>VLOOKUP(B1186,'area in m2'!B$2:C$10,2,FALSE)</f>
        <v>175</v>
      </c>
      <c r="D1186" s="5" t="s">
        <v>13</v>
      </c>
      <c r="E1186" s="6">
        <v>514.15687286359116</v>
      </c>
      <c r="F1186" s="33" t="str">
        <f t="shared" si="36"/>
        <v>Below 530</v>
      </c>
      <c r="G1186" s="33">
        <f t="shared" si="37"/>
        <v>539.86471650677072</v>
      </c>
      <c r="H1186" s="7">
        <v>0</v>
      </c>
      <c r="I1186" s="5" t="s">
        <v>14</v>
      </c>
      <c r="J1186" s="5">
        <v>25</v>
      </c>
      <c r="K1186" s="2"/>
      <c r="L1186" s="2"/>
      <c r="M1186" s="1"/>
    </row>
    <row r="1187" spans="1:13" ht="14.4" x14ac:dyDescent="0.3">
      <c r="A1187" s="14">
        <v>44776</v>
      </c>
      <c r="B1187" s="5">
        <v>8</v>
      </c>
      <c r="C1187" s="32">
        <f>VLOOKUP(B1187,'area in m2'!B$2:C$10,2,FALSE)</f>
        <v>142</v>
      </c>
      <c r="D1187" s="5" t="s">
        <v>12</v>
      </c>
      <c r="E1187" s="6">
        <v>505.32933031367429</v>
      </c>
      <c r="F1187" s="33" t="str">
        <f t="shared" si="36"/>
        <v>Below 530</v>
      </c>
      <c r="G1187" s="33">
        <f t="shared" si="37"/>
        <v>530.59579682935805</v>
      </c>
      <c r="H1187" s="7">
        <v>0.02</v>
      </c>
      <c r="I1187" s="5" t="s">
        <v>15</v>
      </c>
      <c r="J1187" s="5">
        <v>25</v>
      </c>
      <c r="K1187" s="2"/>
      <c r="L1187" s="2"/>
      <c r="M1187" s="1"/>
    </row>
    <row r="1188" spans="1:13" ht="14.4" x14ac:dyDescent="0.3">
      <c r="A1188" s="14">
        <v>44900</v>
      </c>
      <c r="B1188" s="5">
        <v>9</v>
      </c>
      <c r="C1188" s="32">
        <f>VLOOKUP(B1188,'area in m2'!B$2:C$10,2,FALSE)</f>
        <v>140</v>
      </c>
      <c r="D1188" s="5" t="s">
        <v>12</v>
      </c>
      <c r="E1188" s="6">
        <v>509.66104761302176</v>
      </c>
      <c r="F1188" s="33" t="str">
        <f t="shared" si="36"/>
        <v>Below 530</v>
      </c>
      <c r="G1188" s="33">
        <f t="shared" si="37"/>
        <v>535.14409999367285</v>
      </c>
      <c r="H1188" s="7">
        <v>0</v>
      </c>
      <c r="I1188" s="5" t="s">
        <v>14</v>
      </c>
      <c r="J1188" s="5">
        <v>23</v>
      </c>
      <c r="K1188" s="2"/>
      <c r="L1188" s="2"/>
      <c r="M1188" s="1"/>
    </row>
    <row r="1189" spans="1:13" ht="14.4" x14ac:dyDescent="0.3">
      <c r="A1189" s="14">
        <v>44628</v>
      </c>
      <c r="B1189" s="5">
        <v>4</v>
      </c>
      <c r="C1189" s="32">
        <f>VLOOKUP(B1189,'area in m2'!B$2:C$10,2,FALSE)</f>
        <v>188</v>
      </c>
      <c r="D1189" s="5" t="s">
        <v>11</v>
      </c>
      <c r="E1189" s="6">
        <v>539.0967820835267</v>
      </c>
      <c r="F1189" s="33" t="str">
        <f t="shared" si="36"/>
        <v>Over 530</v>
      </c>
      <c r="G1189" s="33">
        <f t="shared" si="37"/>
        <v>566.05162118770306</v>
      </c>
      <c r="H1189" s="7">
        <v>0.01</v>
      </c>
      <c r="I1189" s="5" t="s">
        <v>14</v>
      </c>
      <c r="J1189" s="5">
        <v>38</v>
      </c>
      <c r="K1189" s="2"/>
      <c r="L1189" s="2"/>
      <c r="M1189" s="1"/>
    </row>
    <row r="1190" spans="1:13" ht="14.4" x14ac:dyDescent="0.3">
      <c r="A1190" s="14">
        <v>44845</v>
      </c>
      <c r="B1190" s="5">
        <v>4</v>
      </c>
      <c r="C1190" s="32">
        <f>VLOOKUP(B1190,'area in m2'!B$2:C$10,2,FALSE)</f>
        <v>188</v>
      </c>
      <c r="D1190" s="5" t="s">
        <v>11</v>
      </c>
      <c r="E1190" s="6">
        <v>542.13618212852361</v>
      </c>
      <c r="F1190" s="33" t="str">
        <f t="shared" si="36"/>
        <v>Over 530</v>
      </c>
      <c r="G1190" s="33">
        <f t="shared" si="37"/>
        <v>569.24299123494984</v>
      </c>
      <c r="H1190" s="7">
        <v>0.03</v>
      </c>
      <c r="I1190" s="5" t="s">
        <v>14</v>
      </c>
      <c r="J1190" s="5">
        <v>35</v>
      </c>
      <c r="K1190" s="2"/>
      <c r="L1190" s="2"/>
      <c r="M1190" s="1"/>
    </row>
    <row r="1191" spans="1:13" ht="14.4" x14ac:dyDescent="0.3">
      <c r="A1191" s="14">
        <v>44871</v>
      </c>
      <c r="B1191" s="5">
        <v>1</v>
      </c>
      <c r="C1191" s="32">
        <f>VLOOKUP(B1191,'area in m2'!B$2:C$10,2,FALSE)</f>
        <v>280</v>
      </c>
      <c r="D1191" s="5" t="s">
        <v>11</v>
      </c>
      <c r="E1191" s="6">
        <v>532.16498836811934</v>
      </c>
      <c r="F1191" s="33" t="str">
        <f t="shared" si="36"/>
        <v>Over 530</v>
      </c>
      <c r="G1191" s="33">
        <f t="shared" si="37"/>
        <v>558.77323778652533</v>
      </c>
      <c r="H1191" s="7">
        <v>0</v>
      </c>
      <c r="I1191" s="5" t="s">
        <v>14</v>
      </c>
      <c r="J1191" s="5">
        <v>39</v>
      </c>
      <c r="K1191" s="2"/>
      <c r="L1191" s="2"/>
      <c r="M1191" s="1"/>
    </row>
    <row r="1192" spans="1:13" ht="14.4" x14ac:dyDescent="0.3">
      <c r="A1192" s="14">
        <v>44907</v>
      </c>
      <c r="B1192" s="5">
        <v>9</v>
      </c>
      <c r="C1192" s="32">
        <f>VLOOKUP(B1192,'area in m2'!B$2:C$10,2,FALSE)</f>
        <v>140</v>
      </c>
      <c r="D1192" s="5" t="s">
        <v>12</v>
      </c>
      <c r="E1192" s="6">
        <v>545.00235341705411</v>
      </c>
      <c r="F1192" s="33" t="str">
        <f t="shared" si="36"/>
        <v>Over 530</v>
      </c>
      <c r="G1192" s="33">
        <f t="shared" si="37"/>
        <v>572.25247108790688</v>
      </c>
      <c r="H1192" s="7">
        <v>0</v>
      </c>
      <c r="I1192" s="5" t="s">
        <v>14</v>
      </c>
      <c r="J1192" s="5">
        <v>25</v>
      </c>
      <c r="K1192" s="2"/>
      <c r="L1192" s="2"/>
      <c r="M1192" s="1"/>
    </row>
    <row r="1193" spans="1:13" ht="14.4" x14ac:dyDescent="0.3">
      <c r="A1193" s="14">
        <v>44697</v>
      </c>
      <c r="B1193" s="5">
        <v>1</v>
      </c>
      <c r="C1193" s="32">
        <f>VLOOKUP(B1193,'area in m2'!B$2:C$10,2,FALSE)</f>
        <v>280</v>
      </c>
      <c r="D1193" s="5" t="s">
        <v>11</v>
      </c>
      <c r="E1193" s="6">
        <v>540.15385054248145</v>
      </c>
      <c r="F1193" s="33" t="str">
        <f t="shared" si="36"/>
        <v>Over 530</v>
      </c>
      <c r="G1193" s="33">
        <f t="shared" si="37"/>
        <v>567.1615430696055</v>
      </c>
      <c r="H1193" s="7">
        <v>0.01</v>
      </c>
      <c r="I1193" s="5" t="s">
        <v>14</v>
      </c>
      <c r="J1193" s="5">
        <v>38</v>
      </c>
      <c r="K1193" s="2"/>
      <c r="L1193" s="2"/>
      <c r="M1193" s="1"/>
    </row>
    <row r="1194" spans="1:13" ht="14.4" x14ac:dyDescent="0.3">
      <c r="A1194" s="14">
        <v>44907</v>
      </c>
      <c r="B1194" s="5">
        <v>6</v>
      </c>
      <c r="C1194" s="32">
        <f>VLOOKUP(B1194,'area in m2'!B$2:C$10,2,FALSE)</f>
        <v>175</v>
      </c>
      <c r="D1194" s="5" t="s">
        <v>13</v>
      </c>
      <c r="E1194" s="6">
        <v>535.14361334719524</v>
      </c>
      <c r="F1194" s="33" t="str">
        <f t="shared" si="36"/>
        <v>Over 530</v>
      </c>
      <c r="G1194" s="33">
        <f t="shared" si="37"/>
        <v>561.900794014555</v>
      </c>
      <c r="H1194" s="7">
        <v>0.02</v>
      </c>
      <c r="I1194" s="5" t="s">
        <v>15</v>
      </c>
      <c r="J1194" s="5">
        <v>43</v>
      </c>
      <c r="K1194" s="2"/>
      <c r="L1194" s="2"/>
      <c r="M1194" s="1"/>
    </row>
    <row r="1195" spans="1:13" ht="14.4" x14ac:dyDescent="0.3">
      <c r="A1195" s="14">
        <v>44743</v>
      </c>
      <c r="B1195" s="5">
        <v>9</v>
      </c>
      <c r="C1195" s="32">
        <f>VLOOKUP(B1195,'area in m2'!B$2:C$10,2,FALSE)</f>
        <v>140</v>
      </c>
      <c r="D1195" s="5" t="s">
        <v>12</v>
      </c>
      <c r="E1195" s="6">
        <v>515.09445342759955</v>
      </c>
      <c r="F1195" s="33" t="str">
        <f t="shared" si="36"/>
        <v>Below 530</v>
      </c>
      <c r="G1195" s="33">
        <f t="shared" si="37"/>
        <v>540.84917609897957</v>
      </c>
      <c r="H1195" s="7">
        <v>0</v>
      </c>
      <c r="I1195" s="5" t="s">
        <v>14</v>
      </c>
      <c r="J1195" s="5">
        <v>45</v>
      </c>
      <c r="K1195" s="2"/>
      <c r="L1195" s="2"/>
      <c r="M1195" s="1"/>
    </row>
    <row r="1196" spans="1:13" ht="14.4" x14ac:dyDescent="0.3">
      <c r="A1196" s="14">
        <v>44896</v>
      </c>
      <c r="B1196" s="5">
        <v>9</v>
      </c>
      <c r="C1196" s="32">
        <f>VLOOKUP(B1196,'area in m2'!B$2:C$10,2,FALSE)</f>
        <v>140</v>
      </c>
      <c r="D1196" s="5" t="s">
        <v>12</v>
      </c>
      <c r="E1196" s="6">
        <v>511.72354180741968</v>
      </c>
      <c r="F1196" s="33" t="str">
        <f t="shared" si="36"/>
        <v>Below 530</v>
      </c>
      <c r="G1196" s="33">
        <f t="shared" si="37"/>
        <v>537.30971889779073</v>
      </c>
      <c r="H1196" s="7">
        <v>0.02</v>
      </c>
      <c r="I1196" s="5" t="s">
        <v>14</v>
      </c>
      <c r="J1196" s="5">
        <v>48</v>
      </c>
      <c r="K1196" s="2"/>
      <c r="L1196" s="2"/>
      <c r="M1196" s="1"/>
    </row>
    <row r="1197" spans="1:13" ht="14.4" x14ac:dyDescent="0.3">
      <c r="A1197" s="14">
        <v>44860</v>
      </c>
      <c r="B1197" s="5">
        <v>2</v>
      </c>
      <c r="C1197" s="32">
        <f>VLOOKUP(B1197,'area in m2'!B$2:C$10,2,FALSE)</f>
        <v>250</v>
      </c>
      <c r="D1197" s="5" t="s">
        <v>11</v>
      </c>
      <c r="E1197" s="6">
        <v>522.49992465720607</v>
      </c>
      <c r="F1197" s="33" t="str">
        <f t="shared" si="36"/>
        <v>Below 530</v>
      </c>
      <c r="G1197" s="33">
        <f t="shared" si="37"/>
        <v>548.62492089006639</v>
      </c>
      <c r="H1197" s="7">
        <v>0</v>
      </c>
      <c r="I1197" s="5" t="s">
        <v>14</v>
      </c>
      <c r="J1197" s="5">
        <v>39</v>
      </c>
      <c r="K1197" s="2"/>
      <c r="L1197" s="2"/>
      <c r="M1197" s="1"/>
    </row>
    <row r="1198" spans="1:13" ht="14.4" x14ac:dyDescent="0.3">
      <c r="A1198" s="14">
        <v>44921</v>
      </c>
      <c r="B1198" s="5">
        <v>3</v>
      </c>
      <c r="C1198" s="32">
        <f>VLOOKUP(B1198,'area in m2'!B$2:C$10,2,FALSE)</f>
        <v>195</v>
      </c>
      <c r="D1198" s="5" t="s">
        <v>11</v>
      </c>
      <c r="E1198" s="6">
        <v>539.85982253248949</v>
      </c>
      <c r="F1198" s="33" t="str">
        <f t="shared" si="36"/>
        <v>Over 530</v>
      </c>
      <c r="G1198" s="33">
        <f t="shared" si="37"/>
        <v>566.85281365911396</v>
      </c>
      <c r="H1198" s="7">
        <v>0.01</v>
      </c>
      <c r="I1198" s="5" t="s">
        <v>14</v>
      </c>
      <c r="J1198" s="5">
        <v>24</v>
      </c>
      <c r="K1198" s="2"/>
      <c r="L1198" s="2"/>
      <c r="M1198" s="1"/>
    </row>
    <row r="1199" spans="1:13" ht="14.4" x14ac:dyDescent="0.3">
      <c r="A1199" s="14">
        <v>44653</v>
      </c>
      <c r="B1199" s="5">
        <v>9</v>
      </c>
      <c r="C1199" s="32">
        <f>VLOOKUP(B1199,'area in m2'!B$2:C$10,2,FALSE)</f>
        <v>140</v>
      </c>
      <c r="D1199" s="5" t="s">
        <v>12</v>
      </c>
      <c r="E1199" s="6">
        <v>524.80831585105534</v>
      </c>
      <c r="F1199" s="33" t="str">
        <f t="shared" si="36"/>
        <v>Below 530</v>
      </c>
      <c r="G1199" s="33">
        <f t="shared" si="37"/>
        <v>551.04873164360811</v>
      </c>
      <c r="H1199" s="7">
        <v>0</v>
      </c>
      <c r="I1199" s="5" t="s">
        <v>14</v>
      </c>
      <c r="J1199" s="5">
        <v>33</v>
      </c>
      <c r="K1199" s="2"/>
      <c r="L1199" s="2"/>
      <c r="M1199" s="1"/>
    </row>
    <row r="1200" spans="1:13" ht="14.4" x14ac:dyDescent="0.3">
      <c r="A1200" s="14">
        <v>44764</v>
      </c>
      <c r="B1200" s="5">
        <v>8</v>
      </c>
      <c r="C1200" s="32">
        <f>VLOOKUP(B1200,'area in m2'!B$2:C$10,2,FALSE)</f>
        <v>142</v>
      </c>
      <c r="D1200" s="5" t="s">
        <v>12</v>
      </c>
      <c r="E1200" s="6">
        <v>541.72883021908274</v>
      </c>
      <c r="F1200" s="33" t="str">
        <f t="shared" si="36"/>
        <v>Over 530</v>
      </c>
      <c r="G1200" s="33">
        <f t="shared" si="37"/>
        <v>568.8152717300369</v>
      </c>
      <c r="H1200" s="7">
        <v>0.01</v>
      </c>
      <c r="I1200" s="5" t="s">
        <v>15</v>
      </c>
      <c r="J1200" s="5">
        <v>37</v>
      </c>
      <c r="K1200" s="2"/>
      <c r="L1200" s="2"/>
      <c r="M1200" s="1"/>
    </row>
    <row r="1201" spans="1:13" ht="14.4" x14ac:dyDescent="0.3">
      <c r="A1201" s="14">
        <v>44705</v>
      </c>
      <c r="B1201" s="5">
        <v>5</v>
      </c>
      <c r="C1201" s="32">
        <f>VLOOKUP(B1201,'area in m2'!B$2:C$10,2,FALSE)</f>
        <v>200</v>
      </c>
      <c r="D1201" s="5" t="s">
        <v>13</v>
      </c>
      <c r="E1201" s="6">
        <v>550.82168913542955</v>
      </c>
      <c r="F1201" s="33" t="str">
        <f t="shared" si="36"/>
        <v>Over 530</v>
      </c>
      <c r="G1201" s="33">
        <f t="shared" si="37"/>
        <v>578.36277359220105</v>
      </c>
      <c r="H1201" s="7">
        <v>0.02</v>
      </c>
      <c r="I1201" s="5" t="s">
        <v>14</v>
      </c>
      <c r="J1201" s="5">
        <v>35</v>
      </c>
      <c r="K1201" s="2"/>
      <c r="L1201" s="2"/>
      <c r="M1201" s="1"/>
    </row>
    <row r="1202" spans="1:13" ht="14.4" x14ac:dyDescent="0.3">
      <c r="A1202" s="14">
        <v>44668</v>
      </c>
      <c r="B1202" s="5">
        <v>6</v>
      </c>
      <c r="C1202" s="32">
        <f>VLOOKUP(B1202,'area in m2'!B$2:C$10,2,FALSE)</f>
        <v>175</v>
      </c>
      <c r="D1202" s="5" t="s">
        <v>13</v>
      </c>
      <c r="E1202" s="6">
        <v>509.19258111698491</v>
      </c>
      <c r="F1202" s="33" t="str">
        <f t="shared" si="36"/>
        <v>Below 530</v>
      </c>
      <c r="G1202" s="33">
        <f t="shared" si="37"/>
        <v>534.6522101728342</v>
      </c>
      <c r="H1202" s="7">
        <v>0</v>
      </c>
      <c r="I1202" s="5" t="s">
        <v>14</v>
      </c>
      <c r="J1202" s="5">
        <v>34</v>
      </c>
      <c r="K1202" s="2"/>
      <c r="L1202" s="2"/>
      <c r="M1202" s="1"/>
    </row>
    <row r="1203" spans="1:13" ht="14.4" x14ac:dyDescent="0.3">
      <c r="A1203" s="14">
        <v>44857</v>
      </c>
      <c r="B1203" s="5">
        <v>1</v>
      </c>
      <c r="C1203" s="32">
        <f>VLOOKUP(B1203,'area in m2'!B$2:C$10,2,FALSE)</f>
        <v>280</v>
      </c>
      <c r="D1203" s="5" t="s">
        <v>11</v>
      </c>
      <c r="E1203" s="6">
        <v>512.37226393323908</v>
      </c>
      <c r="F1203" s="33" t="str">
        <f t="shared" si="36"/>
        <v>Below 530</v>
      </c>
      <c r="G1203" s="33">
        <f t="shared" si="37"/>
        <v>537.99087712990104</v>
      </c>
      <c r="H1203" s="7">
        <v>0.02</v>
      </c>
      <c r="I1203" s="5" t="s">
        <v>14</v>
      </c>
      <c r="J1203" s="5">
        <v>46</v>
      </c>
      <c r="K1203" s="2"/>
      <c r="L1203" s="2"/>
      <c r="M1203" s="1"/>
    </row>
    <row r="1204" spans="1:13" ht="14.4" x14ac:dyDescent="0.3">
      <c r="A1204" s="14">
        <v>44699</v>
      </c>
      <c r="B1204" s="5">
        <v>6</v>
      </c>
      <c r="C1204" s="32">
        <f>VLOOKUP(B1204,'area in m2'!B$2:C$10,2,FALSE)</f>
        <v>175</v>
      </c>
      <c r="D1204" s="5" t="s">
        <v>13</v>
      </c>
      <c r="E1204" s="6">
        <v>507.89616855035911</v>
      </c>
      <c r="F1204" s="33" t="str">
        <f t="shared" si="36"/>
        <v>Below 530</v>
      </c>
      <c r="G1204" s="33">
        <f t="shared" si="37"/>
        <v>533.29097697787711</v>
      </c>
      <c r="H1204" s="7">
        <v>0</v>
      </c>
      <c r="I1204" s="5" t="s">
        <v>14</v>
      </c>
      <c r="J1204" s="5">
        <v>46</v>
      </c>
      <c r="K1204" s="2"/>
      <c r="L1204" s="2"/>
      <c r="M1204" s="1"/>
    </row>
    <row r="1205" spans="1:13" ht="14.4" x14ac:dyDescent="0.3">
      <c r="A1205" s="14">
        <v>44729</v>
      </c>
      <c r="B1205" s="5">
        <v>8</v>
      </c>
      <c r="C1205" s="32">
        <f>VLOOKUP(B1205,'area in m2'!B$2:C$10,2,FALSE)</f>
        <v>142</v>
      </c>
      <c r="D1205" s="5" t="s">
        <v>12</v>
      </c>
      <c r="E1205" s="6">
        <v>536.81221341398668</v>
      </c>
      <c r="F1205" s="33" t="str">
        <f t="shared" si="36"/>
        <v>Over 530</v>
      </c>
      <c r="G1205" s="33">
        <f t="shared" si="37"/>
        <v>563.65282408468602</v>
      </c>
      <c r="H1205" s="7">
        <v>0.03</v>
      </c>
      <c r="I1205" s="5" t="s">
        <v>14</v>
      </c>
      <c r="J1205" s="5">
        <v>46</v>
      </c>
      <c r="K1205" s="2"/>
      <c r="L1205" s="2"/>
      <c r="M1205" s="1"/>
    </row>
    <row r="1206" spans="1:13" ht="14.4" x14ac:dyDescent="0.3">
      <c r="A1206" s="14">
        <v>44762</v>
      </c>
      <c r="B1206" s="5">
        <v>2</v>
      </c>
      <c r="C1206" s="32">
        <f>VLOOKUP(B1206,'area in m2'!B$2:C$10,2,FALSE)</f>
        <v>250</v>
      </c>
      <c r="D1206" s="5" t="s">
        <v>11</v>
      </c>
      <c r="E1206" s="6">
        <v>515.85032571193733</v>
      </c>
      <c r="F1206" s="33" t="str">
        <f t="shared" si="36"/>
        <v>Below 530</v>
      </c>
      <c r="G1206" s="33">
        <f t="shared" si="37"/>
        <v>541.64284199753422</v>
      </c>
      <c r="H1206" s="7">
        <v>0.02</v>
      </c>
      <c r="I1206" s="5" t="s">
        <v>15</v>
      </c>
      <c r="J1206" s="5">
        <v>39</v>
      </c>
      <c r="K1206" s="2"/>
      <c r="L1206" s="2"/>
      <c r="M1206" s="1"/>
    </row>
    <row r="1207" spans="1:13" ht="14.4" x14ac:dyDescent="0.3">
      <c r="A1207" s="14">
        <v>44789</v>
      </c>
      <c r="B1207" s="5">
        <v>3</v>
      </c>
      <c r="C1207" s="32">
        <f>VLOOKUP(B1207,'area in m2'!B$2:C$10,2,FALSE)</f>
        <v>195</v>
      </c>
      <c r="D1207" s="5" t="s">
        <v>11</v>
      </c>
      <c r="E1207" s="6">
        <v>508.50191284840912</v>
      </c>
      <c r="F1207" s="33" t="str">
        <f t="shared" si="36"/>
        <v>Below 530</v>
      </c>
      <c r="G1207" s="33">
        <f t="shared" si="37"/>
        <v>533.92700849082962</v>
      </c>
      <c r="H1207" s="7">
        <v>0.02</v>
      </c>
      <c r="I1207" s="5" t="s">
        <v>14</v>
      </c>
      <c r="J1207" s="5">
        <v>44</v>
      </c>
      <c r="K1207" s="2"/>
      <c r="L1207" s="2"/>
      <c r="M1207" s="1"/>
    </row>
    <row r="1208" spans="1:13" ht="14.4" x14ac:dyDescent="0.3">
      <c r="A1208" s="14">
        <v>44638</v>
      </c>
      <c r="B1208" s="5">
        <v>8</v>
      </c>
      <c r="C1208" s="32">
        <f>VLOOKUP(B1208,'area in m2'!B$2:C$10,2,FALSE)</f>
        <v>142</v>
      </c>
      <c r="D1208" s="5" t="s">
        <v>12</v>
      </c>
      <c r="E1208" s="6">
        <v>536.2944076558415</v>
      </c>
      <c r="F1208" s="33" t="str">
        <f t="shared" si="36"/>
        <v>Over 530</v>
      </c>
      <c r="G1208" s="33">
        <f t="shared" si="37"/>
        <v>563.10912803863357</v>
      </c>
      <c r="H1208" s="7">
        <v>0.02</v>
      </c>
      <c r="I1208" s="5" t="s">
        <v>15</v>
      </c>
      <c r="J1208" s="5">
        <v>57</v>
      </c>
      <c r="K1208" s="2"/>
      <c r="L1208" s="2"/>
      <c r="M1208" s="1"/>
    </row>
    <row r="1209" spans="1:13" ht="14.4" x14ac:dyDescent="0.3">
      <c r="A1209" s="14">
        <v>44786</v>
      </c>
      <c r="B1209" s="5">
        <v>4</v>
      </c>
      <c r="C1209" s="32">
        <f>VLOOKUP(B1209,'area in m2'!B$2:C$10,2,FALSE)</f>
        <v>188</v>
      </c>
      <c r="D1209" s="5" t="s">
        <v>11</v>
      </c>
      <c r="E1209" s="6">
        <v>541.05129400065744</v>
      </c>
      <c r="F1209" s="33" t="str">
        <f t="shared" si="36"/>
        <v>Over 530</v>
      </c>
      <c r="G1209" s="33">
        <f t="shared" si="37"/>
        <v>568.10385870069035</v>
      </c>
      <c r="H1209" s="7">
        <v>0.02</v>
      </c>
      <c r="I1209" s="5" t="s">
        <v>15</v>
      </c>
      <c r="J1209" s="5">
        <v>18</v>
      </c>
      <c r="K1209" s="2"/>
      <c r="L1209" s="2"/>
      <c r="M1209" s="1"/>
    </row>
    <row r="1210" spans="1:13" ht="14.4" x14ac:dyDescent="0.3">
      <c r="A1210" s="14">
        <v>44793</v>
      </c>
      <c r="B1210" s="5">
        <v>3</v>
      </c>
      <c r="C1210" s="32">
        <f>VLOOKUP(B1210,'area in m2'!B$2:C$10,2,FALSE)</f>
        <v>195</v>
      </c>
      <c r="D1210" s="5" t="s">
        <v>11</v>
      </c>
      <c r="E1210" s="6">
        <v>527.8582595676462</v>
      </c>
      <c r="F1210" s="33" t="str">
        <f t="shared" si="36"/>
        <v>Below 530</v>
      </c>
      <c r="G1210" s="33">
        <f t="shared" si="37"/>
        <v>554.25117254602856</v>
      </c>
      <c r="H1210" s="7">
        <v>0.03</v>
      </c>
      <c r="I1210" s="5" t="s">
        <v>14</v>
      </c>
      <c r="J1210" s="5">
        <v>22</v>
      </c>
      <c r="K1210" s="2"/>
      <c r="L1210" s="2"/>
      <c r="M1210" s="1"/>
    </row>
    <row r="1211" spans="1:13" ht="14.4" x14ac:dyDescent="0.3">
      <c r="A1211" s="14">
        <v>44891</v>
      </c>
      <c r="B1211" s="5">
        <v>2</v>
      </c>
      <c r="C1211" s="32">
        <f>VLOOKUP(B1211,'area in m2'!B$2:C$10,2,FALSE)</f>
        <v>250</v>
      </c>
      <c r="D1211" s="5" t="s">
        <v>11</v>
      </c>
      <c r="E1211" s="6">
        <v>539.0765244705326</v>
      </c>
      <c r="F1211" s="33" t="str">
        <f t="shared" si="36"/>
        <v>Over 530</v>
      </c>
      <c r="G1211" s="33">
        <f t="shared" si="37"/>
        <v>566.03035069405928</v>
      </c>
      <c r="H1211" s="7">
        <v>0</v>
      </c>
      <c r="I1211" s="5" t="s">
        <v>14</v>
      </c>
      <c r="J1211" s="5">
        <v>43</v>
      </c>
      <c r="K1211" s="2"/>
      <c r="L1211" s="2"/>
      <c r="M1211" s="1"/>
    </row>
    <row r="1212" spans="1:13" ht="14.4" x14ac:dyDescent="0.3">
      <c r="A1212" s="14">
        <v>44635</v>
      </c>
      <c r="B1212" s="5">
        <v>5</v>
      </c>
      <c r="C1212" s="32">
        <f>VLOOKUP(B1212,'area in m2'!B$2:C$10,2,FALSE)</f>
        <v>200</v>
      </c>
      <c r="D1212" s="5" t="s">
        <v>13</v>
      </c>
      <c r="E1212" s="6">
        <v>525.37287320585983</v>
      </c>
      <c r="F1212" s="33" t="str">
        <f t="shared" si="36"/>
        <v>Below 530</v>
      </c>
      <c r="G1212" s="33">
        <f t="shared" si="37"/>
        <v>551.64151686615287</v>
      </c>
      <c r="H1212" s="7">
        <v>0.02</v>
      </c>
      <c r="I1212" s="5" t="s">
        <v>14</v>
      </c>
      <c r="J1212" s="5">
        <v>37</v>
      </c>
      <c r="K1212" s="2"/>
      <c r="L1212" s="2"/>
      <c r="M1212" s="1"/>
    </row>
    <row r="1213" spans="1:13" ht="14.4" x14ac:dyDescent="0.3">
      <c r="A1213" s="14">
        <v>44674</v>
      </c>
      <c r="B1213" s="5">
        <v>6</v>
      </c>
      <c r="C1213" s="32">
        <f>VLOOKUP(B1213,'area in m2'!B$2:C$10,2,FALSE)</f>
        <v>175</v>
      </c>
      <c r="D1213" s="5" t="s">
        <v>13</v>
      </c>
      <c r="E1213" s="6">
        <v>549.48954294001851</v>
      </c>
      <c r="F1213" s="33" t="str">
        <f t="shared" si="36"/>
        <v>Over 530</v>
      </c>
      <c r="G1213" s="33">
        <f t="shared" si="37"/>
        <v>576.96402008701943</v>
      </c>
      <c r="H1213" s="7">
        <v>0.01</v>
      </c>
      <c r="I1213" s="5" t="s">
        <v>15</v>
      </c>
      <c r="J1213" s="5">
        <v>39</v>
      </c>
      <c r="K1213" s="2"/>
      <c r="L1213" s="2"/>
      <c r="M1213" s="1"/>
    </row>
    <row r="1214" spans="1:13" ht="14.4" x14ac:dyDescent="0.3">
      <c r="A1214" s="14">
        <v>44749</v>
      </c>
      <c r="B1214" s="5">
        <v>8</v>
      </c>
      <c r="C1214" s="32">
        <f>VLOOKUP(B1214,'area in m2'!B$2:C$10,2,FALSE)</f>
        <v>142</v>
      </c>
      <c r="D1214" s="5" t="s">
        <v>12</v>
      </c>
      <c r="E1214" s="6">
        <v>503.10500179798237</v>
      </c>
      <c r="F1214" s="33" t="str">
        <f t="shared" si="36"/>
        <v>Below 530</v>
      </c>
      <c r="G1214" s="33">
        <f t="shared" si="37"/>
        <v>528.26025188788151</v>
      </c>
      <c r="H1214" s="7">
        <v>0.01</v>
      </c>
      <c r="I1214" s="5" t="s">
        <v>14</v>
      </c>
      <c r="J1214" s="5">
        <v>33</v>
      </c>
      <c r="K1214" s="2"/>
      <c r="L1214" s="2"/>
      <c r="M1214" s="1"/>
    </row>
    <row r="1215" spans="1:13" ht="14.4" x14ac:dyDescent="0.3">
      <c r="A1215" s="14">
        <v>44772</v>
      </c>
      <c r="B1215" s="5">
        <v>3</v>
      </c>
      <c r="C1215" s="32">
        <f>VLOOKUP(B1215,'area in m2'!B$2:C$10,2,FALSE)</f>
        <v>195</v>
      </c>
      <c r="D1215" s="5" t="s">
        <v>11</v>
      </c>
      <c r="E1215" s="6">
        <v>544.73035147968039</v>
      </c>
      <c r="F1215" s="33" t="str">
        <f t="shared" si="36"/>
        <v>Over 530</v>
      </c>
      <c r="G1215" s="33">
        <f t="shared" si="37"/>
        <v>571.96686905366448</v>
      </c>
      <c r="H1215" s="7">
        <v>0</v>
      </c>
      <c r="I1215" s="5" t="s">
        <v>14</v>
      </c>
      <c r="J1215" s="5">
        <v>48</v>
      </c>
      <c r="K1215" s="2"/>
      <c r="L1215" s="2"/>
      <c r="M1215" s="1"/>
    </row>
    <row r="1216" spans="1:13" ht="14.4" x14ac:dyDescent="0.3">
      <c r="A1216" s="14">
        <v>44817</v>
      </c>
      <c r="B1216" s="5">
        <v>4</v>
      </c>
      <c r="C1216" s="32">
        <f>VLOOKUP(B1216,'area in m2'!B$2:C$10,2,FALSE)</f>
        <v>188</v>
      </c>
      <c r="D1216" s="5" t="s">
        <v>11</v>
      </c>
      <c r="E1216" s="6">
        <v>549.58894444384168</v>
      </c>
      <c r="F1216" s="33" t="str">
        <f t="shared" si="36"/>
        <v>Over 530</v>
      </c>
      <c r="G1216" s="33">
        <f t="shared" si="37"/>
        <v>577.06839166603379</v>
      </c>
      <c r="H1216" s="7">
        <v>0.03</v>
      </c>
      <c r="I1216" s="5" t="s">
        <v>14</v>
      </c>
      <c r="J1216" s="5">
        <v>23</v>
      </c>
      <c r="K1216" s="2"/>
      <c r="L1216" s="2"/>
      <c r="M1216" s="1"/>
    </row>
    <row r="1217" spans="1:13" ht="14.4" x14ac:dyDescent="0.3">
      <c r="A1217" s="14">
        <v>44755</v>
      </c>
      <c r="B1217" s="5">
        <v>8</v>
      </c>
      <c r="C1217" s="32">
        <f>VLOOKUP(B1217,'area in m2'!B$2:C$10,2,FALSE)</f>
        <v>142</v>
      </c>
      <c r="D1217" s="5" t="s">
        <v>11</v>
      </c>
      <c r="E1217" s="6">
        <v>500.52852822248497</v>
      </c>
      <c r="F1217" s="33" t="str">
        <f t="shared" si="36"/>
        <v>Below 530</v>
      </c>
      <c r="G1217" s="33">
        <f t="shared" si="37"/>
        <v>525.55495463360921</v>
      </c>
      <c r="H1217" s="7">
        <v>0</v>
      </c>
      <c r="I1217" s="5" t="s">
        <v>15</v>
      </c>
      <c r="J1217" s="5">
        <v>33</v>
      </c>
      <c r="K1217" s="2"/>
      <c r="L1217" s="2"/>
      <c r="M1217" s="1"/>
    </row>
    <row r="1218" spans="1:13" ht="14.4" x14ac:dyDescent="0.3">
      <c r="A1218" s="14">
        <v>44708</v>
      </c>
      <c r="B1218" s="5">
        <v>3</v>
      </c>
      <c r="C1218" s="32">
        <f>VLOOKUP(B1218,'area in m2'!B$2:C$10,2,FALSE)</f>
        <v>195</v>
      </c>
      <c r="D1218" s="5" t="s">
        <v>11</v>
      </c>
      <c r="E1218" s="6">
        <v>548.84787032102213</v>
      </c>
      <c r="F1218" s="33" t="str">
        <f t="shared" si="36"/>
        <v>Over 530</v>
      </c>
      <c r="G1218" s="33">
        <f t="shared" si="37"/>
        <v>576.29026383707321</v>
      </c>
      <c r="H1218" s="7">
        <v>0</v>
      </c>
      <c r="I1218" s="5" t="s">
        <v>14</v>
      </c>
      <c r="J1218" s="5">
        <v>42</v>
      </c>
      <c r="K1218" s="2"/>
      <c r="L1218" s="2"/>
      <c r="M1218" s="1"/>
    </row>
    <row r="1219" spans="1:13" ht="14.4" x14ac:dyDescent="0.3">
      <c r="A1219" s="14">
        <v>44639</v>
      </c>
      <c r="B1219" s="5">
        <v>1</v>
      </c>
      <c r="C1219" s="32">
        <f>VLOOKUP(B1219,'area in m2'!B$2:C$10,2,FALSE)</f>
        <v>280</v>
      </c>
      <c r="D1219" s="5" t="s">
        <v>11</v>
      </c>
      <c r="E1219" s="6">
        <v>545.05870640799549</v>
      </c>
      <c r="F1219" s="33" t="str">
        <f t="shared" si="36"/>
        <v>Over 530</v>
      </c>
      <c r="G1219" s="33">
        <f t="shared" si="37"/>
        <v>572.31164172839533</v>
      </c>
      <c r="H1219" s="7">
        <v>0.01</v>
      </c>
      <c r="I1219" s="5" t="s">
        <v>14</v>
      </c>
      <c r="J1219" s="5">
        <v>46</v>
      </c>
      <c r="K1219" s="2"/>
      <c r="L1219" s="2"/>
      <c r="M1219" s="1"/>
    </row>
    <row r="1220" spans="1:13" ht="14.4" x14ac:dyDescent="0.3">
      <c r="A1220" s="14">
        <v>44779</v>
      </c>
      <c r="B1220" s="5">
        <v>4</v>
      </c>
      <c r="C1220" s="32">
        <f>VLOOKUP(B1220,'area in m2'!B$2:C$10,2,FALSE)</f>
        <v>188</v>
      </c>
      <c r="D1220" s="5" t="s">
        <v>11</v>
      </c>
      <c r="E1220" s="6">
        <v>510.59021650708473</v>
      </c>
      <c r="F1220" s="33" t="str">
        <f t="shared" si="36"/>
        <v>Below 530</v>
      </c>
      <c r="G1220" s="33">
        <f t="shared" si="37"/>
        <v>536.11972733243897</v>
      </c>
      <c r="H1220" s="7">
        <v>0.01</v>
      </c>
      <c r="I1220" s="5" t="s">
        <v>14</v>
      </c>
      <c r="J1220" s="5">
        <v>49</v>
      </c>
      <c r="K1220" s="2"/>
      <c r="L1220" s="2"/>
      <c r="M1220" s="1"/>
    </row>
    <row r="1221" spans="1:13" ht="14.4" x14ac:dyDescent="0.3">
      <c r="A1221" s="14">
        <v>44808</v>
      </c>
      <c r="B1221" s="5">
        <v>1</v>
      </c>
      <c r="C1221" s="32">
        <f>VLOOKUP(B1221,'area in m2'!B$2:C$10,2,FALSE)</f>
        <v>280</v>
      </c>
      <c r="D1221" s="5" t="s">
        <v>11</v>
      </c>
      <c r="E1221" s="6">
        <v>509.69459623315925</v>
      </c>
      <c r="F1221" s="33" t="str">
        <f t="shared" ref="F1221:F1284" si="38">IF(E1221&gt;530,"Over 530","Below 530")</f>
        <v>Below 530</v>
      </c>
      <c r="G1221" s="33">
        <f t="shared" ref="G1221:G1284" si="39">+E1221*1.05</f>
        <v>535.17932604481723</v>
      </c>
      <c r="H1221" s="7">
        <v>0</v>
      </c>
      <c r="I1221" s="5" t="s">
        <v>15</v>
      </c>
      <c r="J1221" s="5">
        <v>40</v>
      </c>
      <c r="K1221" s="2"/>
      <c r="L1221" s="2"/>
      <c r="M1221" s="1"/>
    </row>
    <row r="1222" spans="1:13" ht="14.4" x14ac:dyDescent="0.3">
      <c r="A1222" s="14">
        <v>44674</v>
      </c>
      <c r="B1222" s="5">
        <v>5</v>
      </c>
      <c r="C1222" s="32">
        <f>VLOOKUP(B1222,'area in m2'!B$2:C$10,2,FALSE)</f>
        <v>200</v>
      </c>
      <c r="D1222" s="5" t="s">
        <v>13</v>
      </c>
      <c r="E1222" s="6">
        <v>550.23</v>
      </c>
      <c r="F1222" s="33" t="str">
        <f t="shared" si="38"/>
        <v>Over 530</v>
      </c>
      <c r="G1222" s="33">
        <f t="shared" si="39"/>
        <v>577.74150000000009</v>
      </c>
      <c r="H1222" s="7">
        <v>0.02</v>
      </c>
      <c r="I1222" s="5" t="s">
        <v>14</v>
      </c>
      <c r="J1222" s="5">
        <v>48</v>
      </c>
      <c r="K1222" s="2"/>
      <c r="L1222" s="2"/>
      <c r="M1222" s="1"/>
    </row>
    <row r="1223" spans="1:13" ht="14.4" x14ac:dyDescent="0.3">
      <c r="A1223" s="14">
        <v>44813</v>
      </c>
      <c r="B1223" s="5">
        <v>3</v>
      </c>
      <c r="C1223" s="32">
        <f>VLOOKUP(B1223,'area in m2'!B$2:C$10,2,FALSE)</f>
        <v>195</v>
      </c>
      <c r="D1223" s="5" t="s">
        <v>11</v>
      </c>
      <c r="E1223" s="6">
        <v>500.95417068886854</v>
      </c>
      <c r="F1223" s="33" t="str">
        <f t="shared" si="38"/>
        <v>Below 530</v>
      </c>
      <c r="G1223" s="33">
        <f t="shared" si="39"/>
        <v>526.00187922331202</v>
      </c>
      <c r="H1223" s="7">
        <v>0.01</v>
      </c>
      <c r="I1223" s="5" t="s">
        <v>14</v>
      </c>
      <c r="J1223" s="5">
        <v>48</v>
      </c>
      <c r="K1223" s="2"/>
      <c r="L1223" s="2"/>
      <c r="M1223" s="1"/>
    </row>
    <row r="1224" spans="1:13" ht="14.4" x14ac:dyDescent="0.3">
      <c r="A1224" s="14">
        <v>44684</v>
      </c>
      <c r="B1224" s="5">
        <v>4</v>
      </c>
      <c r="C1224" s="32">
        <f>VLOOKUP(B1224,'area in m2'!B$2:C$10,2,FALSE)</f>
        <v>188</v>
      </c>
      <c r="D1224" s="5" t="s">
        <v>11</v>
      </c>
      <c r="E1224" s="6">
        <v>511.36846383039301</v>
      </c>
      <c r="F1224" s="33" t="str">
        <f t="shared" si="38"/>
        <v>Below 530</v>
      </c>
      <c r="G1224" s="33">
        <f t="shared" si="39"/>
        <v>536.93688702191264</v>
      </c>
      <c r="H1224" s="7">
        <v>0.01</v>
      </c>
      <c r="I1224" s="5" t="s">
        <v>14</v>
      </c>
      <c r="J1224" s="5">
        <v>48</v>
      </c>
      <c r="K1224" s="2"/>
      <c r="L1224" s="2"/>
      <c r="M1224" s="1"/>
    </row>
    <row r="1225" spans="1:13" ht="14.4" x14ac:dyDescent="0.3">
      <c r="A1225" s="14">
        <v>44858</v>
      </c>
      <c r="B1225" s="5">
        <v>3</v>
      </c>
      <c r="C1225" s="32">
        <f>VLOOKUP(B1225,'area in m2'!B$2:C$10,2,FALSE)</f>
        <v>195</v>
      </c>
      <c r="D1225" s="5" t="s">
        <v>11</v>
      </c>
      <c r="E1225" s="6">
        <v>530.97689227011415</v>
      </c>
      <c r="F1225" s="33" t="str">
        <f t="shared" si="38"/>
        <v>Over 530</v>
      </c>
      <c r="G1225" s="33">
        <f t="shared" si="39"/>
        <v>557.52573688361986</v>
      </c>
      <c r="H1225" s="7">
        <v>0.03</v>
      </c>
      <c r="I1225" s="5" t="s">
        <v>14</v>
      </c>
      <c r="J1225" s="5">
        <v>28</v>
      </c>
      <c r="K1225" s="2"/>
      <c r="L1225" s="2"/>
      <c r="M1225" s="1"/>
    </row>
    <row r="1226" spans="1:13" ht="14.4" x14ac:dyDescent="0.3">
      <c r="A1226" s="14">
        <v>44898</v>
      </c>
      <c r="B1226" s="5">
        <v>3</v>
      </c>
      <c r="C1226" s="32">
        <f>VLOOKUP(B1226,'area in m2'!B$2:C$10,2,FALSE)</f>
        <v>195</v>
      </c>
      <c r="D1226" s="5" t="s">
        <v>11</v>
      </c>
      <c r="E1226" s="6">
        <v>531.23805715600702</v>
      </c>
      <c r="F1226" s="33" t="str">
        <f t="shared" si="38"/>
        <v>Over 530</v>
      </c>
      <c r="G1226" s="33">
        <f t="shared" si="39"/>
        <v>557.79996001380744</v>
      </c>
      <c r="H1226" s="7">
        <v>0</v>
      </c>
      <c r="I1226" s="5" t="s">
        <v>14</v>
      </c>
      <c r="J1226" s="5">
        <v>37</v>
      </c>
      <c r="K1226" s="2"/>
      <c r="L1226" s="2"/>
      <c r="M1226" s="1"/>
    </row>
    <row r="1227" spans="1:13" ht="14.4" x14ac:dyDescent="0.3">
      <c r="A1227" s="14">
        <v>44900</v>
      </c>
      <c r="B1227" s="5">
        <v>2</v>
      </c>
      <c r="C1227" s="32">
        <f>VLOOKUP(B1227,'area in m2'!B$2:C$10,2,FALSE)</f>
        <v>250</v>
      </c>
      <c r="D1227" s="5" t="s">
        <v>11</v>
      </c>
      <c r="E1227" s="6">
        <v>535.27399626474198</v>
      </c>
      <c r="F1227" s="33" t="str">
        <f t="shared" si="38"/>
        <v>Over 530</v>
      </c>
      <c r="G1227" s="33">
        <f t="shared" si="39"/>
        <v>562.03769607797915</v>
      </c>
      <c r="H1227" s="7">
        <v>0.02</v>
      </c>
      <c r="I1227" s="5" t="s">
        <v>15</v>
      </c>
      <c r="J1227" s="5">
        <v>20</v>
      </c>
      <c r="K1227" s="2"/>
      <c r="L1227" s="2"/>
      <c r="M1227" s="1"/>
    </row>
    <row r="1228" spans="1:13" ht="14.4" x14ac:dyDescent="0.3">
      <c r="A1228" s="14">
        <v>44907</v>
      </c>
      <c r="B1228" s="5">
        <v>8</v>
      </c>
      <c r="C1228" s="32">
        <f>VLOOKUP(B1228,'area in m2'!B$2:C$10,2,FALSE)</f>
        <v>142</v>
      </c>
      <c r="D1228" s="5" t="s">
        <v>11</v>
      </c>
      <c r="E1228" s="6">
        <v>509.42518692111207</v>
      </c>
      <c r="F1228" s="33" t="str">
        <f t="shared" si="38"/>
        <v>Below 530</v>
      </c>
      <c r="G1228" s="33">
        <f t="shared" si="39"/>
        <v>534.89644626716768</v>
      </c>
      <c r="H1228" s="7">
        <v>0</v>
      </c>
      <c r="I1228" s="5" t="s">
        <v>15</v>
      </c>
      <c r="J1228" s="5">
        <v>31</v>
      </c>
      <c r="K1228" s="2"/>
      <c r="L1228" s="2"/>
      <c r="M1228" s="1"/>
    </row>
    <row r="1229" spans="1:13" ht="14.4" x14ac:dyDescent="0.3">
      <c r="A1229" s="14">
        <v>44828</v>
      </c>
      <c r="B1229" s="5">
        <v>7</v>
      </c>
      <c r="C1229" s="32">
        <f>VLOOKUP(B1229,'area in m2'!B$2:C$10,2,FALSE)</f>
        <v>166</v>
      </c>
      <c r="D1229" s="5" t="s">
        <v>11</v>
      </c>
      <c r="E1229" s="6">
        <v>513.12597194762202</v>
      </c>
      <c r="F1229" s="33" t="str">
        <f t="shared" si="38"/>
        <v>Below 530</v>
      </c>
      <c r="G1229" s="33">
        <f t="shared" si="39"/>
        <v>538.78227054500314</v>
      </c>
      <c r="H1229" s="7">
        <v>0</v>
      </c>
      <c r="I1229" s="5" t="s">
        <v>14</v>
      </c>
      <c r="J1229" s="5">
        <v>41</v>
      </c>
      <c r="K1229" s="2"/>
      <c r="L1229" s="2"/>
      <c r="M1229" s="1"/>
    </row>
    <row r="1230" spans="1:13" ht="14.4" x14ac:dyDescent="0.3">
      <c r="A1230" s="14">
        <v>44908</v>
      </c>
      <c r="B1230" s="5">
        <v>2</v>
      </c>
      <c r="C1230" s="32">
        <f>VLOOKUP(B1230,'area in m2'!B$2:C$10,2,FALSE)</f>
        <v>250</v>
      </c>
      <c r="D1230" s="5" t="s">
        <v>11</v>
      </c>
      <c r="E1230" s="6">
        <v>509.10485266906016</v>
      </c>
      <c r="F1230" s="33" t="str">
        <f t="shared" si="38"/>
        <v>Below 530</v>
      </c>
      <c r="G1230" s="33">
        <f t="shared" si="39"/>
        <v>534.56009530251322</v>
      </c>
      <c r="H1230" s="7">
        <v>0.03</v>
      </c>
      <c r="I1230" s="5" t="s">
        <v>15</v>
      </c>
      <c r="J1230" s="5">
        <v>52</v>
      </c>
      <c r="K1230" s="2"/>
      <c r="L1230" s="2"/>
      <c r="M1230" s="1"/>
    </row>
    <row r="1231" spans="1:13" ht="14.4" x14ac:dyDescent="0.3">
      <c r="A1231" s="14">
        <v>44598</v>
      </c>
      <c r="B1231" s="5">
        <v>2</v>
      </c>
      <c r="C1231" s="32">
        <f>VLOOKUP(B1231,'area in m2'!B$2:C$10,2,FALSE)</f>
        <v>250</v>
      </c>
      <c r="D1231" s="5" t="s">
        <v>11</v>
      </c>
      <c r="E1231" s="6">
        <v>537.05322661933042</v>
      </c>
      <c r="F1231" s="33" t="str">
        <f t="shared" si="38"/>
        <v>Over 530</v>
      </c>
      <c r="G1231" s="33">
        <f t="shared" si="39"/>
        <v>563.90588795029691</v>
      </c>
      <c r="H1231" s="7">
        <v>0.01</v>
      </c>
      <c r="I1231" s="5" t="s">
        <v>14</v>
      </c>
      <c r="J1231" s="5">
        <v>43</v>
      </c>
      <c r="K1231" s="2"/>
      <c r="L1231" s="2"/>
      <c r="M1231" s="1"/>
    </row>
    <row r="1232" spans="1:13" ht="14.4" x14ac:dyDescent="0.3">
      <c r="A1232" s="14">
        <v>44618</v>
      </c>
      <c r="B1232" s="5">
        <v>9</v>
      </c>
      <c r="C1232" s="32">
        <f>VLOOKUP(B1232,'area in m2'!B$2:C$10,2,FALSE)</f>
        <v>140</v>
      </c>
      <c r="D1232" s="5" t="s">
        <v>12</v>
      </c>
      <c r="E1232" s="6">
        <v>536.74031451484825</v>
      </c>
      <c r="F1232" s="33" t="str">
        <f t="shared" si="38"/>
        <v>Over 530</v>
      </c>
      <c r="G1232" s="33">
        <f t="shared" si="39"/>
        <v>563.57733024059064</v>
      </c>
      <c r="H1232" s="7">
        <v>0.01</v>
      </c>
      <c r="I1232" s="5" t="s">
        <v>14</v>
      </c>
      <c r="J1232" s="5">
        <v>46</v>
      </c>
      <c r="K1232" s="2"/>
      <c r="L1232" s="2"/>
      <c r="M1232" s="1"/>
    </row>
    <row r="1233" spans="1:13" ht="14.4" x14ac:dyDescent="0.3">
      <c r="A1233" s="14">
        <v>44790</v>
      </c>
      <c r="B1233" s="5">
        <v>6</v>
      </c>
      <c r="C1233" s="32">
        <f>VLOOKUP(B1233,'area in m2'!B$2:C$10,2,FALSE)</f>
        <v>175</v>
      </c>
      <c r="D1233" s="5" t="s">
        <v>13</v>
      </c>
      <c r="E1233" s="6">
        <v>528.70966268324901</v>
      </c>
      <c r="F1233" s="33" t="str">
        <f t="shared" si="38"/>
        <v>Below 530</v>
      </c>
      <c r="G1233" s="33">
        <f t="shared" si="39"/>
        <v>555.1451458174115</v>
      </c>
      <c r="H1233" s="7">
        <v>0.01</v>
      </c>
      <c r="I1233" s="5" t="s">
        <v>15</v>
      </c>
      <c r="J1233" s="5">
        <v>59</v>
      </c>
      <c r="K1233" s="2"/>
      <c r="L1233" s="2"/>
      <c r="M1233" s="1"/>
    </row>
    <row r="1234" spans="1:13" ht="14.4" x14ac:dyDescent="0.3">
      <c r="A1234" s="14">
        <v>44903</v>
      </c>
      <c r="B1234" s="5">
        <v>1</v>
      </c>
      <c r="C1234" s="32">
        <f>VLOOKUP(B1234,'area in m2'!B$2:C$10,2,FALSE)</f>
        <v>280</v>
      </c>
      <c r="D1234" s="5" t="s">
        <v>11</v>
      </c>
      <c r="E1234" s="6">
        <v>523.4921481589181</v>
      </c>
      <c r="F1234" s="33" t="str">
        <f t="shared" si="38"/>
        <v>Below 530</v>
      </c>
      <c r="G1234" s="33">
        <f t="shared" si="39"/>
        <v>549.66675556686403</v>
      </c>
      <c r="H1234" s="7">
        <v>0.03</v>
      </c>
      <c r="I1234" s="5" t="s">
        <v>14</v>
      </c>
      <c r="J1234" s="5">
        <v>30</v>
      </c>
      <c r="K1234" s="2"/>
      <c r="L1234" s="2"/>
      <c r="M1234" s="1"/>
    </row>
    <row r="1235" spans="1:13" ht="14.4" x14ac:dyDescent="0.3">
      <c r="A1235" s="14">
        <v>44784</v>
      </c>
      <c r="B1235" s="5">
        <v>2</v>
      </c>
      <c r="C1235" s="32">
        <f>VLOOKUP(B1235,'area in m2'!B$2:C$10,2,FALSE)</f>
        <v>250</v>
      </c>
      <c r="D1235" s="5" t="s">
        <v>11</v>
      </c>
      <c r="E1235" s="6">
        <v>510.20517015771657</v>
      </c>
      <c r="F1235" s="33" t="str">
        <f t="shared" si="38"/>
        <v>Below 530</v>
      </c>
      <c r="G1235" s="33">
        <f t="shared" si="39"/>
        <v>535.71542866560242</v>
      </c>
      <c r="H1235" s="7">
        <v>0.01</v>
      </c>
      <c r="I1235" s="5" t="s">
        <v>15</v>
      </c>
      <c r="J1235" s="5">
        <v>44</v>
      </c>
      <c r="K1235" s="2"/>
      <c r="L1235" s="2"/>
      <c r="M1235" s="1"/>
    </row>
    <row r="1236" spans="1:13" ht="14.4" x14ac:dyDescent="0.3">
      <c r="A1236" s="14">
        <v>44796</v>
      </c>
      <c r="B1236" s="5">
        <v>9</v>
      </c>
      <c r="C1236" s="32">
        <f>VLOOKUP(B1236,'area in m2'!B$2:C$10,2,FALSE)</f>
        <v>140</v>
      </c>
      <c r="D1236" s="5" t="s">
        <v>12</v>
      </c>
      <c r="E1236" s="6">
        <v>514.25953859320089</v>
      </c>
      <c r="F1236" s="33" t="str">
        <f t="shared" si="38"/>
        <v>Below 530</v>
      </c>
      <c r="G1236" s="33">
        <f t="shared" si="39"/>
        <v>539.97251552286093</v>
      </c>
      <c r="H1236" s="7">
        <v>0</v>
      </c>
      <c r="I1236" s="5" t="s">
        <v>14</v>
      </c>
      <c r="J1236" s="5">
        <v>49</v>
      </c>
      <c r="K1236" s="2"/>
      <c r="L1236" s="2"/>
      <c r="M1236" s="1"/>
    </row>
    <row r="1237" spans="1:13" ht="14.4" x14ac:dyDescent="0.3">
      <c r="A1237" s="14">
        <v>44752</v>
      </c>
      <c r="B1237" s="5">
        <v>6</v>
      </c>
      <c r="C1237" s="32">
        <f>VLOOKUP(B1237,'area in m2'!B$2:C$10,2,FALSE)</f>
        <v>175</v>
      </c>
      <c r="D1237" s="5" t="s">
        <v>13</v>
      </c>
      <c r="E1237" s="6">
        <v>501.83349962891953</v>
      </c>
      <c r="F1237" s="33" t="str">
        <f t="shared" si="38"/>
        <v>Below 530</v>
      </c>
      <c r="G1237" s="33">
        <f t="shared" si="39"/>
        <v>526.9251746103655</v>
      </c>
      <c r="H1237" s="7">
        <v>0.01</v>
      </c>
      <c r="I1237" s="5" t="s">
        <v>14</v>
      </c>
      <c r="J1237" s="5">
        <v>46</v>
      </c>
      <c r="K1237" s="2"/>
      <c r="L1237" s="2"/>
      <c r="M1237" s="1"/>
    </row>
    <row r="1238" spans="1:13" ht="14.4" x14ac:dyDescent="0.3">
      <c r="A1238" s="14">
        <v>44617</v>
      </c>
      <c r="B1238" s="5">
        <v>3</v>
      </c>
      <c r="C1238" s="32">
        <f>VLOOKUP(B1238,'area in m2'!B$2:C$10,2,FALSE)</f>
        <v>195</v>
      </c>
      <c r="D1238" s="5" t="s">
        <v>11</v>
      </c>
      <c r="E1238" s="6">
        <v>510.91104530667963</v>
      </c>
      <c r="F1238" s="33" t="str">
        <f t="shared" si="38"/>
        <v>Below 530</v>
      </c>
      <c r="G1238" s="33">
        <f t="shared" si="39"/>
        <v>536.45659757201361</v>
      </c>
      <c r="H1238" s="7">
        <v>0.01</v>
      </c>
      <c r="I1238" s="5" t="s">
        <v>14</v>
      </c>
      <c r="J1238" s="5">
        <v>24</v>
      </c>
      <c r="K1238" s="2"/>
      <c r="L1238" s="2"/>
      <c r="M1238" s="1"/>
    </row>
    <row r="1239" spans="1:13" ht="14.4" x14ac:dyDescent="0.3">
      <c r="A1239" s="14">
        <v>44854</v>
      </c>
      <c r="B1239" s="5">
        <v>9</v>
      </c>
      <c r="C1239" s="32">
        <f>VLOOKUP(B1239,'area in m2'!B$2:C$10,2,FALSE)</f>
        <v>140</v>
      </c>
      <c r="D1239" s="5" t="s">
        <v>12</v>
      </c>
      <c r="E1239" s="6">
        <v>540.00632066486924</v>
      </c>
      <c r="F1239" s="33" t="str">
        <f t="shared" si="38"/>
        <v>Over 530</v>
      </c>
      <c r="G1239" s="33">
        <f t="shared" si="39"/>
        <v>567.00663669811274</v>
      </c>
      <c r="H1239" s="7">
        <v>0</v>
      </c>
      <c r="I1239" s="5" t="s">
        <v>14</v>
      </c>
      <c r="J1239" s="5">
        <v>41</v>
      </c>
      <c r="K1239" s="2"/>
      <c r="L1239" s="2"/>
      <c r="M1239" s="1"/>
    </row>
    <row r="1240" spans="1:13" ht="14.4" x14ac:dyDescent="0.3">
      <c r="A1240" s="14">
        <v>44662</v>
      </c>
      <c r="B1240" s="5">
        <v>3</v>
      </c>
      <c r="C1240" s="32">
        <f>VLOOKUP(B1240,'area in m2'!B$2:C$10,2,FALSE)</f>
        <v>195</v>
      </c>
      <c r="D1240" s="5" t="s">
        <v>11</v>
      </c>
      <c r="E1240" s="6">
        <v>549.72659519901936</v>
      </c>
      <c r="F1240" s="33" t="str">
        <f t="shared" si="38"/>
        <v>Over 530</v>
      </c>
      <c r="G1240" s="33">
        <f t="shared" si="39"/>
        <v>577.21292495897035</v>
      </c>
      <c r="H1240" s="7">
        <v>0</v>
      </c>
      <c r="I1240" s="5" t="s">
        <v>15</v>
      </c>
      <c r="J1240" s="5">
        <v>29</v>
      </c>
      <c r="K1240" s="2"/>
      <c r="L1240" s="2"/>
      <c r="M1240" s="1"/>
    </row>
    <row r="1241" spans="1:13" ht="14.4" x14ac:dyDescent="0.3">
      <c r="A1241" s="14">
        <v>44615</v>
      </c>
      <c r="B1241" s="5">
        <v>8</v>
      </c>
      <c r="C1241" s="32">
        <f>VLOOKUP(B1241,'area in m2'!B$2:C$10,2,FALSE)</f>
        <v>142</v>
      </c>
      <c r="D1241" s="5" t="s">
        <v>11</v>
      </c>
      <c r="E1241" s="6">
        <v>518.43419684007495</v>
      </c>
      <c r="F1241" s="33" t="str">
        <f t="shared" si="38"/>
        <v>Below 530</v>
      </c>
      <c r="G1241" s="33">
        <f t="shared" si="39"/>
        <v>544.35590668207874</v>
      </c>
      <c r="H1241" s="7">
        <v>0.02</v>
      </c>
      <c r="I1241" s="5" t="s">
        <v>15</v>
      </c>
      <c r="J1241" s="5">
        <v>46</v>
      </c>
      <c r="K1241" s="2"/>
      <c r="L1241" s="2"/>
      <c r="M1241" s="1"/>
    </row>
    <row r="1242" spans="1:13" ht="14.4" x14ac:dyDescent="0.3">
      <c r="A1242" s="14">
        <v>44824</v>
      </c>
      <c r="B1242" s="5">
        <v>2</v>
      </c>
      <c r="C1242" s="32">
        <f>VLOOKUP(B1242,'area in m2'!B$2:C$10,2,FALSE)</f>
        <v>250</v>
      </c>
      <c r="D1242" s="5" t="s">
        <v>11</v>
      </c>
      <c r="E1242" s="6">
        <v>504.05825170424032</v>
      </c>
      <c r="F1242" s="33" t="str">
        <f t="shared" si="38"/>
        <v>Below 530</v>
      </c>
      <c r="G1242" s="33">
        <f t="shared" si="39"/>
        <v>529.26116428945238</v>
      </c>
      <c r="H1242" s="7">
        <v>0.03</v>
      </c>
      <c r="I1242" s="5" t="s">
        <v>14</v>
      </c>
      <c r="J1242" s="5">
        <v>42</v>
      </c>
      <c r="K1242" s="2"/>
      <c r="L1242" s="2"/>
      <c r="M1242" s="1"/>
    </row>
    <row r="1243" spans="1:13" ht="14.4" x14ac:dyDescent="0.3">
      <c r="A1243" s="14">
        <v>44799</v>
      </c>
      <c r="B1243" s="5">
        <v>4</v>
      </c>
      <c r="C1243" s="32">
        <f>VLOOKUP(B1243,'area in m2'!B$2:C$10,2,FALSE)</f>
        <v>188</v>
      </c>
      <c r="D1243" s="5" t="s">
        <v>11</v>
      </c>
      <c r="E1243" s="6">
        <v>508.91998688003423</v>
      </c>
      <c r="F1243" s="33" t="str">
        <f t="shared" si="38"/>
        <v>Below 530</v>
      </c>
      <c r="G1243" s="33">
        <f t="shared" si="39"/>
        <v>534.36598622403596</v>
      </c>
      <c r="H1243" s="7">
        <v>0.02</v>
      </c>
      <c r="I1243" s="5" t="s">
        <v>14</v>
      </c>
      <c r="J1243" s="5">
        <v>49</v>
      </c>
      <c r="K1243" s="2"/>
      <c r="L1243" s="2"/>
      <c r="M1243" s="1"/>
    </row>
    <row r="1244" spans="1:13" ht="14.4" x14ac:dyDescent="0.3">
      <c r="A1244" s="14">
        <v>44781</v>
      </c>
      <c r="B1244" s="5">
        <v>5</v>
      </c>
      <c r="C1244" s="32">
        <f>VLOOKUP(B1244,'area in m2'!B$2:C$10,2,FALSE)</f>
        <v>200</v>
      </c>
      <c r="D1244" s="5" t="s">
        <v>13</v>
      </c>
      <c r="E1244" s="6">
        <v>540.8625966888776</v>
      </c>
      <c r="F1244" s="33" t="str">
        <f t="shared" si="38"/>
        <v>Over 530</v>
      </c>
      <c r="G1244" s="33">
        <f t="shared" si="39"/>
        <v>567.9057265233215</v>
      </c>
      <c r="H1244" s="7">
        <v>0</v>
      </c>
      <c r="I1244" s="5" t="s">
        <v>14</v>
      </c>
      <c r="J1244" s="5">
        <v>50</v>
      </c>
      <c r="K1244" s="2"/>
      <c r="L1244" s="2"/>
      <c r="M1244" s="1"/>
    </row>
    <row r="1245" spans="1:13" ht="14.4" x14ac:dyDescent="0.3">
      <c r="A1245" s="14">
        <v>44840</v>
      </c>
      <c r="B1245" s="5">
        <v>8</v>
      </c>
      <c r="C1245" s="32">
        <f>VLOOKUP(B1245,'area in m2'!B$2:C$10,2,FALSE)</f>
        <v>142</v>
      </c>
      <c r="D1245" s="5" t="s">
        <v>12</v>
      </c>
      <c r="E1245" s="6">
        <v>537.5434337605584</v>
      </c>
      <c r="F1245" s="33" t="str">
        <f t="shared" si="38"/>
        <v>Over 530</v>
      </c>
      <c r="G1245" s="33">
        <f t="shared" si="39"/>
        <v>564.42060544858634</v>
      </c>
      <c r="H1245" s="7">
        <v>0.03</v>
      </c>
      <c r="I1245" s="5" t="s">
        <v>14</v>
      </c>
      <c r="J1245" s="5">
        <v>41</v>
      </c>
      <c r="K1245" s="2"/>
      <c r="L1245" s="2"/>
      <c r="M1245" s="1"/>
    </row>
    <row r="1246" spans="1:13" ht="14.4" x14ac:dyDescent="0.3">
      <c r="A1246" s="14">
        <v>44864</v>
      </c>
      <c r="B1246" s="5">
        <v>3</v>
      </c>
      <c r="C1246" s="32">
        <f>VLOOKUP(B1246,'area in m2'!B$2:C$10,2,FALSE)</f>
        <v>195</v>
      </c>
      <c r="D1246" s="5" t="s">
        <v>11</v>
      </c>
      <c r="E1246" s="6">
        <v>531.24010086317594</v>
      </c>
      <c r="F1246" s="33" t="str">
        <f t="shared" si="38"/>
        <v>Over 530</v>
      </c>
      <c r="G1246" s="33">
        <f t="shared" si="39"/>
        <v>557.80210590633476</v>
      </c>
      <c r="H1246" s="7">
        <v>0.03</v>
      </c>
      <c r="I1246" s="5" t="s">
        <v>14</v>
      </c>
      <c r="J1246" s="5">
        <v>33</v>
      </c>
      <c r="K1246" s="2"/>
      <c r="L1246" s="2"/>
      <c r="M1246" s="1"/>
    </row>
    <row r="1247" spans="1:13" ht="14.4" x14ac:dyDescent="0.3">
      <c r="A1247" s="14">
        <v>44577</v>
      </c>
      <c r="B1247" s="5">
        <v>5</v>
      </c>
      <c r="C1247" s="32">
        <f>VLOOKUP(B1247,'area in m2'!B$2:C$10,2,FALSE)</f>
        <v>200</v>
      </c>
      <c r="D1247" s="5" t="s">
        <v>13</v>
      </c>
      <c r="E1247" s="6">
        <v>549.46676420352014</v>
      </c>
      <c r="F1247" s="33" t="str">
        <f t="shared" si="38"/>
        <v>Over 530</v>
      </c>
      <c r="G1247" s="33">
        <f t="shared" si="39"/>
        <v>576.9401024136962</v>
      </c>
      <c r="H1247" s="7">
        <v>0.03</v>
      </c>
      <c r="I1247" s="5" t="s">
        <v>14</v>
      </c>
      <c r="J1247" s="5">
        <v>29</v>
      </c>
      <c r="K1247" s="2"/>
      <c r="L1247" s="2"/>
      <c r="M1247" s="1"/>
    </row>
    <row r="1248" spans="1:13" ht="14.4" x14ac:dyDescent="0.3">
      <c r="A1248" s="14">
        <v>44762</v>
      </c>
      <c r="B1248" s="5">
        <v>9</v>
      </c>
      <c r="C1248" s="32">
        <f>VLOOKUP(B1248,'area in m2'!B$2:C$10,2,FALSE)</f>
        <v>140</v>
      </c>
      <c r="D1248" s="5" t="s">
        <v>12</v>
      </c>
      <c r="E1248" s="6">
        <v>549.16772952155952</v>
      </c>
      <c r="F1248" s="33" t="str">
        <f t="shared" si="38"/>
        <v>Over 530</v>
      </c>
      <c r="G1248" s="33">
        <f t="shared" si="39"/>
        <v>576.6261159976375</v>
      </c>
      <c r="H1248" s="7">
        <v>0.01</v>
      </c>
      <c r="I1248" s="5" t="s">
        <v>14</v>
      </c>
      <c r="J1248" s="5">
        <v>46</v>
      </c>
      <c r="K1248" s="2"/>
      <c r="L1248" s="2"/>
      <c r="M1248" s="1"/>
    </row>
    <row r="1249" spans="1:13" ht="14.4" x14ac:dyDescent="0.3">
      <c r="A1249" s="14">
        <v>44907</v>
      </c>
      <c r="B1249" s="5">
        <v>7</v>
      </c>
      <c r="C1249" s="32">
        <f>VLOOKUP(B1249,'area in m2'!B$2:C$10,2,FALSE)</f>
        <v>166</v>
      </c>
      <c r="D1249" s="5" t="s">
        <v>12</v>
      </c>
      <c r="E1249" s="6">
        <v>534.10621860812535</v>
      </c>
      <c r="F1249" s="33" t="str">
        <f t="shared" si="38"/>
        <v>Over 530</v>
      </c>
      <c r="G1249" s="33">
        <f t="shared" si="39"/>
        <v>560.81152953853166</v>
      </c>
      <c r="H1249" s="7">
        <v>0.03</v>
      </c>
      <c r="I1249" s="5" t="s">
        <v>14</v>
      </c>
      <c r="J1249" s="5">
        <v>35</v>
      </c>
      <c r="K1249" s="2"/>
      <c r="L1249" s="2"/>
      <c r="M1249" s="1"/>
    </row>
    <row r="1250" spans="1:13" ht="14.4" x14ac:dyDescent="0.3">
      <c r="A1250" s="14">
        <v>44702</v>
      </c>
      <c r="B1250" s="5">
        <v>6</v>
      </c>
      <c r="C1250" s="32">
        <f>VLOOKUP(B1250,'area in m2'!B$2:C$10,2,FALSE)</f>
        <v>175</v>
      </c>
      <c r="D1250" s="5" t="s">
        <v>13</v>
      </c>
      <c r="E1250" s="6">
        <v>529.09922180496142</v>
      </c>
      <c r="F1250" s="33" t="str">
        <f t="shared" si="38"/>
        <v>Below 530</v>
      </c>
      <c r="G1250" s="33">
        <f t="shared" si="39"/>
        <v>555.55418289520946</v>
      </c>
      <c r="H1250" s="7">
        <v>0.01</v>
      </c>
      <c r="I1250" s="5" t="s">
        <v>14</v>
      </c>
      <c r="J1250" s="5">
        <v>38</v>
      </c>
      <c r="K1250" s="2"/>
      <c r="L1250" s="2"/>
      <c r="M1250" s="1"/>
    </row>
    <row r="1251" spans="1:13" ht="14.4" x14ac:dyDescent="0.3">
      <c r="A1251" s="14">
        <v>44666</v>
      </c>
      <c r="B1251" s="5">
        <v>7</v>
      </c>
      <c r="C1251" s="32">
        <f>VLOOKUP(B1251,'area in m2'!B$2:C$10,2,FALSE)</f>
        <v>166</v>
      </c>
      <c r="D1251" s="5" t="s">
        <v>11</v>
      </c>
      <c r="E1251" s="6">
        <v>515.75124658082404</v>
      </c>
      <c r="F1251" s="33" t="str">
        <f t="shared" si="38"/>
        <v>Below 530</v>
      </c>
      <c r="G1251" s="33">
        <f t="shared" si="39"/>
        <v>541.53880890986522</v>
      </c>
      <c r="H1251" s="7">
        <v>0.01</v>
      </c>
      <c r="I1251" s="5" t="s">
        <v>15</v>
      </c>
      <c r="J1251" s="5">
        <v>46</v>
      </c>
      <c r="K1251" s="2"/>
      <c r="L1251" s="2"/>
      <c r="M1251" s="1"/>
    </row>
    <row r="1252" spans="1:13" ht="14.4" x14ac:dyDescent="0.3">
      <c r="A1252" s="14">
        <v>44636</v>
      </c>
      <c r="B1252" s="5">
        <v>9</v>
      </c>
      <c r="C1252" s="32">
        <f>VLOOKUP(B1252,'area in m2'!B$2:C$10,2,FALSE)</f>
        <v>140</v>
      </c>
      <c r="D1252" s="5" t="s">
        <v>12</v>
      </c>
      <c r="E1252" s="6">
        <v>506.03233767385154</v>
      </c>
      <c r="F1252" s="33" t="str">
        <f t="shared" si="38"/>
        <v>Below 530</v>
      </c>
      <c r="G1252" s="33">
        <f t="shared" si="39"/>
        <v>531.33395455754419</v>
      </c>
      <c r="H1252" s="7">
        <v>0.03</v>
      </c>
      <c r="I1252" s="5" t="s">
        <v>14</v>
      </c>
      <c r="J1252" s="5">
        <v>31</v>
      </c>
      <c r="K1252" s="2"/>
      <c r="L1252" s="2"/>
      <c r="M1252" s="1"/>
    </row>
    <row r="1253" spans="1:13" ht="14.4" x14ac:dyDescent="0.3">
      <c r="A1253" s="14">
        <v>44599</v>
      </c>
      <c r="B1253" s="5">
        <v>6</v>
      </c>
      <c r="C1253" s="32">
        <f>VLOOKUP(B1253,'area in m2'!B$2:C$10,2,FALSE)</f>
        <v>175</v>
      </c>
      <c r="D1253" s="5" t="s">
        <v>13</v>
      </c>
      <c r="E1253" s="6">
        <v>528.01642141646698</v>
      </c>
      <c r="F1253" s="33" t="str">
        <f t="shared" si="38"/>
        <v>Below 530</v>
      </c>
      <c r="G1253" s="33">
        <f t="shared" si="39"/>
        <v>554.41724248729031</v>
      </c>
      <c r="H1253" s="7">
        <v>0.02</v>
      </c>
      <c r="I1253" s="5" t="s">
        <v>15</v>
      </c>
      <c r="J1253" s="5">
        <v>17</v>
      </c>
      <c r="K1253" s="2"/>
      <c r="L1253" s="2"/>
      <c r="M1253" s="1"/>
    </row>
    <row r="1254" spans="1:13" ht="14.4" x14ac:dyDescent="0.3">
      <c r="A1254" s="14">
        <v>44587</v>
      </c>
      <c r="B1254" s="5">
        <v>2</v>
      </c>
      <c r="C1254" s="32">
        <f>VLOOKUP(B1254,'area in m2'!B$2:C$10,2,FALSE)</f>
        <v>250</v>
      </c>
      <c r="D1254" s="5" t="s">
        <v>11</v>
      </c>
      <c r="E1254" s="6">
        <v>519.70741292981165</v>
      </c>
      <c r="F1254" s="33" t="str">
        <f t="shared" si="38"/>
        <v>Below 530</v>
      </c>
      <c r="G1254" s="33">
        <f t="shared" si="39"/>
        <v>545.6927835763023</v>
      </c>
      <c r="H1254" s="7">
        <v>0</v>
      </c>
      <c r="I1254" s="5" t="s">
        <v>14</v>
      </c>
      <c r="J1254" s="5">
        <v>33</v>
      </c>
      <c r="K1254" s="2"/>
      <c r="L1254" s="2"/>
      <c r="M1254" s="1"/>
    </row>
    <row r="1255" spans="1:13" ht="14.4" x14ac:dyDescent="0.3">
      <c r="A1255" s="14">
        <v>44639</v>
      </c>
      <c r="B1255" s="5">
        <v>6</v>
      </c>
      <c r="C1255" s="32">
        <f>VLOOKUP(B1255,'area in m2'!B$2:C$10,2,FALSE)</f>
        <v>175</v>
      </c>
      <c r="D1255" s="5" t="s">
        <v>13</v>
      </c>
      <c r="E1255" s="6">
        <v>514.74726031309456</v>
      </c>
      <c r="F1255" s="33" t="str">
        <f t="shared" si="38"/>
        <v>Below 530</v>
      </c>
      <c r="G1255" s="33">
        <f t="shared" si="39"/>
        <v>540.48462332874931</v>
      </c>
      <c r="H1255" s="7">
        <v>0.03</v>
      </c>
      <c r="I1255" s="5" t="s">
        <v>15</v>
      </c>
      <c r="J1255" s="5">
        <v>32</v>
      </c>
      <c r="K1255" s="2"/>
      <c r="L1255" s="2"/>
      <c r="M1255" s="1"/>
    </row>
    <row r="1256" spans="1:13" ht="14.4" x14ac:dyDescent="0.3">
      <c r="A1256" s="14">
        <v>44921</v>
      </c>
      <c r="B1256" s="5">
        <v>3</v>
      </c>
      <c r="C1256" s="32">
        <f>VLOOKUP(B1256,'area in m2'!B$2:C$10,2,FALSE)</f>
        <v>195</v>
      </c>
      <c r="D1256" s="5" t="s">
        <v>11</v>
      </c>
      <c r="E1256" s="6">
        <v>509.48508708085137</v>
      </c>
      <c r="F1256" s="33" t="str">
        <f t="shared" si="38"/>
        <v>Below 530</v>
      </c>
      <c r="G1256" s="33">
        <f t="shared" si="39"/>
        <v>534.95934143489399</v>
      </c>
      <c r="H1256" s="7">
        <v>0.02</v>
      </c>
      <c r="I1256" s="5" t="s">
        <v>14</v>
      </c>
      <c r="J1256" s="5">
        <v>41</v>
      </c>
      <c r="K1256" s="2"/>
      <c r="L1256" s="2"/>
      <c r="M1256" s="1"/>
    </row>
    <row r="1257" spans="1:13" ht="14.4" x14ac:dyDescent="0.3">
      <c r="A1257" s="14">
        <v>44823</v>
      </c>
      <c r="B1257" s="5">
        <v>5</v>
      </c>
      <c r="C1257" s="32">
        <f>VLOOKUP(B1257,'area in m2'!B$2:C$10,2,FALSE)</f>
        <v>200</v>
      </c>
      <c r="D1257" s="5" t="s">
        <v>13</v>
      </c>
      <c r="E1257" s="6">
        <v>513.67292486695806</v>
      </c>
      <c r="F1257" s="33" t="str">
        <f t="shared" si="38"/>
        <v>Below 530</v>
      </c>
      <c r="G1257" s="33">
        <f t="shared" si="39"/>
        <v>539.35657111030594</v>
      </c>
      <c r="H1257" s="7">
        <v>0</v>
      </c>
      <c r="I1257" s="5" t="s">
        <v>15</v>
      </c>
      <c r="J1257" s="5">
        <v>32</v>
      </c>
      <c r="K1257" s="2"/>
      <c r="L1257" s="2"/>
      <c r="M1257" s="1"/>
    </row>
    <row r="1258" spans="1:13" ht="14.4" x14ac:dyDescent="0.3">
      <c r="A1258" s="14">
        <v>44867</v>
      </c>
      <c r="B1258" s="5">
        <v>3</v>
      </c>
      <c r="C1258" s="32">
        <f>VLOOKUP(B1258,'area in m2'!B$2:C$10,2,FALSE)</f>
        <v>195</v>
      </c>
      <c r="D1258" s="5" t="s">
        <v>11</v>
      </c>
      <c r="E1258" s="6">
        <v>524.26418556062617</v>
      </c>
      <c r="F1258" s="33" t="str">
        <f t="shared" si="38"/>
        <v>Below 530</v>
      </c>
      <c r="G1258" s="33">
        <f t="shared" si="39"/>
        <v>550.47739483865746</v>
      </c>
      <c r="H1258" s="7">
        <v>0.01</v>
      </c>
      <c r="I1258" s="5" t="s">
        <v>15</v>
      </c>
      <c r="J1258" s="5">
        <v>41</v>
      </c>
      <c r="K1258" s="2"/>
      <c r="L1258" s="2"/>
      <c r="M1258" s="1"/>
    </row>
    <row r="1259" spans="1:13" ht="14.4" x14ac:dyDescent="0.3">
      <c r="A1259" s="14">
        <v>44611</v>
      </c>
      <c r="B1259" s="5">
        <v>8</v>
      </c>
      <c r="C1259" s="32">
        <f>VLOOKUP(B1259,'area in m2'!B$2:C$10,2,FALSE)</f>
        <v>142</v>
      </c>
      <c r="D1259" s="5" t="s">
        <v>12</v>
      </c>
      <c r="E1259" s="6">
        <v>542.51900730538364</v>
      </c>
      <c r="F1259" s="33" t="str">
        <f t="shared" si="38"/>
        <v>Over 530</v>
      </c>
      <c r="G1259" s="33">
        <f t="shared" si="39"/>
        <v>569.64495767065284</v>
      </c>
      <c r="H1259" s="7">
        <v>0</v>
      </c>
      <c r="I1259" s="5" t="s">
        <v>15</v>
      </c>
      <c r="J1259" s="5">
        <v>17</v>
      </c>
      <c r="K1259" s="2"/>
      <c r="L1259" s="2"/>
      <c r="M1259" s="1"/>
    </row>
    <row r="1260" spans="1:13" ht="14.4" x14ac:dyDescent="0.3">
      <c r="A1260" s="14">
        <v>44656</v>
      </c>
      <c r="B1260" s="5">
        <v>2</v>
      </c>
      <c r="C1260" s="32">
        <f>VLOOKUP(B1260,'area in m2'!B$2:C$10,2,FALSE)</f>
        <v>250</v>
      </c>
      <c r="D1260" s="5" t="s">
        <v>11</v>
      </c>
      <c r="E1260" s="6">
        <v>521.01236693028841</v>
      </c>
      <c r="F1260" s="33" t="str">
        <f t="shared" si="38"/>
        <v>Below 530</v>
      </c>
      <c r="G1260" s="33">
        <f t="shared" si="39"/>
        <v>547.06298527680281</v>
      </c>
      <c r="H1260" s="7">
        <v>0.02</v>
      </c>
      <c r="I1260" s="5" t="s">
        <v>14</v>
      </c>
      <c r="J1260" s="5">
        <v>26</v>
      </c>
      <c r="K1260" s="2"/>
      <c r="L1260" s="2"/>
      <c r="M1260" s="1"/>
    </row>
    <row r="1261" spans="1:13" ht="14.4" x14ac:dyDescent="0.3">
      <c r="A1261" s="14">
        <v>44872</v>
      </c>
      <c r="B1261" s="5">
        <v>2</v>
      </c>
      <c r="C1261" s="32">
        <f>VLOOKUP(B1261,'area in m2'!B$2:C$10,2,FALSE)</f>
        <v>250</v>
      </c>
      <c r="D1261" s="5" t="s">
        <v>11</v>
      </c>
      <c r="E1261" s="6">
        <v>506.05490097335678</v>
      </c>
      <c r="F1261" s="33" t="str">
        <f t="shared" si="38"/>
        <v>Below 530</v>
      </c>
      <c r="G1261" s="33">
        <f t="shared" si="39"/>
        <v>531.3576460220246</v>
      </c>
      <c r="H1261" s="7">
        <v>0.01</v>
      </c>
      <c r="I1261" s="5" t="s">
        <v>15</v>
      </c>
      <c r="J1261" s="5">
        <v>49</v>
      </c>
      <c r="K1261" s="2"/>
      <c r="L1261" s="2"/>
      <c r="M1261" s="1"/>
    </row>
    <row r="1262" spans="1:13" ht="14.4" x14ac:dyDescent="0.3">
      <c r="A1262" s="14">
        <v>44896</v>
      </c>
      <c r="B1262" s="5">
        <v>6</v>
      </c>
      <c r="C1262" s="32">
        <f>VLOOKUP(B1262,'area in m2'!B$2:C$10,2,FALSE)</f>
        <v>175</v>
      </c>
      <c r="D1262" s="5" t="s">
        <v>13</v>
      </c>
      <c r="E1262" s="6">
        <v>532.25722843492622</v>
      </c>
      <c r="F1262" s="33" t="str">
        <f t="shared" si="38"/>
        <v>Over 530</v>
      </c>
      <c r="G1262" s="33">
        <f t="shared" si="39"/>
        <v>558.87008985667251</v>
      </c>
      <c r="H1262" s="7">
        <v>0.03</v>
      </c>
      <c r="I1262" s="5" t="s">
        <v>14</v>
      </c>
      <c r="J1262" s="5">
        <v>40</v>
      </c>
      <c r="K1262" s="2"/>
      <c r="L1262" s="2"/>
      <c r="M1262" s="1"/>
    </row>
    <row r="1263" spans="1:13" ht="14.4" x14ac:dyDescent="0.3">
      <c r="A1263" s="14">
        <v>44912</v>
      </c>
      <c r="B1263" s="5">
        <v>5</v>
      </c>
      <c r="C1263" s="32">
        <f>VLOOKUP(B1263,'area in m2'!B$2:C$10,2,FALSE)</f>
        <v>200</v>
      </c>
      <c r="D1263" s="5" t="s">
        <v>13</v>
      </c>
      <c r="E1263" s="6">
        <v>524.22956107975278</v>
      </c>
      <c r="F1263" s="33" t="str">
        <f t="shared" si="38"/>
        <v>Below 530</v>
      </c>
      <c r="G1263" s="33">
        <f t="shared" si="39"/>
        <v>550.44103913374045</v>
      </c>
      <c r="H1263" s="7">
        <v>0.02</v>
      </c>
      <c r="I1263" s="5" t="s">
        <v>14</v>
      </c>
      <c r="J1263" s="5">
        <v>31</v>
      </c>
      <c r="K1263" s="2"/>
      <c r="L1263" s="2"/>
      <c r="M1263" s="1"/>
    </row>
    <row r="1264" spans="1:13" ht="14.4" x14ac:dyDescent="0.3">
      <c r="A1264" s="14">
        <v>44649</v>
      </c>
      <c r="B1264" s="5">
        <v>7</v>
      </c>
      <c r="C1264" s="32">
        <f>VLOOKUP(B1264,'area in m2'!B$2:C$10,2,FALSE)</f>
        <v>166</v>
      </c>
      <c r="D1264" s="5" t="s">
        <v>11</v>
      </c>
      <c r="E1264" s="6">
        <v>524.32761470170044</v>
      </c>
      <c r="F1264" s="33" t="str">
        <f t="shared" si="38"/>
        <v>Below 530</v>
      </c>
      <c r="G1264" s="33">
        <f t="shared" si="39"/>
        <v>550.54399543678551</v>
      </c>
      <c r="H1264" s="7">
        <v>0.01</v>
      </c>
      <c r="I1264" s="5" t="s">
        <v>15</v>
      </c>
      <c r="J1264" s="5">
        <v>34</v>
      </c>
      <c r="K1264" s="2"/>
      <c r="L1264" s="2"/>
      <c r="M1264" s="1"/>
    </row>
    <row r="1265" spans="1:13" ht="14.4" x14ac:dyDescent="0.3">
      <c r="A1265" s="14">
        <v>44564</v>
      </c>
      <c r="B1265" s="5">
        <v>9</v>
      </c>
      <c r="C1265" s="32">
        <f>VLOOKUP(B1265,'area in m2'!B$2:C$10,2,FALSE)</f>
        <v>140</v>
      </c>
      <c r="D1265" s="5" t="s">
        <v>12</v>
      </c>
      <c r="E1265" s="6">
        <v>544.5237347404036</v>
      </c>
      <c r="F1265" s="33" t="str">
        <f t="shared" si="38"/>
        <v>Over 530</v>
      </c>
      <c r="G1265" s="33">
        <f t="shared" si="39"/>
        <v>571.74992147742375</v>
      </c>
      <c r="H1265" s="7">
        <v>0</v>
      </c>
      <c r="I1265" s="5" t="s">
        <v>15</v>
      </c>
      <c r="J1265" s="5">
        <v>46</v>
      </c>
      <c r="K1265" s="2"/>
      <c r="L1265" s="2"/>
      <c r="M1265" s="1"/>
    </row>
    <row r="1266" spans="1:13" ht="14.4" x14ac:dyDescent="0.3">
      <c r="A1266" s="14">
        <v>44887</v>
      </c>
      <c r="B1266" s="5">
        <v>7</v>
      </c>
      <c r="C1266" s="32">
        <f>VLOOKUP(B1266,'area in m2'!B$2:C$10,2,FALSE)</f>
        <v>166</v>
      </c>
      <c r="D1266" s="5" t="s">
        <v>12</v>
      </c>
      <c r="E1266" s="6">
        <v>550.28047615062314</v>
      </c>
      <c r="F1266" s="33" t="str">
        <f t="shared" si="38"/>
        <v>Over 530</v>
      </c>
      <c r="G1266" s="33">
        <f t="shared" si="39"/>
        <v>577.79449995815435</v>
      </c>
      <c r="H1266" s="7">
        <v>0.03</v>
      </c>
      <c r="I1266" s="5" t="s">
        <v>14</v>
      </c>
      <c r="J1266" s="5">
        <v>43</v>
      </c>
      <c r="K1266" s="2"/>
      <c r="L1266" s="2"/>
      <c r="M1266" s="1"/>
    </row>
    <row r="1267" spans="1:13" ht="14.4" x14ac:dyDescent="0.3">
      <c r="A1267" s="14">
        <v>44840</v>
      </c>
      <c r="B1267" s="5">
        <v>5</v>
      </c>
      <c r="C1267" s="32">
        <f>VLOOKUP(B1267,'area in m2'!B$2:C$10,2,FALSE)</f>
        <v>200</v>
      </c>
      <c r="D1267" s="5" t="s">
        <v>13</v>
      </c>
      <c r="E1267" s="6">
        <v>538.00076023530255</v>
      </c>
      <c r="F1267" s="33" t="str">
        <f t="shared" si="38"/>
        <v>Over 530</v>
      </c>
      <c r="G1267" s="33">
        <f t="shared" si="39"/>
        <v>564.90079824706766</v>
      </c>
      <c r="H1267" s="7">
        <v>0</v>
      </c>
      <c r="I1267" s="5" t="s">
        <v>14</v>
      </c>
      <c r="J1267" s="5">
        <v>31</v>
      </c>
      <c r="K1267" s="2"/>
      <c r="L1267" s="2"/>
      <c r="M1267" s="1"/>
    </row>
    <row r="1268" spans="1:13" ht="14.4" x14ac:dyDescent="0.3">
      <c r="A1268" s="14">
        <v>44814</v>
      </c>
      <c r="B1268" s="5">
        <v>7</v>
      </c>
      <c r="C1268" s="32">
        <f>VLOOKUP(B1268,'area in m2'!B$2:C$10,2,FALSE)</f>
        <v>166</v>
      </c>
      <c r="D1268" s="5" t="s">
        <v>12</v>
      </c>
      <c r="E1268" s="6">
        <v>539.46820503043728</v>
      </c>
      <c r="F1268" s="33" t="str">
        <f t="shared" si="38"/>
        <v>Over 530</v>
      </c>
      <c r="G1268" s="33">
        <f t="shared" si="39"/>
        <v>566.44161528195912</v>
      </c>
      <c r="H1268" s="7">
        <v>0.03</v>
      </c>
      <c r="I1268" s="5" t="s">
        <v>14</v>
      </c>
      <c r="J1268" s="5">
        <v>47</v>
      </c>
      <c r="K1268" s="2"/>
      <c r="L1268" s="2"/>
      <c r="M1268" s="1"/>
    </row>
    <row r="1269" spans="1:13" ht="14.4" x14ac:dyDescent="0.3">
      <c r="A1269" s="14">
        <v>44612</v>
      </c>
      <c r="B1269" s="5">
        <v>3</v>
      </c>
      <c r="C1269" s="32">
        <f>VLOOKUP(B1269,'area in m2'!B$2:C$10,2,FALSE)</f>
        <v>195</v>
      </c>
      <c r="D1269" s="5" t="s">
        <v>11</v>
      </c>
      <c r="E1269" s="6">
        <v>542.40699319184569</v>
      </c>
      <c r="F1269" s="33" t="str">
        <f t="shared" si="38"/>
        <v>Over 530</v>
      </c>
      <c r="G1269" s="33">
        <f t="shared" si="39"/>
        <v>569.52734285143799</v>
      </c>
      <c r="H1269" s="7">
        <v>0.03</v>
      </c>
      <c r="I1269" s="5" t="s">
        <v>15</v>
      </c>
      <c r="J1269" s="5">
        <v>42</v>
      </c>
      <c r="K1269" s="2"/>
      <c r="L1269" s="2"/>
      <c r="M1269" s="1"/>
    </row>
    <row r="1270" spans="1:13" ht="14.4" x14ac:dyDescent="0.3">
      <c r="A1270" s="14">
        <v>44646</v>
      </c>
      <c r="B1270" s="5">
        <v>2</v>
      </c>
      <c r="C1270" s="32">
        <f>VLOOKUP(B1270,'area in m2'!B$2:C$10,2,FALSE)</f>
        <v>250</v>
      </c>
      <c r="D1270" s="5" t="s">
        <v>11</v>
      </c>
      <c r="E1270" s="6">
        <v>503.29400566694949</v>
      </c>
      <c r="F1270" s="33" t="str">
        <f t="shared" si="38"/>
        <v>Below 530</v>
      </c>
      <c r="G1270" s="33">
        <f t="shared" si="39"/>
        <v>528.45870595029703</v>
      </c>
      <c r="H1270" s="7">
        <v>0.01</v>
      </c>
      <c r="I1270" s="5" t="s">
        <v>14</v>
      </c>
      <c r="J1270" s="5">
        <v>45</v>
      </c>
      <c r="K1270" s="2"/>
      <c r="L1270" s="2"/>
      <c r="M1270" s="1"/>
    </row>
    <row r="1271" spans="1:13" ht="14.4" x14ac:dyDescent="0.3">
      <c r="A1271" s="14">
        <v>44707</v>
      </c>
      <c r="B1271" s="5">
        <v>6</v>
      </c>
      <c r="C1271" s="32">
        <f>VLOOKUP(B1271,'area in m2'!B$2:C$10,2,FALSE)</f>
        <v>175</v>
      </c>
      <c r="D1271" s="5" t="s">
        <v>13</v>
      </c>
      <c r="E1271" s="6">
        <v>510.12433172675537</v>
      </c>
      <c r="F1271" s="33" t="str">
        <f t="shared" si="38"/>
        <v>Below 530</v>
      </c>
      <c r="G1271" s="33">
        <f t="shared" si="39"/>
        <v>535.63054831309319</v>
      </c>
      <c r="H1271" s="7">
        <v>0</v>
      </c>
      <c r="I1271" s="5" t="s">
        <v>14</v>
      </c>
      <c r="J1271" s="5">
        <v>22</v>
      </c>
      <c r="K1271" s="2"/>
      <c r="L1271" s="2"/>
      <c r="M1271" s="1"/>
    </row>
    <row r="1272" spans="1:13" ht="14.4" x14ac:dyDescent="0.3">
      <c r="A1272" s="14">
        <v>44742</v>
      </c>
      <c r="B1272" s="5">
        <v>3</v>
      </c>
      <c r="C1272" s="32">
        <f>VLOOKUP(B1272,'area in m2'!B$2:C$10,2,FALSE)</f>
        <v>195</v>
      </c>
      <c r="D1272" s="5" t="s">
        <v>11</v>
      </c>
      <c r="E1272" s="6">
        <v>527.09025441455196</v>
      </c>
      <c r="F1272" s="33" t="str">
        <f t="shared" si="38"/>
        <v>Below 530</v>
      </c>
      <c r="G1272" s="33">
        <f t="shared" si="39"/>
        <v>553.44476713527956</v>
      </c>
      <c r="H1272" s="7">
        <v>0</v>
      </c>
      <c r="I1272" s="5" t="s">
        <v>14</v>
      </c>
      <c r="J1272" s="5">
        <v>25</v>
      </c>
      <c r="K1272" s="2"/>
      <c r="L1272" s="2"/>
      <c r="M1272" s="1"/>
    </row>
    <row r="1273" spans="1:13" ht="14.4" x14ac:dyDescent="0.3">
      <c r="A1273" s="14">
        <v>44741</v>
      </c>
      <c r="B1273" s="5">
        <v>9</v>
      </c>
      <c r="C1273" s="32">
        <f>VLOOKUP(B1273,'area in m2'!B$2:C$10,2,FALSE)</f>
        <v>140</v>
      </c>
      <c r="D1273" s="5" t="s">
        <v>12</v>
      </c>
      <c r="E1273" s="6">
        <v>510.49213253917696</v>
      </c>
      <c r="F1273" s="33" t="str">
        <f t="shared" si="38"/>
        <v>Below 530</v>
      </c>
      <c r="G1273" s="33">
        <f t="shared" si="39"/>
        <v>536.01673916613584</v>
      </c>
      <c r="H1273" s="7">
        <v>0.01</v>
      </c>
      <c r="I1273" s="5" t="s">
        <v>14</v>
      </c>
      <c r="J1273" s="5">
        <v>24</v>
      </c>
      <c r="K1273" s="2"/>
      <c r="L1273" s="2"/>
      <c r="M1273" s="1"/>
    </row>
    <row r="1274" spans="1:13" ht="14.4" x14ac:dyDescent="0.3">
      <c r="A1274" s="14">
        <v>44837</v>
      </c>
      <c r="B1274" s="5">
        <v>2</v>
      </c>
      <c r="C1274" s="32">
        <f>VLOOKUP(B1274,'area in m2'!B$2:C$10,2,FALSE)</f>
        <v>250</v>
      </c>
      <c r="D1274" s="5" t="s">
        <v>11</v>
      </c>
      <c r="E1274" s="6">
        <v>530.8265901176519</v>
      </c>
      <c r="F1274" s="33" t="str">
        <f t="shared" si="38"/>
        <v>Over 530</v>
      </c>
      <c r="G1274" s="33">
        <f t="shared" si="39"/>
        <v>557.36791962353448</v>
      </c>
      <c r="H1274" s="7">
        <v>0.01</v>
      </c>
      <c r="I1274" s="5" t="s">
        <v>14</v>
      </c>
      <c r="J1274" s="5">
        <v>27</v>
      </c>
      <c r="K1274" s="2"/>
      <c r="L1274" s="2"/>
      <c r="M1274" s="1"/>
    </row>
    <row r="1275" spans="1:13" ht="14.4" x14ac:dyDescent="0.3">
      <c r="A1275" s="14">
        <v>44717</v>
      </c>
      <c r="B1275" s="5">
        <v>3</v>
      </c>
      <c r="C1275" s="32">
        <f>VLOOKUP(B1275,'area in m2'!B$2:C$10,2,FALSE)</f>
        <v>195</v>
      </c>
      <c r="D1275" s="5" t="s">
        <v>11</v>
      </c>
      <c r="E1275" s="6">
        <v>549.61611867993633</v>
      </c>
      <c r="F1275" s="33" t="str">
        <f t="shared" si="38"/>
        <v>Over 530</v>
      </c>
      <c r="G1275" s="33">
        <f t="shared" si="39"/>
        <v>577.0969246139332</v>
      </c>
      <c r="H1275" s="7">
        <v>0.01</v>
      </c>
      <c r="I1275" s="5" t="s">
        <v>14</v>
      </c>
      <c r="J1275" s="5">
        <v>53</v>
      </c>
      <c r="K1275" s="2"/>
      <c r="L1275" s="2"/>
      <c r="M1275" s="1"/>
    </row>
    <row r="1276" spans="1:13" ht="14.4" x14ac:dyDescent="0.3">
      <c r="A1276" s="14">
        <v>44817</v>
      </c>
      <c r="B1276" s="5">
        <v>6</v>
      </c>
      <c r="C1276" s="32">
        <f>VLOOKUP(B1276,'area in m2'!B$2:C$10,2,FALSE)</f>
        <v>175</v>
      </c>
      <c r="D1276" s="5" t="s">
        <v>13</v>
      </c>
      <c r="E1276" s="6">
        <v>509.25721866344338</v>
      </c>
      <c r="F1276" s="33" t="str">
        <f t="shared" si="38"/>
        <v>Below 530</v>
      </c>
      <c r="G1276" s="33">
        <f t="shared" si="39"/>
        <v>534.72007959661562</v>
      </c>
      <c r="H1276" s="7">
        <v>0.01</v>
      </c>
      <c r="I1276" s="5" t="s">
        <v>14</v>
      </c>
      <c r="J1276" s="5">
        <v>46</v>
      </c>
      <c r="K1276" s="2"/>
      <c r="L1276" s="2"/>
      <c r="M1276" s="1"/>
    </row>
    <row r="1277" spans="1:13" ht="14.4" x14ac:dyDescent="0.3">
      <c r="A1277" s="14">
        <v>44632</v>
      </c>
      <c r="B1277" s="5">
        <v>1</v>
      </c>
      <c r="C1277" s="32">
        <f>VLOOKUP(B1277,'area in m2'!B$2:C$10,2,FALSE)</f>
        <v>280</v>
      </c>
      <c r="D1277" s="5" t="s">
        <v>11</v>
      </c>
      <c r="E1277" s="6">
        <v>521.63003904019752</v>
      </c>
      <c r="F1277" s="33" t="str">
        <f t="shared" si="38"/>
        <v>Below 530</v>
      </c>
      <c r="G1277" s="33">
        <f t="shared" si="39"/>
        <v>547.71154099220746</v>
      </c>
      <c r="H1277" s="7">
        <v>0.03</v>
      </c>
      <c r="I1277" s="5" t="s">
        <v>15</v>
      </c>
      <c r="J1277" s="5">
        <v>60</v>
      </c>
      <c r="K1277" s="2"/>
      <c r="L1277" s="2"/>
      <c r="M1277" s="1"/>
    </row>
    <row r="1278" spans="1:13" ht="14.4" x14ac:dyDescent="0.3">
      <c r="A1278" s="14">
        <v>44682</v>
      </c>
      <c r="B1278" s="5">
        <v>5</v>
      </c>
      <c r="C1278" s="32">
        <f>VLOOKUP(B1278,'area in m2'!B$2:C$10,2,FALSE)</f>
        <v>200</v>
      </c>
      <c r="D1278" s="5" t="s">
        <v>13</v>
      </c>
      <c r="E1278" s="6">
        <v>539.83321969413919</v>
      </c>
      <c r="F1278" s="33" t="str">
        <f t="shared" si="38"/>
        <v>Over 530</v>
      </c>
      <c r="G1278" s="33">
        <f t="shared" si="39"/>
        <v>566.82488067884617</v>
      </c>
      <c r="H1278" s="7">
        <v>0.02</v>
      </c>
      <c r="I1278" s="5" t="s">
        <v>14</v>
      </c>
      <c r="J1278" s="5">
        <v>43</v>
      </c>
      <c r="K1278" s="2"/>
      <c r="L1278" s="2"/>
      <c r="M1278" s="1"/>
    </row>
    <row r="1279" spans="1:13" ht="14.4" x14ac:dyDescent="0.3">
      <c r="A1279" s="14">
        <v>44850</v>
      </c>
      <c r="B1279" s="5">
        <v>3</v>
      </c>
      <c r="C1279" s="32">
        <f>VLOOKUP(B1279,'area in m2'!B$2:C$10,2,FALSE)</f>
        <v>195</v>
      </c>
      <c r="D1279" s="5" t="s">
        <v>11</v>
      </c>
      <c r="E1279" s="6">
        <v>502.26728441236901</v>
      </c>
      <c r="F1279" s="33" t="str">
        <f t="shared" si="38"/>
        <v>Below 530</v>
      </c>
      <c r="G1279" s="33">
        <f t="shared" si="39"/>
        <v>527.38064863298746</v>
      </c>
      <c r="H1279" s="7">
        <v>0</v>
      </c>
      <c r="I1279" s="5" t="s">
        <v>15</v>
      </c>
      <c r="J1279" s="5">
        <v>59</v>
      </c>
      <c r="K1279" s="2"/>
      <c r="L1279" s="2"/>
      <c r="M1279" s="1"/>
    </row>
    <row r="1280" spans="1:13" ht="14.4" x14ac:dyDescent="0.3">
      <c r="A1280" s="14">
        <v>44841</v>
      </c>
      <c r="B1280" s="5">
        <v>4</v>
      </c>
      <c r="C1280" s="32">
        <f>VLOOKUP(B1280,'area in m2'!B$2:C$10,2,FALSE)</f>
        <v>188</v>
      </c>
      <c r="D1280" s="5" t="s">
        <v>11</v>
      </c>
      <c r="E1280" s="6">
        <v>545.95557049624222</v>
      </c>
      <c r="F1280" s="33" t="str">
        <f t="shared" si="38"/>
        <v>Over 530</v>
      </c>
      <c r="G1280" s="33">
        <f t="shared" si="39"/>
        <v>573.25334902105431</v>
      </c>
      <c r="H1280" s="7">
        <v>0.02</v>
      </c>
      <c r="I1280" s="5" t="s">
        <v>14</v>
      </c>
      <c r="J1280" s="5">
        <v>41</v>
      </c>
      <c r="K1280" s="2"/>
      <c r="L1280" s="2"/>
      <c r="M1280" s="1"/>
    </row>
    <row r="1281" spans="1:13" ht="14.4" x14ac:dyDescent="0.3">
      <c r="A1281" s="14">
        <v>44681</v>
      </c>
      <c r="B1281" s="5">
        <v>4</v>
      </c>
      <c r="C1281" s="32">
        <f>VLOOKUP(B1281,'area in m2'!B$2:C$10,2,FALSE)</f>
        <v>188</v>
      </c>
      <c r="D1281" s="5" t="s">
        <v>11</v>
      </c>
      <c r="E1281" s="6">
        <v>523.99069128509927</v>
      </c>
      <c r="F1281" s="33" t="str">
        <f t="shared" si="38"/>
        <v>Below 530</v>
      </c>
      <c r="G1281" s="33">
        <f t="shared" si="39"/>
        <v>550.19022584935431</v>
      </c>
      <c r="H1281" s="7">
        <v>0.02</v>
      </c>
      <c r="I1281" s="5" t="s">
        <v>15</v>
      </c>
      <c r="J1281" s="5">
        <v>55</v>
      </c>
      <c r="K1281" s="2"/>
      <c r="L1281" s="2"/>
      <c r="M1281" s="1"/>
    </row>
    <row r="1282" spans="1:13" ht="14.4" x14ac:dyDescent="0.3">
      <c r="A1282" s="14">
        <v>44662</v>
      </c>
      <c r="B1282" s="5">
        <v>1</v>
      </c>
      <c r="C1282" s="32">
        <f>VLOOKUP(B1282,'area in m2'!B$2:C$10,2,FALSE)</f>
        <v>280</v>
      </c>
      <c r="D1282" s="5" t="s">
        <v>11</v>
      </c>
      <c r="E1282" s="6">
        <v>545.67079274231583</v>
      </c>
      <c r="F1282" s="33" t="str">
        <f t="shared" si="38"/>
        <v>Over 530</v>
      </c>
      <c r="G1282" s="33">
        <f t="shared" si="39"/>
        <v>572.95433237943166</v>
      </c>
      <c r="H1282" s="7">
        <v>0.03</v>
      </c>
      <c r="I1282" s="5" t="s">
        <v>14</v>
      </c>
      <c r="J1282" s="5">
        <v>24</v>
      </c>
      <c r="K1282" s="2"/>
      <c r="L1282" s="2"/>
      <c r="M1282" s="1"/>
    </row>
    <row r="1283" spans="1:13" ht="14.4" x14ac:dyDescent="0.3">
      <c r="A1283" s="14">
        <v>44903</v>
      </c>
      <c r="B1283" s="5">
        <v>2</v>
      </c>
      <c r="C1283" s="32">
        <f>VLOOKUP(B1283,'area in m2'!B$2:C$10,2,FALSE)</f>
        <v>250</v>
      </c>
      <c r="D1283" s="5" t="s">
        <v>11</v>
      </c>
      <c r="E1283" s="6">
        <v>532.33308513092834</v>
      </c>
      <c r="F1283" s="33" t="str">
        <f t="shared" si="38"/>
        <v>Over 530</v>
      </c>
      <c r="G1283" s="33">
        <f t="shared" si="39"/>
        <v>558.94973938747478</v>
      </c>
      <c r="H1283" s="7">
        <v>0.03</v>
      </c>
      <c r="I1283" s="5" t="s">
        <v>14</v>
      </c>
      <c r="J1283" s="5">
        <v>44</v>
      </c>
      <c r="K1283" s="2"/>
      <c r="L1283" s="2"/>
      <c r="M1283" s="1"/>
    </row>
    <row r="1284" spans="1:13" ht="14.4" x14ac:dyDescent="0.3">
      <c r="A1284" s="14">
        <v>44899</v>
      </c>
      <c r="B1284" s="5">
        <v>9</v>
      </c>
      <c r="C1284" s="32">
        <f>VLOOKUP(B1284,'area in m2'!B$2:C$10,2,FALSE)</f>
        <v>140</v>
      </c>
      <c r="D1284" s="5" t="s">
        <v>12</v>
      </c>
      <c r="E1284" s="6">
        <v>542.99052550382112</v>
      </c>
      <c r="F1284" s="33" t="str">
        <f t="shared" si="38"/>
        <v>Over 530</v>
      </c>
      <c r="G1284" s="33">
        <f t="shared" si="39"/>
        <v>570.1400517790122</v>
      </c>
      <c r="H1284" s="7">
        <v>0</v>
      </c>
      <c r="I1284" s="5" t="s">
        <v>14</v>
      </c>
      <c r="J1284" s="5">
        <v>45</v>
      </c>
      <c r="K1284" s="2"/>
      <c r="L1284" s="2"/>
      <c r="M1284" s="1"/>
    </row>
    <row r="1285" spans="1:13" ht="14.4" x14ac:dyDescent="0.3">
      <c r="A1285" s="14">
        <v>44626</v>
      </c>
      <c r="B1285" s="5">
        <v>8</v>
      </c>
      <c r="C1285" s="32">
        <f>VLOOKUP(B1285,'area in m2'!B$2:C$10,2,FALSE)</f>
        <v>142</v>
      </c>
      <c r="D1285" s="5" t="s">
        <v>12</v>
      </c>
      <c r="E1285" s="6">
        <v>512.68206684549659</v>
      </c>
      <c r="F1285" s="33" t="str">
        <f t="shared" ref="F1285:F1348" si="40">IF(E1285&gt;530,"Over 530","Below 530")</f>
        <v>Below 530</v>
      </c>
      <c r="G1285" s="33">
        <f t="shared" ref="G1285:G1348" si="41">+E1285*1.05</f>
        <v>538.31617018777149</v>
      </c>
      <c r="H1285" s="7">
        <v>0.02</v>
      </c>
      <c r="I1285" s="5" t="s">
        <v>15</v>
      </c>
      <c r="J1285" s="5">
        <v>36</v>
      </c>
      <c r="K1285" s="2"/>
      <c r="L1285" s="2"/>
      <c r="M1285" s="1"/>
    </row>
    <row r="1286" spans="1:13" ht="14.4" x14ac:dyDescent="0.3">
      <c r="A1286" s="14">
        <v>44846</v>
      </c>
      <c r="B1286" s="5">
        <v>9</v>
      </c>
      <c r="C1286" s="32">
        <f>VLOOKUP(B1286,'area in m2'!B$2:C$10,2,FALSE)</f>
        <v>140</v>
      </c>
      <c r="D1286" s="5" t="s">
        <v>12</v>
      </c>
      <c r="E1286" s="6">
        <v>523.42035400603345</v>
      </c>
      <c r="F1286" s="33" t="str">
        <f t="shared" si="40"/>
        <v>Below 530</v>
      </c>
      <c r="G1286" s="33">
        <f t="shared" si="41"/>
        <v>549.59137170633517</v>
      </c>
      <c r="H1286" s="7">
        <v>0.02</v>
      </c>
      <c r="I1286" s="5" t="s">
        <v>14</v>
      </c>
      <c r="J1286" s="5">
        <v>23</v>
      </c>
      <c r="K1286" s="2"/>
      <c r="L1286" s="2"/>
      <c r="M1286" s="1"/>
    </row>
    <row r="1287" spans="1:13" ht="14.4" x14ac:dyDescent="0.3">
      <c r="A1287" s="14">
        <v>44693</v>
      </c>
      <c r="B1287" s="5">
        <v>4</v>
      </c>
      <c r="C1287" s="32">
        <f>VLOOKUP(B1287,'area in m2'!B$2:C$10,2,FALSE)</f>
        <v>188</v>
      </c>
      <c r="D1287" s="5" t="s">
        <v>11</v>
      </c>
      <c r="E1287" s="6">
        <v>538.41939864843425</v>
      </c>
      <c r="F1287" s="33" t="str">
        <f t="shared" si="40"/>
        <v>Over 530</v>
      </c>
      <c r="G1287" s="33">
        <f t="shared" si="41"/>
        <v>565.34036858085597</v>
      </c>
      <c r="H1287" s="7">
        <v>0</v>
      </c>
      <c r="I1287" s="5" t="s">
        <v>14</v>
      </c>
      <c r="J1287" s="5">
        <v>41</v>
      </c>
      <c r="K1287" s="2"/>
      <c r="L1287" s="2"/>
      <c r="M1287" s="1"/>
    </row>
    <row r="1288" spans="1:13" ht="14.4" x14ac:dyDescent="0.3">
      <c r="A1288" s="14">
        <v>44658</v>
      </c>
      <c r="B1288" s="5">
        <v>1</v>
      </c>
      <c r="C1288" s="32">
        <f>VLOOKUP(B1288,'area in m2'!B$2:C$10,2,FALSE)</f>
        <v>280</v>
      </c>
      <c r="D1288" s="5" t="s">
        <v>11</v>
      </c>
      <c r="E1288" s="6">
        <v>513.35399561152008</v>
      </c>
      <c r="F1288" s="33" t="str">
        <f t="shared" si="40"/>
        <v>Below 530</v>
      </c>
      <c r="G1288" s="33">
        <f t="shared" si="41"/>
        <v>539.02169539209615</v>
      </c>
      <c r="H1288" s="7">
        <v>0.01</v>
      </c>
      <c r="I1288" s="5" t="s">
        <v>15</v>
      </c>
      <c r="J1288" s="5">
        <v>25</v>
      </c>
      <c r="K1288" s="2"/>
      <c r="L1288" s="2"/>
      <c r="M1288" s="1"/>
    </row>
    <row r="1289" spans="1:13" ht="14.4" x14ac:dyDescent="0.3">
      <c r="A1289" s="14">
        <v>44761</v>
      </c>
      <c r="B1289" s="5">
        <v>9</v>
      </c>
      <c r="C1289" s="32">
        <f>VLOOKUP(B1289,'area in m2'!B$2:C$10,2,FALSE)</f>
        <v>140</v>
      </c>
      <c r="D1289" s="5" t="s">
        <v>12</v>
      </c>
      <c r="E1289" s="6">
        <v>514.2379187166689</v>
      </c>
      <c r="F1289" s="33" t="str">
        <f t="shared" si="40"/>
        <v>Below 530</v>
      </c>
      <c r="G1289" s="33">
        <f t="shared" si="41"/>
        <v>539.94981465250237</v>
      </c>
      <c r="H1289" s="7">
        <v>0.03</v>
      </c>
      <c r="I1289" s="5" t="s">
        <v>14</v>
      </c>
      <c r="J1289" s="5">
        <v>42</v>
      </c>
      <c r="K1289" s="2"/>
      <c r="L1289" s="2"/>
      <c r="M1289" s="1"/>
    </row>
    <row r="1290" spans="1:13" ht="14.4" x14ac:dyDescent="0.3">
      <c r="A1290" s="14">
        <v>44627</v>
      </c>
      <c r="B1290" s="5">
        <v>8</v>
      </c>
      <c r="C1290" s="32">
        <f>VLOOKUP(B1290,'area in m2'!B$2:C$10,2,FALSE)</f>
        <v>142</v>
      </c>
      <c r="D1290" s="5" t="s">
        <v>12</v>
      </c>
      <c r="E1290" s="6">
        <v>530.50086763397303</v>
      </c>
      <c r="F1290" s="33" t="str">
        <f t="shared" si="40"/>
        <v>Over 530</v>
      </c>
      <c r="G1290" s="33">
        <f t="shared" si="41"/>
        <v>557.02591101567168</v>
      </c>
      <c r="H1290" s="7">
        <v>0</v>
      </c>
      <c r="I1290" s="5" t="s">
        <v>14</v>
      </c>
      <c r="J1290" s="5">
        <v>23</v>
      </c>
      <c r="K1290" s="2"/>
      <c r="L1290" s="2"/>
      <c r="M1290" s="1"/>
    </row>
    <row r="1291" spans="1:13" ht="14.4" x14ac:dyDescent="0.3">
      <c r="A1291" s="14">
        <v>44920</v>
      </c>
      <c r="B1291" s="5">
        <v>5</v>
      </c>
      <c r="C1291" s="32">
        <f>VLOOKUP(B1291,'area in m2'!B$2:C$10,2,FALSE)</f>
        <v>200</v>
      </c>
      <c r="D1291" s="5" t="s">
        <v>13</v>
      </c>
      <c r="E1291" s="6">
        <v>537.14852023170079</v>
      </c>
      <c r="F1291" s="33" t="str">
        <f t="shared" si="40"/>
        <v>Over 530</v>
      </c>
      <c r="G1291" s="33">
        <f t="shared" si="41"/>
        <v>564.00594624328585</v>
      </c>
      <c r="H1291" s="7">
        <v>0</v>
      </c>
      <c r="I1291" s="5" t="s">
        <v>14</v>
      </c>
      <c r="J1291" s="5">
        <v>35</v>
      </c>
      <c r="K1291" s="2"/>
      <c r="L1291" s="2"/>
      <c r="M1291" s="1"/>
    </row>
    <row r="1292" spans="1:13" ht="14.4" x14ac:dyDescent="0.3">
      <c r="A1292" s="14">
        <v>44683</v>
      </c>
      <c r="B1292" s="5">
        <v>1</v>
      </c>
      <c r="C1292" s="32">
        <f>VLOOKUP(B1292,'area in m2'!B$2:C$10,2,FALSE)</f>
        <v>280</v>
      </c>
      <c r="D1292" s="5" t="s">
        <v>11</v>
      </c>
      <c r="E1292" s="6">
        <v>503.84638158302641</v>
      </c>
      <c r="F1292" s="33" t="str">
        <f t="shared" si="40"/>
        <v>Below 530</v>
      </c>
      <c r="G1292" s="33">
        <f t="shared" si="41"/>
        <v>529.0387006621778</v>
      </c>
      <c r="H1292" s="7">
        <v>0.03</v>
      </c>
      <c r="I1292" s="5" t="s">
        <v>14</v>
      </c>
      <c r="J1292" s="5">
        <v>50</v>
      </c>
      <c r="K1292" s="2"/>
      <c r="L1292" s="2"/>
      <c r="M1292" s="1"/>
    </row>
    <row r="1293" spans="1:13" ht="14.4" x14ac:dyDescent="0.3">
      <c r="A1293" s="14">
        <v>44789</v>
      </c>
      <c r="B1293" s="5">
        <v>9</v>
      </c>
      <c r="C1293" s="32">
        <f>VLOOKUP(B1293,'area in m2'!B$2:C$10,2,FALSE)</f>
        <v>140</v>
      </c>
      <c r="D1293" s="5" t="s">
        <v>12</v>
      </c>
      <c r="E1293" s="6">
        <v>539.27622497931679</v>
      </c>
      <c r="F1293" s="33" t="str">
        <f t="shared" si="40"/>
        <v>Over 530</v>
      </c>
      <c r="G1293" s="33">
        <f t="shared" si="41"/>
        <v>566.24003622828263</v>
      </c>
      <c r="H1293" s="7">
        <v>0.01</v>
      </c>
      <c r="I1293" s="5" t="s">
        <v>15</v>
      </c>
      <c r="J1293" s="5">
        <v>65</v>
      </c>
      <c r="K1293" s="2"/>
      <c r="L1293" s="2"/>
      <c r="M1293" s="1"/>
    </row>
    <row r="1294" spans="1:13" ht="14.4" x14ac:dyDescent="0.3">
      <c r="A1294" s="14">
        <v>44612</v>
      </c>
      <c r="B1294" s="5">
        <v>5</v>
      </c>
      <c r="C1294" s="32">
        <f>VLOOKUP(B1294,'area in m2'!B$2:C$10,2,FALSE)</f>
        <v>200</v>
      </c>
      <c r="D1294" s="5" t="s">
        <v>13</v>
      </c>
      <c r="E1294" s="6">
        <v>526.87483949579746</v>
      </c>
      <c r="F1294" s="33" t="str">
        <f t="shared" si="40"/>
        <v>Below 530</v>
      </c>
      <c r="G1294" s="33">
        <f t="shared" si="41"/>
        <v>553.21858147058731</v>
      </c>
      <c r="H1294" s="7">
        <v>0.01</v>
      </c>
      <c r="I1294" s="5" t="s">
        <v>14</v>
      </c>
      <c r="J1294" s="5">
        <v>35</v>
      </c>
      <c r="K1294" s="2"/>
      <c r="L1294" s="2"/>
      <c r="M1294" s="1"/>
    </row>
    <row r="1295" spans="1:13" ht="14.4" x14ac:dyDescent="0.3">
      <c r="A1295" s="14">
        <v>44873</v>
      </c>
      <c r="B1295" s="5">
        <v>8</v>
      </c>
      <c r="C1295" s="32">
        <f>VLOOKUP(B1295,'area in m2'!B$2:C$10,2,FALSE)</f>
        <v>142</v>
      </c>
      <c r="D1295" s="5" t="s">
        <v>12</v>
      </c>
      <c r="E1295" s="6">
        <v>549.68963406204421</v>
      </c>
      <c r="F1295" s="33" t="str">
        <f t="shared" si="40"/>
        <v>Over 530</v>
      </c>
      <c r="G1295" s="33">
        <f t="shared" si="41"/>
        <v>577.17411576514644</v>
      </c>
      <c r="H1295" s="7">
        <v>0</v>
      </c>
      <c r="I1295" s="5" t="s">
        <v>14</v>
      </c>
      <c r="J1295" s="5">
        <v>29</v>
      </c>
      <c r="K1295" s="2"/>
      <c r="L1295" s="2"/>
      <c r="M1295" s="1"/>
    </row>
    <row r="1296" spans="1:13" ht="14.4" x14ac:dyDescent="0.3">
      <c r="A1296" s="14">
        <v>44907</v>
      </c>
      <c r="B1296" s="5">
        <v>4</v>
      </c>
      <c r="C1296" s="32">
        <f>VLOOKUP(B1296,'area in m2'!B$2:C$10,2,FALSE)</f>
        <v>188</v>
      </c>
      <c r="D1296" s="5" t="s">
        <v>11</v>
      </c>
      <c r="E1296" s="6">
        <v>517.9313881052567</v>
      </c>
      <c r="F1296" s="33" t="str">
        <f t="shared" si="40"/>
        <v>Below 530</v>
      </c>
      <c r="G1296" s="33">
        <f t="shared" si="41"/>
        <v>543.82795751051958</v>
      </c>
      <c r="H1296" s="7">
        <v>0</v>
      </c>
      <c r="I1296" s="5" t="s">
        <v>14</v>
      </c>
      <c r="J1296" s="5">
        <v>35</v>
      </c>
      <c r="K1296" s="2"/>
      <c r="L1296" s="2"/>
      <c r="M1296" s="1"/>
    </row>
    <row r="1297" spans="1:13" ht="14.4" x14ac:dyDescent="0.3">
      <c r="A1297" s="14">
        <v>44856</v>
      </c>
      <c r="B1297" s="5">
        <v>5</v>
      </c>
      <c r="C1297" s="32">
        <f>VLOOKUP(B1297,'area in m2'!B$2:C$10,2,FALSE)</f>
        <v>200</v>
      </c>
      <c r="D1297" s="5" t="s">
        <v>13</v>
      </c>
      <c r="E1297" s="6">
        <v>552.14863696065277</v>
      </c>
      <c r="F1297" s="33" t="str">
        <f t="shared" si="40"/>
        <v>Over 530</v>
      </c>
      <c r="G1297" s="33">
        <f t="shared" si="41"/>
        <v>579.75606880868543</v>
      </c>
      <c r="H1297" s="7">
        <v>0</v>
      </c>
      <c r="I1297" s="5" t="s">
        <v>15</v>
      </c>
      <c r="J1297" s="5">
        <v>43</v>
      </c>
      <c r="K1297" s="2"/>
      <c r="L1297" s="2"/>
      <c r="M1297" s="1"/>
    </row>
    <row r="1298" spans="1:13" ht="14.4" x14ac:dyDescent="0.3">
      <c r="A1298" s="14">
        <v>44641</v>
      </c>
      <c r="B1298" s="5">
        <v>1</v>
      </c>
      <c r="C1298" s="32">
        <f>VLOOKUP(B1298,'area in m2'!B$2:C$10,2,FALSE)</f>
        <v>280</v>
      </c>
      <c r="D1298" s="5" t="s">
        <v>11</v>
      </c>
      <c r="E1298" s="6">
        <v>524.41594117368641</v>
      </c>
      <c r="F1298" s="33" t="str">
        <f t="shared" si="40"/>
        <v>Below 530</v>
      </c>
      <c r="G1298" s="33">
        <f t="shared" si="41"/>
        <v>550.6367382323707</v>
      </c>
      <c r="H1298" s="7">
        <v>0.02</v>
      </c>
      <c r="I1298" s="5" t="s">
        <v>14</v>
      </c>
      <c r="J1298" s="5">
        <v>29</v>
      </c>
      <c r="K1298" s="2"/>
      <c r="L1298" s="2"/>
      <c r="M1298" s="1"/>
    </row>
    <row r="1299" spans="1:13" ht="14.4" x14ac:dyDescent="0.3">
      <c r="A1299" s="14">
        <v>44911</v>
      </c>
      <c r="B1299" s="5">
        <v>5</v>
      </c>
      <c r="C1299" s="32">
        <f>VLOOKUP(B1299,'area in m2'!B$2:C$10,2,FALSE)</f>
        <v>200</v>
      </c>
      <c r="D1299" s="5" t="s">
        <v>13</v>
      </c>
      <c r="E1299" s="6">
        <v>535.33171338264401</v>
      </c>
      <c r="F1299" s="33" t="str">
        <f t="shared" si="40"/>
        <v>Over 530</v>
      </c>
      <c r="G1299" s="33">
        <f t="shared" si="41"/>
        <v>562.09829905177628</v>
      </c>
      <c r="H1299" s="7">
        <v>0.01</v>
      </c>
      <c r="I1299" s="5" t="s">
        <v>14</v>
      </c>
      <c r="J1299" s="5">
        <v>35</v>
      </c>
      <c r="K1299" s="2"/>
      <c r="L1299" s="2"/>
      <c r="M1299" s="1"/>
    </row>
    <row r="1300" spans="1:13" ht="14.4" x14ac:dyDescent="0.3">
      <c r="A1300" s="14">
        <v>44705</v>
      </c>
      <c r="B1300" s="5">
        <v>1</v>
      </c>
      <c r="C1300" s="32">
        <f>VLOOKUP(B1300,'area in m2'!B$2:C$10,2,FALSE)</f>
        <v>280</v>
      </c>
      <c r="D1300" s="5" t="s">
        <v>11</v>
      </c>
      <c r="E1300" s="6">
        <v>514.68090878812882</v>
      </c>
      <c r="F1300" s="33" t="str">
        <f t="shared" si="40"/>
        <v>Below 530</v>
      </c>
      <c r="G1300" s="33">
        <f t="shared" si="41"/>
        <v>540.4149542275353</v>
      </c>
      <c r="H1300" s="7">
        <v>0.03</v>
      </c>
      <c r="I1300" s="5" t="s">
        <v>14</v>
      </c>
      <c r="J1300" s="5">
        <v>46</v>
      </c>
      <c r="K1300" s="2"/>
      <c r="L1300" s="2"/>
      <c r="M1300" s="1"/>
    </row>
    <row r="1301" spans="1:13" ht="14.4" x14ac:dyDescent="0.3">
      <c r="A1301" s="14">
        <v>44743</v>
      </c>
      <c r="B1301" s="5">
        <v>8</v>
      </c>
      <c r="C1301" s="32">
        <f>VLOOKUP(B1301,'area in m2'!B$2:C$10,2,FALSE)</f>
        <v>142</v>
      </c>
      <c r="D1301" s="5" t="s">
        <v>12</v>
      </c>
      <c r="E1301" s="6">
        <v>536.76108668450797</v>
      </c>
      <c r="F1301" s="33" t="str">
        <f t="shared" si="40"/>
        <v>Over 530</v>
      </c>
      <c r="G1301" s="33">
        <f t="shared" si="41"/>
        <v>563.59914101873335</v>
      </c>
      <c r="H1301" s="7">
        <v>0.03</v>
      </c>
      <c r="I1301" s="5" t="s">
        <v>15</v>
      </c>
      <c r="J1301" s="5">
        <v>62</v>
      </c>
      <c r="K1301" s="2"/>
      <c r="L1301" s="2"/>
      <c r="M1301" s="1"/>
    </row>
    <row r="1302" spans="1:13" ht="14.4" x14ac:dyDescent="0.3">
      <c r="A1302" s="14">
        <v>44582</v>
      </c>
      <c r="B1302" s="5">
        <v>4</v>
      </c>
      <c r="C1302" s="32">
        <f>VLOOKUP(B1302,'area in m2'!B$2:C$10,2,FALSE)</f>
        <v>188</v>
      </c>
      <c r="D1302" s="5" t="s">
        <v>11</v>
      </c>
      <c r="E1302" s="6">
        <v>516.66981579354069</v>
      </c>
      <c r="F1302" s="33" t="str">
        <f t="shared" si="40"/>
        <v>Below 530</v>
      </c>
      <c r="G1302" s="33">
        <f t="shared" si="41"/>
        <v>542.50330658321775</v>
      </c>
      <c r="H1302" s="7">
        <v>0.03</v>
      </c>
      <c r="I1302" s="5" t="s">
        <v>15</v>
      </c>
      <c r="J1302" s="5">
        <v>35</v>
      </c>
      <c r="K1302" s="2"/>
      <c r="L1302" s="2"/>
      <c r="M1302" s="1"/>
    </row>
    <row r="1303" spans="1:13" ht="14.4" x14ac:dyDescent="0.3">
      <c r="A1303" s="14">
        <v>44830</v>
      </c>
      <c r="B1303" s="5">
        <v>6</v>
      </c>
      <c r="C1303" s="32">
        <f>VLOOKUP(B1303,'area in m2'!B$2:C$10,2,FALSE)</f>
        <v>175</v>
      </c>
      <c r="D1303" s="5" t="s">
        <v>13</v>
      </c>
      <c r="E1303" s="6">
        <v>523.32215223473759</v>
      </c>
      <c r="F1303" s="33" t="str">
        <f t="shared" si="40"/>
        <v>Below 530</v>
      </c>
      <c r="G1303" s="33">
        <f t="shared" si="41"/>
        <v>549.48825984647453</v>
      </c>
      <c r="H1303" s="7">
        <v>0.02</v>
      </c>
      <c r="I1303" s="5" t="s">
        <v>14</v>
      </c>
      <c r="J1303" s="5">
        <v>29</v>
      </c>
      <c r="K1303" s="2"/>
      <c r="L1303" s="2"/>
      <c r="M1303" s="1"/>
    </row>
    <row r="1304" spans="1:13" ht="14.4" x14ac:dyDescent="0.3">
      <c r="A1304" s="14">
        <v>44830</v>
      </c>
      <c r="B1304" s="5">
        <v>8</v>
      </c>
      <c r="C1304" s="32">
        <f>VLOOKUP(B1304,'area in m2'!B$2:C$10,2,FALSE)</f>
        <v>142</v>
      </c>
      <c r="D1304" s="5" t="s">
        <v>12</v>
      </c>
      <c r="E1304" s="6">
        <v>505.98271584009308</v>
      </c>
      <c r="F1304" s="33" t="str">
        <f t="shared" si="40"/>
        <v>Below 530</v>
      </c>
      <c r="G1304" s="33">
        <f t="shared" si="41"/>
        <v>531.28185163209776</v>
      </c>
      <c r="H1304" s="7">
        <v>0.03</v>
      </c>
      <c r="I1304" s="5" t="s">
        <v>14</v>
      </c>
      <c r="J1304" s="5">
        <v>31</v>
      </c>
      <c r="K1304" s="2"/>
      <c r="L1304" s="2"/>
      <c r="M1304" s="1"/>
    </row>
    <row r="1305" spans="1:13" ht="14.4" x14ac:dyDescent="0.3">
      <c r="A1305" s="14">
        <v>44567</v>
      </c>
      <c r="B1305" s="5">
        <v>8</v>
      </c>
      <c r="C1305" s="32">
        <f>VLOOKUP(B1305,'area in m2'!B$2:C$10,2,FALSE)</f>
        <v>142</v>
      </c>
      <c r="D1305" s="5" t="s">
        <v>12</v>
      </c>
      <c r="E1305" s="6">
        <v>532.91091463213797</v>
      </c>
      <c r="F1305" s="33" t="str">
        <f t="shared" si="40"/>
        <v>Over 530</v>
      </c>
      <c r="G1305" s="33">
        <f t="shared" si="41"/>
        <v>559.55646036374492</v>
      </c>
      <c r="H1305" s="7">
        <v>0</v>
      </c>
      <c r="I1305" s="5" t="s">
        <v>15</v>
      </c>
      <c r="J1305" s="5">
        <v>60</v>
      </c>
      <c r="K1305" s="2"/>
      <c r="L1305" s="2"/>
      <c r="M1305" s="1"/>
    </row>
    <row r="1306" spans="1:13" ht="14.4" x14ac:dyDescent="0.3">
      <c r="A1306" s="14">
        <v>44858</v>
      </c>
      <c r="B1306" s="5">
        <v>3</v>
      </c>
      <c r="C1306" s="32">
        <f>VLOOKUP(B1306,'area in m2'!B$2:C$10,2,FALSE)</f>
        <v>195</v>
      </c>
      <c r="D1306" s="5" t="s">
        <v>11</v>
      </c>
      <c r="E1306" s="6">
        <v>541.4155985444695</v>
      </c>
      <c r="F1306" s="33" t="str">
        <f t="shared" si="40"/>
        <v>Over 530</v>
      </c>
      <c r="G1306" s="33">
        <f t="shared" si="41"/>
        <v>568.486378471693</v>
      </c>
      <c r="H1306" s="7">
        <v>0.02</v>
      </c>
      <c r="I1306" s="5" t="s">
        <v>14</v>
      </c>
      <c r="J1306" s="5">
        <v>25</v>
      </c>
      <c r="K1306" s="2"/>
      <c r="L1306" s="2"/>
      <c r="M1306" s="1"/>
    </row>
    <row r="1307" spans="1:13" ht="14.4" x14ac:dyDescent="0.3">
      <c r="A1307" s="14">
        <v>44662</v>
      </c>
      <c r="B1307" s="5">
        <v>8</v>
      </c>
      <c r="C1307" s="32">
        <f>VLOOKUP(B1307,'area in m2'!B$2:C$10,2,FALSE)</f>
        <v>142</v>
      </c>
      <c r="D1307" s="5" t="s">
        <v>12</v>
      </c>
      <c r="E1307" s="6">
        <v>512.3579434607027</v>
      </c>
      <c r="F1307" s="33" t="str">
        <f t="shared" si="40"/>
        <v>Below 530</v>
      </c>
      <c r="G1307" s="33">
        <f t="shared" si="41"/>
        <v>537.9758406337379</v>
      </c>
      <c r="H1307" s="7">
        <v>0.01</v>
      </c>
      <c r="I1307" s="5" t="s">
        <v>14</v>
      </c>
      <c r="J1307" s="5">
        <v>34</v>
      </c>
      <c r="K1307" s="2"/>
      <c r="L1307" s="2"/>
      <c r="M1307" s="1"/>
    </row>
    <row r="1308" spans="1:13" ht="14.4" x14ac:dyDescent="0.3">
      <c r="A1308" s="14">
        <v>44607</v>
      </c>
      <c r="B1308" s="5">
        <v>2</v>
      </c>
      <c r="C1308" s="32">
        <f>VLOOKUP(B1308,'area in m2'!B$2:C$10,2,FALSE)</f>
        <v>250</v>
      </c>
      <c r="D1308" s="5" t="s">
        <v>11</v>
      </c>
      <c r="E1308" s="6">
        <v>524.87062757624062</v>
      </c>
      <c r="F1308" s="33" t="str">
        <f t="shared" si="40"/>
        <v>Below 530</v>
      </c>
      <c r="G1308" s="33">
        <f t="shared" si="41"/>
        <v>551.11415895505263</v>
      </c>
      <c r="H1308" s="7">
        <v>0.02</v>
      </c>
      <c r="I1308" s="5" t="s">
        <v>14</v>
      </c>
      <c r="J1308" s="5">
        <v>34</v>
      </c>
      <c r="K1308" s="2"/>
      <c r="L1308" s="2"/>
      <c r="M1308" s="1"/>
    </row>
    <row r="1309" spans="1:13" ht="14.4" x14ac:dyDescent="0.3">
      <c r="A1309" s="14">
        <v>44822</v>
      </c>
      <c r="B1309" s="5">
        <v>4</v>
      </c>
      <c r="C1309" s="32">
        <f>VLOOKUP(B1309,'area in m2'!B$2:C$10,2,FALSE)</f>
        <v>188</v>
      </c>
      <c r="D1309" s="5" t="s">
        <v>11</v>
      </c>
      <c r="E1309" s="6">
        <v>533.74262837578044</v>
      </c>
      <c r="F1309" s="33" t="str">
        <f t="shared" si="40"/>
        <v>Over 530</v>
      </c>
      <c r="G1309" s="33">
        <f t="shared" si="41"/>
        <v>560.42975979456946</v>
      </c>
      <c r="H1309" s="7">
        <v>0.01</v>
      </c>
      <c r="I1309" s="5" t="s">
        <v>15</v>
      </c>
      <c r="J1309" s="5">
        <v>24</v>
      </c>
      <c r="K1309" s="2"/>
      <c r="L1309" s="2"/>
      <c r="M1309" s="1"/>
    </row>
    <row r="1310" spans="1:13" ht="14.4" x14ac:dyDescent="0.3">
      <c r="A1310" s="14">
        <v>44877</v>
      </c>
      <c r="B1310" s="5">
        <v>1</v>
      </c>
      <c r="C1310" s="32">
        <f>VLOOKUP(B1310,'area in m2'!B$2:C$10,2,FALSE)</f>
        <v>280</v>
      </c>
      <c r="D1310" s="5" t="s">
        <v>11</v>
      </c>
      <c r="E1310" s="6">
        <v>519.1106829058499</v>
      </c>
      <c r="F1310" s="33" t="str">
        <f t="shared" si="40"/>
        <v>Below 530</v>
      </c>
      <c r="G1310" s="33">
        <f t="shared" si="41"/>
        <v>545.06621705114242</v>
      </c>
      <c r="H1310" s="7">
        <v>0.02</v>
      </c>
      <c r="I1310" s="5" t="s">
        <v>14</v>
      </c>
      <c r="J1310" s="5">
        <v>25</v>
      </c>
      <c r="K1310" s="2"/>
      <c r="L1310" s="2"/>
      <c r="M1310" s="1"/>
    </row>
    <row r="1311" spans="1:13" ht="14.4" x14ac:dyDescent="0.3">
      <c r="A1311" s="14">
        <v>44902</v>
      </c>
      <c r="B1311" s="5">
        <v>3</v>
      </c>
      <c r="C1311" s="32">
        <f>VLOOKUP(B1311,'area in m2'!B$2:C$10,2,FALSE)</f>
        <v>195</v>
      </c>
      <c r="D1311" s="5" t="s">
        <v>11</v>
      </c>
      <c r="E1311" s="6">
        <v>513.54607539036169</v>
      </c>
      <c r="F1311" s="33" t="str">
        <f t="shared" si="40"/>
        <v>Below 530</v>
      </c>
      <c r="G1311" s="33">
        <f t="shared" si="41"/>
        <v>539.22337915987976</v>
      </c>
      <c r="H1311" s="7">
        <v>0.01</v>
      </c>
      <c r="I1311" s="5" t="s">
        <v>15</v>
      </c>
      <c r="J1311" s="5">
        <v>45</v>
      </c>
      <c r="K1311" s="2"/>
      <c r="L1311" s="2"/>
      <c r="M1311" s="1"/>
    </row>
    <row r="1312" spans="1:13" ht="14.4" x14ac:dyDescent="0.3">
      <c r="A1312" s="14">
        <v>44577</v>
      </c>
      <c r="B1312" s="5">
        <v>6</v>
      </c>
      <c r="C1312" s="32">
        <f>VLOOKUP(B1312,'area in m2'!B$2:C$10,2,FALSE)</f>
        <v>175</v>
      </c>
      <c r="D1312" s="5" t="s">
        <v>13</v>
      </c>
      <c r="E1312" s="6">
        <v>510.81666377978854</v>
      </c>
      <c r="F1312" s="33" t="str">
        <f t="shared" si="40"/>
        <v>Below 530</v>
      </c>
      <c r="G1312" s="33">
        <f t="shared" si="41"/>
        <v>536.35749696877804</v>
      </c>
      <c r="H1312" s="7">
        <v>0.03</v>
      </c>
      <c r="I1312" s="5" t="s">
        <v>14</v>
      </c>
      <c r="J1312" s="5">
        <v>27</v>
      </c>
      <c r="K1312" s="2"/>
      <c r="L1312" s="2"/>
      <c r="M1312" s="1"/>
    </row>
    <row r="1313" spans="1:13" ht="14.4" x14ac:dyDescent="0.3">
      <c r="A1313" s="14">
        <v>44794</v>
      </c>
      <c r="B1313" s="5">
        <v>9</v>
      </c>
      <c r="C1313" s="32">
        <f>VLOOKUP(B1313,'area in m2'!B$2:C$10,2,FALSE)</f>
        <v>140</v>
      </c>
      <c r="D1313" s="5" t="s">
        <v>12</v>
      </c>
      <c r="E1313" s="6">
        <v>548.25282238141881</v>
      </c>
      <c r="F1313" s="33" t="str">
        <f t="shared" si="40"/>
        <v>Over 530</v>
      </c>
      <c r="G1313" s="33">
        <f t="shared" si="41"/>
        <v>575.66546350048975</v>
      </c>
      <c r="H1313" s="7">
        <v>0</v>
      </c>
      <c r="I1313" s="5" t="s">
        <v>14</v>
      </c>
      <c r="J1313" s="5">
        <v>27</v>
      </c>
      <c r="K1313" s="2"/>
      <c r="L1313" s="2"/>
      <c r="M1313" s="1"/>
    </row>
    <row r="1314" spans="1:13" ht="14.4" x14ac:dyDescent="0.3">
      <c r="A1314" s="14">
        <v>44649</v>
      </c>
      <c r="B1314" s="5">
        <v>2</v>
      </c>
      <c r="C1314" s="32">
        <f>VLOOKUP(B1314,'area in m2'!B$2:C$10,2,FALSE)</f>
        <v>250</v>
      </c>
      <c r="D1314" s="5" t="s">
        <v>11</v>
      </c>
      <c r="E1314" s="6">
        <v>506.71149233445885</v>
      </c>
      <c r="F1314" s="33" t="str">
        <f t="shared" si="40"/>
        <v>Below 530</v>
      </c>
      <c r="G1314" s="33">
        <f t="shared" si="41"/>
        <v>532.04706695118182</v>
      </c>
      <c r="H1314" s="7">
        <v>0.03</v>
      </c>
      <c r="I1314" s="5" t="s">
        <v>14</v>
      </c>
      <c r="J1314" s="5">
        <v>27</v>
      </c>
      <c r="K1314" s="2"/>
      <c r="L1314" s="2"/>
      <c r="M1314" s="1"/>
    </row>
    <row r="1315" spans="1:13" ht="14.4" x14ac:dyDescent="0.3">
      <c r="A1315" s="14">
        <v>44888</v>
      </c>
      <c r="B1315" s="5">
        <v>6</v>
      </c>
      <c r="C1315" s="32">
        <f>VLOOKUP(B1315,'area in m2'!B$2:C$10,2,FALSE)</f>
        <v>175</v>
      </c>
      <c r="D1315" s="5" t="s">
        <v>13</v>
      </c>
      <c r="E1315" s="6">
        <v>507.89616855035911</v>
      </c>
      <c r="F1315" s="33" t="str">
        <f t="shared" si="40"/>
        <v>Below 530</v>
      </c>
      <c r="G1315" s="33">
        <f t="shared" si="41"/>
        <v>533.29097697787711</v>
      </c>
      <c r="H1315" s="7">
        <v>0.01</v>
      </c>
      <c r="I1315" s="5" t="s">
        <v>14</v>
      </c>
      <c r="J1315" s="5">
        <v>22</v>
      </c>
      <c r="K1315" s="2"/>
      <c r="L1315" s="2"/>
      <c r="M1315" s="1"/>
    </row>
    <row r="1316" spans="1:13" ht="14.4" x14ac:dyDescent="0.3">
      <c r="A1316" s="14">
        <v>44892</v>
      </c>
      <c r="B1316" s="5">
        <v>2</v>
      </c>
      <c r="C1316" s="32">
        <f>VLOOKUP(B1316,'area in m2'!B$2:C$10,2,FALSE)</f>
        <v>250</v>
      </c>
      <c r="D1316" s="5" t="s">
        <v>11</v>
      </c>
      <c r="E1316" s="6">
        <v>522.15248556250026</v>
      </c>
      <c r="F1316" s="33" t="str">
        <f t="shared" si="40"/>
        <v>Below 530</v>
      </c>
      <c r="G1316" s="33">
        <f t="shared" si="41"/>
        <v>548.26010984062532</v>
      </c>
      <c r="H1316" s="7">
        <v>0.02</v>
      </c>
      <c r="I1316" s="5" t="s">
        <v>14</v>
      </c>
      <c r="J1316" s="5">
        <v>40</v>
      </c>
      <c r="K1316" s="2"/>
      <c r="L1316" s="2"/>
      <c r="M1316" s="1"/>
    </row>
    <row r="1317" spans="1:13" ht="14.4" x14ac:dyDescent="0.3">
      <c r="A1317" s="14">
        <v>44766</v>
      </c>
      <c r="B1317" s="5">
        <v>7</v>
      </c>
      <c r="C1317" s="32">
        <f>VLOOKUP(B1317,'area in m2'!B$2:C$10,2,FALSE)</f>
        <v>166</v>
      </c>
      <c r="D1317" s="5" t="s">
        <v>12</v>
      </c>
      <c r="E1317" s="6">
        <v>536.02181655649474</v>
      </c>
      <c r="F1317" s="33" t="str">
        <f t="shared" si="40"/>
        <v>Over 530</v>
      </c>
      <c r="G1317" s="33">
        <f t="shared" si="41"/>
        <v>562.82290738431948</v>
      </c>
      <c r="H1317" s="7">
        <v>0.03</v>
      </c>
      <c r="I1317" s="5" t="s">
        <v>14</v>
      </c>
      <c r="J1317" s="5">
        <v>34</v>
      </c>
      <c r="K1317" s="2"/>
      <c r="L1317" s="2"/>
      <c r="M1317" s="1"/>
    </row>
    <row r="1318" spans="1:13" ht="14.4" x14ac:dyDescent="0.3">
      <c r="A1318" s="14">
        <v>44675</v>
      </c>
      <c r="B1318" s="5">
        <v>9</v>
      </c>
      <c r="C1318" s="32">
        <f>VLOOKUP(B1318,'area in m2'!B$2:C$10,2,FALSE)</f>
        <v>140</v>
      </c>
      <c r="D1318" s="5" t="s">
        <v>12</v>
      </c>
      <c r="E1318" s="6">
        <v>541.46861019768858</v>
      </c>
      <c r="F1318" s="33" t="str">
        <f t="shared" si="40"/>
        <v>Over 530</v>
      </c>
      <c r="G1318" s="33">
        <f t="shared" si="41"/>
        <v>568.54204070757305</v>
      </c>
      <c r="H1318" s="7">
        <v>0.03</v>
      </c>
      <c r="I1318" s="5" t="s">
        <v>14</v>
      </c>
      <c r="J1318" s="5">
        <v>43</v>
      </c>
      <c r="K1318" s="2"/>
      <c r="L1318" s="2"/>
      <c r="M1318" s="1"/>
    </row>
    <row r="1319" spans="1:13" ht="14.4" x14ac:dyDescent="0.3">
      <c r="A1319" s="14">
        <v>44908</v>
      </c>
      <c r="B1319" s="5">
        <v>6</v>
      </c>
      <c r="C1319" s="32">
        <f>VLOOKUP(B1319,'area in m2'!B$2:C$10,2,FALSE)</f>
        <v>175</v>
      </c>
      <c r="D1319" s="5" t="s">
        <v>13</v>
      </c>
      <c r="E1319" s="6">
        <v>550.60304081025242</v>
      </c>
      <c r="F1319" s="33" t="str">
        <f t="shared" si="40"/>
        <v>Over 530</v>
      </c>
      <c r="G1319" s="33">
        <f t="shared" si="41"/>
        <v>578.13319285076511</v>
      </c>
      <c r="H1319" s="7">
        <v>0.01</v>
      </c>
      <c r="I1319" s="5" t="s">
        <v>14</v>
      </c>
      <c r="J1319" s="5">
        <v>41</v>
      </c>
      <c r="K1319" s="2"/>
      <c r="L1319" s="2"/>
      <c r="M1319" s="1"/>
    </row>
    <row r="1320" spans="1:13" ht="14.4" x14ac:dyDescent="0.3">
      <c r="A1320" s="14">
        <v>44786</v>
      </c>
      <c r="B1320" s="5">
        <v>3</v>
      </c>
      <c r="C1320" s="32">
        <f>VLOOKUP(B1320,'area in m2'!B$2:C$10,2,FALSE)</f>
        <v>195</v>
      </c>
      <c r="D1320" s="5" t="s">
        <v>11</v>
      </c>
      <c r="E1320" s="6">
        <v>532.79156427826183</v>
      </c>
      <c r="F1320" s="33" t="str">
        <f t="shared" si="40"/>
        <v>Over 530</v>
      </c>
      <c r="G1320" s="33">
        <f t="shared" si="41"/>
        <v>559.4311424921749</v>
      </c>
      <c r="H1320" s="7">
        <v>0.03</v>
      </c>
      <c r="I1320" s="5" t="s">
        <v>14</v>
      </c>
      <c r="J1320" s="5">
        <v>40</v>
      </c>
      <c r="K1320" s="2"/>
      <c r="L1320" s="2"/>
      <c r="M1320" s="1"/>
    </row>
    <row r="1321" spans="1:13" ht="14.4" x14ac:dyDescent="0.3">
      <c r="A1321" s="14">
        <v>44667</v>
      </c>
      <c r="B1321" s="5">
        <v>7</v>
      </c>
      <c r="C1321" s="32">
        <f>VLOOKUP(B1321,'area in m2'!B$2:C$10,2,FALSE)</f>
        <v>166</v>
      </c>
      <c r="D1321" s="5" t="s">
        <v>12</v>
      </c>
      <c r="E1321" s="6">
        <v>535.7281884188842</v>
      </c>
      <c r="F1321" s="33" t="str">
        <f t="shared" si="40"/>
        <v>Over 530</v>
      </c>
      <c r="G1321" s="33">
        <f t="shared" si="41"/>
        <v>562.51459783982841</v>
      </c>
      <c r="H1321" s="7">
        <v>0.02</v>
      </c>
      <c r="I1321" s="5" t="s">
        <v>14</v>
      </c>
      <c r="J1321" s="5">
        <v>28</v>
      </c>
      <c r="K1321" s="2"/>
      <c r="L1321" s="2"/>
      <c r="M1321" s="1"/>
    </row>
    <row r="1322" spans="1:13" ht="14.4" x14ac:dyDescent="0.3">
      <c r="A1322" s="14">
        <v>44767</v>
      </c>
      <c r="B1322" s="5">
        <v>1</v>
      </c>
      <c r="C1322" s="32">
        <f>VLOOKUP(B1322,'area in m2'!B$2:C$10,2,FALSE)</f>
        <v>280</v>
      </c>
      <c r="D1322" s="5" t="s">
        <v>11</v>
      </c>
      <c r="E1322" s="6">
        <v>531.93963454418099</v>
      </c>
      <c r="F1322" s="33" t="str">
        <f t="shared" si="40"/>
        <v>Over 530</v>
      </c>
      <c r="G1322" s="33">
        <f t="shared" si="41"/>
        <v>558.53661627139002</v>
      </c>
      <c r="H1322" s="7">
        <v>0</v>
      </c>
      <c r="I1322" s="5" t="s">
        <v>15</v>
      </c>
      <c r="J1322" s="5">
        <v>46</v>
      </c>
      <c r="K1322" s="2"/>
      <c r="L1322" s="2"/>
      <c r="M1322" s="1"/>
    </row>
    <row r="1323" spans="1:13" ht="14.4" x14ac:dyDescent="0.3">
      <c r="A1323" s="14">
        <v>44808</v>
      </c>
      <c r="B1323" s="5">
        <v>2</v>
      </c>
      <c r="C1323" s="32">
        <f>VLOOKUP(B1323,'area in m2'!B$2:C$10,2,FALSE)</f>
        <v>250</v>
      </c>
      <c r="D1323" s="5" t="s">
        <v>11</v>
      </c>
      <c r="E1323" s="6">
        <v>529.88135534733647</v>
      </c>
      <c r="F1323" s="33" t="str">
        <f t="shared" si="40"/>
        <v>Below 530</v>
      </c>
      <c r="G1323" s="33">
        <f t="shared" si="41"/>
        <v>556.37542311470327</v>
      </c>
      <c r="H1323" s="7">
        <v>0</v>
      </c>
      <c r="I1323" s="5" t="s">
        <v>14</v>
      </c>
      <c r="J1323" s="5">
        <v>24</v>
      </c>
      <c r="K1323" s="2"/>
      <c r="L1323" s="2"/>
      <c r="M1323" s="1"/>
    </row>
    <row r="1324" spans="1:13" ht="14.4" x14ac:dyDescent="0.3">
      <c r="A1324" s="14">
        <v>44629</v>
      </c>
      <c r="B1324" s="5">
        <v>4</v>
      </c>
      <c r="C1324" s="32">
        <f>VLOOKUP(B1324,'area in m2'!B$2:C$10,2,FALSE)</f>
        <v>188</v>
      </c>
      <c r="D1324" s="5" t="s">
        <v>11</v>
      </c>
      <c r="E1324" s="6">
        <v>533.64523070759242</v>
      </c>
      <c r="F1324" s="33" t="str">
        <f t="shared" si="40"/>
        <v>Over 530</v>
      </c>
      <c r="G1324" s="33">
        <f t="shared" si="41"/>
        <v>560.32749224297208</v>
      </c>
      <c r="H1324" s="7">
        <v>0.03</v>
      </c>
      <c r="I1324" s="5" t="s">
        <v>14</v>
      </c>
      <c r="J1324" s="5">
        <v>39</v>
      </c>
      <c r="K1324" s="2"/>
      <c r="L1324" s="2"/>
      <c r="M1324" s="1"/>
    </row>
    <row r="1325" spans="1:13" ht="14.4" x14ac:dyDescent="0.3">
      <c r="A1325" s="14">
        <v>44864</v>
      </c>
      <c r="B1325" s="5">
        <v>5</v>
      </c>
      <c r="C1325" s="32">
        <f>VLOOKUP(B1325,'area in m2'!B$2:C$10,2,FALSE)</f>
        <v>200</v>
      </c>
      <c r="D1325" s="5" t="s">
        <v>13</v>
      </c>
      <c r="E1325" s="6">
        <v>545.46760510767126</v>
      </c>
      <c r="F1325" s="33" t="str">
        <f t="shared" si="40"/>
        <v>Over 530</v>
      </c>
      <c r="G1325" s="33">
        <f t="shared" si="41"/>
        <v>572.74098536305485</v>
      </c>
      <c r="H1325" s="7">
        <v>0.01</v>
      </c>
      <c r="I1325" s="5" t="s">
        <v>15</v>
      </c>
      <c r="J1325" s="5">
        <v>45</v>
      </c>
      <c r="K1325" s="2"/>
      <c r="L1325" s="2"/>
      <c r="M1325" s="1"/>
    </row>
    <row r="1326" spans="1:13" ht="14.4" x14ac:dyDescent="0.3">
      <c r="A1326" s="14">
        <v>44565</v>
      </c>
      <c r="B1326" s="5">
        <v>7</v>
      </c>
      <c r="C1326" s="32">
        <f>VLOOKUP(B1326,'area in m2'!B$2:C$10,2,FALSE)</f>
        <v>166</v>
      </c>
      <c r="D1326" s="5" t="s">
        <v>12</v>
      </c>
      <c r="E1326" s="6">
        <v>528.62414806512061</v>
      </c>
      <c r="F1326" s="33" t="str">
        <f t="shared" si="40"/>
        <v>Below 530</v>
      </c>
      <c r="G1326" s="33">
        <f t="shared" si="41"/>
        <v>555.05535546837666</v>
      </c>
      <c r="H1326" s="7">
        <v>0.03</v>
      </c>
      <c r="I1326" s="5" t="s">
        <v>15</v>
      </c>
      <c r="J1326" s="5">
        <v>17</v>
      </c>
      <c r="K1326" s="2"/>
      <c r="L1326" s="2"/>
      <c r="M1326" s="1"/>
    </row>
    <row r="1327" spans="1:13" ht="14.4" x14ac:dyDescent="0.3">
      <c r="A1327" s="14">
        <v>44833</v>
      </c>
      <c r="B1327" s="5">
        <v>2</v>
      </c>
      <c r="C1327" s="32">
        <f>VLOOKUP(B1327,'area in m2'!B$2:C$10,2,FALSE)</f>
        <v>250</v>
      </c>
      <c r="D1327" s="5" t="s">
        <v>11</v>
      </c>
      <c r="E1327" s="6">
        <v>540.38486414117961</v>
      </c>
      <c r="F1327" s="33" t="str">
        <f t="shared" si="40"/>
        <v>Over 530</v>
      </c>
      <c r="G1327" s="33">
        <f t="shared" si="41"/>
        <v>567.40410734823865</v>
      </c>
      <c r="H1327" s="7">
        <v>0</v>
      </c>
      <c r="I1327" s="5" t="s">
        <v>14</v>
      </c>
      <c r="J1327" s="5">
        <v>32</v>
      </c>
      <c r="K1327" s="2"/>
      <c r="L1327" s="2"/>
      <c r="M1327" s="1"/>
    </row>
    <row r="1328" spans="1:13" ht="14.4" x14ac:dyDescent="0.3">
      <c r="A1328" s="14">
        <v>44723</v>
      </c>
      <c r="B1328" s="5">
        <v>1</v>
      </c>
      <c r="C1328" s="32">
        <f>VLOOKUP(B1328,'area in m2'!B$2:C$10,2,FALSE)</f>
        <v>280</v>
      </c>
      <c r="D1328" s="5" t="s">
        <v>11</v>
      </c>
      <c r="E1328" s="6">
        <v>545.54857366896249</v>
      </c>
      <c r="F1328" s="33" t="str">
        <f t="shared" si="40"/>
        <v>Over 530</v>
      </c>
      <c r="G1328" s="33">
        <f t="shared" si="41"/>
        <v>572.82600235241068</v>
      </c>
      <c r="H1328" s="7">
        <v>0</v>
      </c>
      <c r="I1328" s="5" t="s">
        <v>14</v>
      </c>
      <c r="J1328" s="5">
        <v>24</v>
      </c>
      <c r="K1328" s="2"/>
      <c r="L1328" s="2"/>
      <c r="M1328" s="1"/>
    </row>
    <row r="1329" spans="1:13" ht="14.4" x14ac:dyDescent="0.3">
      <c r="A1329" s="14">
        <v>44740</v>
      </c>
      <c r="B1329" s="5">
        <v>4</v>
      </c>
      <c r="C1329" s="32">
        <f>VLOOKUP(B1329,'area in m2'!B$2:C$10,2,FALSE)</f>
        <v>188</v>
      </c>
      <c r="D1329" s="5" t="s">
        <v>11</v>
      </c>
      <c r="E1329" s="6">
        <v>508.99228222751572</v>
      </c>
      <c r="F1329" s="33" t="str">
        <f t="shared" si="40"/>
        <v>Below 530</v>
      </c>
      <c r="G1329" s="33">
        <f t="shared" si="41"/>
        <v>534.44189633889152</v>
      </c>
      <c r="H1329" s="7">
        <v>0.01</v>
      </c>
      <c r="I1329" s="5" t="s">
        <v>15</v>
      </c>
      <c r="J1329" s="5">
        <v>42</v>
      </c>
      <c r="K1329" s="2"/>
      <c r="L1329" s="2"/>
      <c r="M1329" s="1"/>
    </row>
    <row r="1330" spans="1:13" ht="14.4" x14ac:dyDescent="0.3">
      <c r="A1330" s="14">
        <v>44820</v>
      </c>
      <c r="B1330" s="5">
        <v>3</v>
      </c>
      <c r="C1330" s="32">
        <f>VLOOKUP(B1330,'area in m2'!B$2:C$10,2,FALSE)</f>
        <v>195</v>
      </c>
      <c r="D1330" s="5" t="s">
        <v>11</v>
      </c>
      <c r="E1330" s="6">
        <v>550.44506818143418</v>
      </c>
      <c r="F1330" s="33" t="str">
        <f t="shared" si="40"/>
        <v>Over 530</v>
      </c>
      <c r="G1330" s="33">
        <f t="shared" si="41"/>
        <v>577.96732159050589</v>
      </c>
      <c r="H1330" s="7">
        <v>0.03</v>
      </c>
      <c r="I1330" s="5" t="s">
        <v>14</v>
      </c>
      <c r="J1330" s="5">
        <v>37</v>
      </c>
      <c r="K1330" s="2"/>
      <c r="L1330" s="2"/>
      <c r="M1330" s="1"/>
    </row>
    <row r="1331" spans="1:13" ht="14.4" x14ac:dyDescent="0.3">
      <c r="A1331" s="14">
        <v>44769</v>
      </c>
      <c r="B1331" s="5">
        <v>1</v>
      </c>
      <c r="C1331" s="32">
        <f>VLOOKUP(B1331,'area in m2'!B$2:C$10,2,FALSE)</f>
        <v>280</v>
      </c>
      <c r="D1331" s="5" t="s">
        <v>11</v>
      </c>
      <c r="E1331" s="6">
        <v>523.46668668915572</v>
      </c>
      <c r="F1331" s="33" t="str">
        <f t="shared" si="40"/>
        <v>Below 530</v>
      </c>
      <c r="G1331" s="33">
        <f t="shared" si="41"/>
        <v>549.64002102361349</v>
      </c>
      <c r="H1331" s="7">
        <v>0.01</v>
      </c>
      <c r="I1331" s="5" t="s">
        <v>15</v>
      </c>
      <c r="J1331" s="5">
        <v>55</v>
      </c>
      <c r="K1331" s="2"/>
      <c r="L1331" s="2"/>
      <c r="M1331" s="1"/>
    </row>
    <row r="1332" spans="1:13" ht="14.4" x14ac:dyDescent="0.3">
      <c r="A1332" s="14">
        <v>44748</v>
      </c>
      <c r="B1332" s="5">
        <v>4</v>
      </c>
      <c r="C1332" s="32">
        <f>VLOOKUP(B1332,'area in m2'!B$2:C$10,2,FALSE)</f>
        <v>188</v>
      </c>
      <c r="D1332" s="5" t="s">
        <v>11</v>
      </c>
      <c r="E1332" s="6">
        <v>514.15458892619699</v>
      </c>
      <c r="F1332" s="33" t="str">
        <f t="shared" si="40"/>
        <v>Below 530</v>
      </c>
      <c r="G1332" s="33">
        <f t="shared" si="41"/>
        <v>539.86231837250682</v>
      </c>
      <c r="H1332" s="7">
        <v>0.01</v>
      </c>
      <c r="I1332" s="5" t="s">
        <v>14</v>
      </c>
      <c r="J1332" s="5">
        <v>47</v>
      </c>
      <c r="K1332" s="2"/>
      <c r="L1332" s="2"/>
      <c r="M1332" s="1"/>
    </row>
    <row r="1333" spans="1:13" ht="14.4" x14ac:dyDescent="0.3">
      <c r="A1333" s="14">
        <v>44737</v>
      </c>
      <c r="B1333" s="5">
        <v>4</v>
      </c>
      <c r="C1333" s="32">
        <f>VLOOKUP(B1333,'area in m2'!B$2:C$10,2,FALSE)</f>
        <v>188</v>
      </c>
      <c r="D1333" s="5" t="s">
        <v>11</v>
      </c>
      <c r="E1333" s="6">
        <v>508.63993192907674</v>
      </c>
      <c r="F1333" s="33" t="str">
        <f t="shared" si="40"/>
        <v>Below 530</v>
      </c>
      <c r="G1333" s="33">
        <f t="shared" si="41"/>
        <v>534.07192852553055</v>
      </c>
      <c r="H1333" s="7">
        <v>0.01</v>
      </c>
      <c r="I1333" s="5" t="s">
        <v>15</v>
      </c>
      <c r="J1333" s="5">
        <v>39</v>
      </c>
      <c r="K1333" s="2"/>
      <c r="L1333" s="2"/>
      <c r="M1333" s="1"/>
    </row>
    <row r="1334" spans="1:13" ht="14.4" x14ac:dyDescent="0.3">
      <c r="A1334" s="14">
        <v>44698</v>
      </c>
      <c r="B1334" s="5">
        <v>3</v>
      </c>
      <c r="C1334" s="32">
        <f>VLOOKUP(B1334,'area in m2'!B$2:C$10,2,FALSE)</f>
        <v>195</v>
      </c>
      <c r="D1334" s="5" t="s">
        <v>11</v>
      </c>
      <c r="E1334" s="6">
        <v>511.3788615452977</v>
      </c>
      <c r="F1334" s="33" t="str">
        <f t="shared" si="40"/>
        <v>Below 530</v>
      </c>
      <c r="G1334" s="33">
        <f t="shared" si="41"/>
        <v>536.94780462256256</v>
      </c>
      <c r="H1334" s="7">
        <v>0.01</v>
      </c>
      <c r="I1334" s="5" t="s">
        <v>14</v>
      </c>
      <c r="J1334" s="5">
        <v>39</v>
      </c>
      <c r="K1334" s="2"/>
      <c r="L1334" s="2"/>
      <c r="M1334" s="1"/>
    </row>
    <row r="1335" spans="1:13" ht="14.4" x14ac:dyDescent="0.3">
      <c r="A1335" s="14">
        <v>44761</v>
      </c>
      <c r="B1335" s="5">
        <v>6</v>
      </c>
      <c r="C1335" s="32">
        <f>VLOOKUP(B1335,'area in m2'!B$2:C$10,2,FALSE)</f>
        <v>175</v>
      </c>
      <c r="D1335" s="5" t="s">
        <v>13</v>
      </c>
      <c r="E1335" s="6">
        <v>511.13727902466235</v>
      </c>
      <c r="F1335" s="33" t="str">
        <f t="shared" si="40"/>
        <v>Below 530</v>
      </c>
      <c r="G1335" s="33">
        <f t="shared" si="41"/>
        <v>536.69414297589549</v>
      </c>
      <c r="H1335" s="7">
        <v>0</v>
      </c>
      <c r="I1335" s="5" t="s">
        <v>15</v>
      </c>
      <c r="J1335" s="5">
        <v>41</v>
      </c>
      <c r="K1335" s="2"/>
      <c r="L1335" s="2"/>
      <c r="M1335" s="1"/>
    </row>
    <row r="1336" spans="1:13" ht="14.4" x14ac:dyDescent="0.3">
      <c r="A1336" s="14">
        <v>44615</v>
      </c>
      <c r="B1336" s="5">
        <v>4</v>
      </c>
      <c r="C1336" s="32">
        <f>VLOOKUP(B1336,'area in m2'!B$2:C$10,2,FALSE)</f>
        <v>188</v>
      </c>
      <c r="D1336" s="5" t="s">
        <v>11</v>
      </c>
      <c r="E1336" s="6">
        <v>506.28703689987015</v>
      </c>
      <c r="F1336" s="33" t="str">
        <f t="shared" si="40"/>
        <v>Below 530</v>
      </c>
      <c r="G1336" s="33">
        <f t="shared" si="41"/>
        <v>531.6013887448637</v>
      </c>
      <c r="H1336" s="7">
        <v>0</v>
      </c>
      <c r="I1336" s="5" t="s">
        <v>15</v>
      </c>
      <c r="J1336" s="5">
        <v>26</v>
      </c>
      <c r="K1336" s="2"/>
      <c r="L1336" s="2"/>
      <c r="M1336" s="1"/>
    </row>
    <row r="1337" spans="1:13" ht="14.4" x14ac:dyDescent="0.3">
      <c r="A1337" s="14">
        <v>44803</v>
      </c>
      <c r="B1337" s="5">
        <v>9</v>
      </c>
      <c r="C1337" s="32">
        <f>VLOOKUP(B1337,'area in m2'!B$2:C$10,2,FALSE)</f>
        <v>140</v>
      </c>
      <c r="D1337" s="5" t="s">
        <v>12</v>
      </c>
      <c r="E1337" s="6">
        <v>541.57068946310119</v>
      </c>
      <c r="F1337" s="33" t="str">
        <f t="shared" si="40"/>
        <v>Over 530</v>
      </c>
      <c r="G1337" s="33">
        <f t="shared" si="41"/>
        <v>568.64922393625625</v>
      </c>
      <c r="H1337" s="7">
        <v>0.03</v>
      </c>
      <c r="I1337" s="5" t="s">
        <v>15</v>
      </c>
      <c r="J1337" s="5">
        <v>26</v>
      </c>
      <c r="K1337" s="2"/>
      <c r="L1337" s="2"/>
      <c r="M1337" s="1"/>
    </row>
    <row r="1338" spans="1:13" ht="14.4" x14ac:dyDescent="0.3">
      <c r="A1338" s="14">
        <v>44756</v>
      </c>
      <c r="B1338" s="5">
        <v>4</v>
      </c>
      <c r="C1338" s="32">
        <f>VLOOKUP(B1338,'area in m2'!B$2:C$10,2,FALSE)</f>
        <v>188</v>
      </c>
      <c r="D1338" s="5" t="s">
        <v>11</v>
      </c>
      <c r="E1338" s="6">
        <v>514.44645417424726</v>
      </c>
      <c r="F1338" s="33" t="str">
        <f t="shared" si="40"/>
        <v>Below 530</v>
      </c>
      <c r="G1338" s="33">
        <f t="shared" si="41"/>
        <v>540.16877688295961</v>
      </c>
      <c r="H1338" s="7">
        <v>0</v>
      </c>
      <c r="I1338" s="5" t="s">
        <v>14</v>
      </c>
      <c r="J1338" s="5">
        <v>33</v>
      </c>
      <c r="K1338" s="2"/>
      <c r="L1338" s="2"/>
      <c r="M1338" s="1"/>
    </row>
    <row r="1339" spans="1:13" ht="14.4" x14ac:dyDescent="0.3">
      <c r="A1339" s="14">
        <v>44871</v>
      </c>
      <c r="B1339" s="5">
        <v>1</v>
      </c>
      <c r="C1339" s="32">
        <f>VLOOKUP(B1339,'area in m2'!B$2:C$10,2,FALSE)</f>
        <v>280</v>
      </c>
      <c r="D1339" s="5" t="s">
        <v>11</v>
      </c>
      <c r="E1339" s="6">
        <v>528.80796895731328</v>
      </c>
      <c r="F1339" s="33" t="str">
        <f t="shared" si="40"/>
        <v>Below 530</v>
      </c>
      <c r="G1339" s="33">
        <f t="shared" si="41"/>
        <v>555.24836740517901</v>
      </c>
      <c r="H1339" s="7">
        <v>0.03</v>
      </c>
      <c r="I1339" s="5" t="s">
        <v>14</v>
      </c>
      <c r="J1339" s="5">
        <v>36</v>
      </c>
      <c r="K1339" s="2"/>
      <c r="L1339" s="2"/>
      <c r="M1339" s="1"/>
    </row>
    <row r="1340" spans="1:13" ht="14.4" x14ac:dyDescent="0.3">
      <c r="A1340" s="14">
        <v>44752</v>
      </c>
      <c r="B1340" s="5">
        <v>6</v>
      </c>
      <c r="C1340" s="32">
        <f>VLOOKUP(B1340,'area in m2'!B$2:C$10,2,FALSE)</f>
        <v>175</v>
      </c>
      <c r="D1340" s="5" t="s">
        <v>13</v>
      </c>
      <c r="E1340" s="6">
        <v>504.69307720432153</v>
      </c>
      <c r="F1340" s="33" t="str">
        <f t="shared" si="40"/>
        <v>Below 530</v>
      </c>
      <c r="G1340" s="33">
        <f t="shared" si="41"/>
        <v>529.92773106453762</v>
      </c>
      <c r="H1340" s="7">
        <v>0.03</v>
      </c>
      <c r="I1340" s="5" t="s">
        <v>15</v>
      </c>
      <c r="J1340" s="5">
        <v>47</v>
      </c>
      <c r="K1340" s="2"/>
      <c r="L1340" s="2"/>
      <c r="M1340" s="1"/>
    </row>
    <row r="1341" spans="1:13" ht="14.4" x14ac:dyDescent="0.3">
      <c r="A1341" s="14">
        <v>44866</v>
      </c>
      <c r="B1341" s="5">
        <v>4</v>
      </c>
      <c r="C1341" s="32">
        <f>VLOOKUP(B1341,'area in m2'!B$2:C$10,2,FALSE)</f>
        <v>188</v>
      </c>
      <c r="D1341" s="5" t="s">
        <v>11</v>
      </c>
      <c r="E1341" s="6">
        <v>524.92599783006881</v>
      </c>
      <c r="F1341" s="33" t="str">
        <f t="shared" si="40"/>
        <v>Below 530</v>
      </c>
      <c r="G1341" s="33">
        <f t="shared" si="41"/>
        <v>551.17229772157225</v>
      </c>
      <c r="H1341" s="7">
        <v>0.02</v>
      </c>
      <c r="I1341" s="5" t="s">
        <v>15</v>
      </c>
      <c r="J1341" s="5">
        <v>26</v>
      </c>
      <c r="K1341" s="2"/>
      <c r="L1341" s="2"/>
      <c r="M1341" s="1"/>
    </row>
    <row r="1342" spans="1:13" ht="14.4" x14ac:dyDescent="0.3">
      <c r="A1342" s="14">
        <v>44775</v>
      </c>
      <c r="B1342" s="5">
        <v>5</v>
      </c>
      <c r="C1342" s="32">
        <f>VLOOKUP(B1342,'area in m2'!B$2:C$10,2,FALSE)</f>
        <v>200</v>
      </c>
      <c r="D1342" s="5" t="s">
        <v>13</v>
      </c>
      <c r="E1342" s="6">
        <v>518.66247628062683</v>
      </c>
      <c r="F1342" s="33" t="str">
        <f t="shared" si="40"/>
        <v>Below 530</v>
      </c>
      <c r="G1342" s="33">
        <f t="shared" si="41"/>
        <v>544.59560009465815</v>
      </c>
      <c r="H1342" s="7">
        <v>0</v>
      </c>
      <c r="I1342" s="5" t="s">
        <v>14</v>
      </c>
      <c r="J1342" s="5">
        <v>29</v>
      </c>
      <c r="K1342" s="2"/>
      <c r="L1342" s="2"/>
      <c r="M1342" s="1"/>
    </row>
    <row r="1343" spans="1:13" ht="14.4" x14ac:dyDescent="0.3">
      <c r="A1343" s="14">
        <v>44760</v>
      </c>
      <c r="B1343" s="5">
        <v>3</v>
      </c>
      <c r="C1343" s="32">
        <f>VLOOKUP(B1343,'area in m2'!B$2:C$10,2,FALSE)</f>
        <v>195</v>
      </c>
      <c r="D1343" s="5" t="s">
        <v>11</v>
      </c>
      <c r="E1343" s="6">
        <v>547.43454123498304</v>
      </c>
      <c r="F1343" s="33" t="str">
        <f t="shared" si="40"/>
        <v>Over 530</v>
      </c>
      <c r="G1343" s="33">
        <f t="shared" si="41"/>
        <v>574.80626829673224</v>
      </c>
      <c r="H1343" s="7">
        <v>0</v>
      </c>
      <c r="I1343" s="5" t="s">
        <v>14</v>
      </c>
      <c r="J1343" s="5">
        <v>40</v>
      </c>
      <c r="K1343" s="2"/>
      <c r="L1343" s="2"/>
      <c r="M1343" s="1"/>
    </row>
    <row r="1344" spans="1:13" ht="14.4" x14ac:dyDescent="0.3">
      <c r="A1344" s="14">
        <v>44732</v>
      </c>
      <c r="B1344" s="5">
        <v>8</v>
      </c>
      <c r="C1344" s="32">
        <f>VLOOKUP(B1344,'area in m2'!B$2:C$10,2,FALSE)</f>
        <v>142</v>
      </c>
      <c r="D1344" s="5" t="s">
        <v>11</v>
      </c>
      <c r="E1344" s="6">
        <v>507.5374579295385</v>
      </c>
      <c r="F1344" s="33" t="str">
        <f t="shared" si="40"/>
        <v>Below 530</v>
      </c>
      <c r="G1344" s="33">
        <f t="shared" si="41"/>
        <v>532.91433082601543</v>
      </c>
      <c r="H1344" s="7">
        <v>0</v>
      </c>
      <c r="I1344" s="5" t="s">
        <v>14</v>
      </c>
      <c r="J1344" s="5">
        <v>45</v>
      </c>
      <c r="K1344" s="2"/>
      <c r="L1344" s="2"/>
      <c r="M1344" s="1"/>
    </row>
    <row r="1345" spans="1:13" ht="14.4" x14ac:dyDescent="0.3">
      <c r="A1345" s="14">
        <v>44742</v>
      </c>
      <c r="B1345" s="5">
        <v>3</v>
      </c>
      <c r="C1345" s="32">
        <f>VLOOKUP(B1345,'area in m2'!B$2:C$10,2,FALSE)</f>
        <v>195</v>
      </c>
      <c r="D1345" s="5" t="s">
        <v>11</v>
      </c>
      <c r="E1345" s="6">
        <v>520.08539559070414</v>
      </c>
      <c r="F1345" s="33" t="str">
        <f t="shared" si="40"/>
        <v>Below 530</v>
      </c>
      <c r="G1345" s="33">
        <f t="shared" si="41"/>
        <v>546.08966537023935</v>
      </c>
      <c r="H1345" s="7">
        <v>0.01</v>
      </c>
      <c r="I1345" s="5" t="s">
        <v>15</v>
      </c>
      <c r="J1345" s="5">
        <v>27</v>
      </c>
      <c r="K1345" s="2"/>
      <c r="L1345" s="2"/>
      <c r="M1345" s="1"/>
    </row>
    <row r="1346" spans="1:13" ht="14.4" x14ac:dyDescent="0.3">
      <c r="A1346" s="14">
        <v>44673</v>
      </c>
      <c r="B1346" s="5">
        <v>6</v>
      </c>
      <c r="C1346" s="32">
        <f>VLOOKUP(B1346,'area in m2'!B$2:C$10,2,FALSE)</f>
        <v>175</v>
      </c>
      <c r="D1346" s="5" t="s">
        <v>13</v>
      </c>
      <c r="E1346" s="6">
        <v>510.75427050039889</v>
      </c>
      <c r="F1346" s="33" t="str">
        <f t="shared" si="40"/>
        <v>Below 530</v>
      </c>
      <c r="G1346" s="33">
        <f t="shared" si="41"/>
        <v>536.29198402541886</v>
      </c>
      <c r="H1346" s="7">
        <v>0</v>
      </c>
      <c r="I1346" s="5" t="s">
        <v>14</v>
      </c>
      <c r="J1346" s="5">
        <v>42</v>
      </c>
      <c r="K1346" s="2"/>
      <c r="L1346" s="2"/>
      <c r="M1346" s="1"/>
    </row>
    <row r="1347" spans="1:13" ht="14.4" x14ac:dyDescent="0.3">
      <c r="A1347" s="14">
        <v>44587</v>
      </c>
      <c r="B1347" s="5">
        <v>1</v>
      </c>
      <c r="C1347" s="32">
        <f>VLOOKUP(B1347,'area in m2'!B$2:C$10,2,FALSE)</f>
        <v>280</v>
      </c>
      <c r="D1347" s="5" t="s">
        <v>11</v>
      </c>
      <c r="E1347" s="6">
        <v>532.16124851353834</v>
      </c>
      <c r="F1347" s="33" t="str">
        <f t="shared" si="40"/>
        <v>Over 530</v>
      </c>
      <c r="G1347" s="33">
        <f t="shared" si="41"/>
        <v>558.7693109392153</v>
      </c>
      <c r="H1347" s="7">
        <v>0.02</v>
      </c>
      <c r="I1347" s="5" t="s">
        <v>14</v>
      </c>
      <c r="J1347" s="5">
        <v>24</v>
      </c>
      <c r="K1347" s="2"/>
      <c r="L1347" s="2"/>
      <c r="M1347" s="1"/>
    </row>
    <row r="1348" spans="1:13" ht="14.4" x14ac:dyDescent="0.3">
      <c r="A1348" s="14">
        <v>44739</v>
      </c>
      <c r="B1348" s="5">
        <v>6</v>
      </c>
      <c r="C1348" s="32">
        <f>VLOOKUP(B1348,'area in m2'!B$2:C$10,2,FALSE)</f>
        <v>175</v>
      </c>
      <c r="D1348" s="5" t="s">
        <v>13</v>
      </c>
      <c r="E1348" s="6">
        <v>518.63484478585269</v>
      </c>
      <c r="F1348" s="33" t="str">
        <f t="shared" si="40"/>
        <v>Below 530</v>
      </c>
      <c r="G1348" s="33">
        <f t="shared" si="41"/>
        <v>544.5665870251454</v>
      </c>
      <c r="H1348" s="7">
        <v>0.01</v>
      </c>
      <c r="I1348" s="5" t="s">
        <v>15</v>
      </c>
      <c r="J1348" s="5">
        <v>63</v>
      </c>
      <c r="K1348" s="2"/>
      <c r="L1348" s="2"/>
      <c r="M1348" s="1"/>
    </row>
    <row r="1349" spans="1:13" ht="14.4" x14ac:dyDescent="0.3">
      <c r="A1349" s="14">
        <v>44878</v>
      </c>
      <c r="B1349" s="5">
        <v>1</v>
      </c>
      <c r="C1349" s="32">
        <f>VLOOKUP(B1349,'area in m2'!B$2:C$10,2,FALSE)</f>
        <v>280</v>
      </c>
      <c r="D1349" s="5" t="s">
        <v>11</v>
      </c>
      <c r="E1349" s="6">
        <v>523.13189132030766</v>
      </c>
      <c r="F1349" s="33" t="str">
        <f t="shared" ref="F1349:F1412" si="42">IF(E1349&gt;530,"Over 530","Below 530")</f>
        <v>Below 530</v>
      </c>
      <c r="G1349" s="33">
        <f t="shared" ref="G1349:G1412" si="43">+E1349*1.05</f>
        <v>549.28848588632309</v>
      </c>
      <c r="H1349" s="7">
        <v>0.02</v>
      </c>
      <c r="I1349" s="5" t="s">
        <v>14</v>
      </c>
      <c r="J1349" s="5">
        <v>28</v>
      </c>
      <c r="K1349" s="2"/>
      <c r="L1349" s="2"/>
      <c r="M1349" s="1"/>
    </row>
    <row r="1350" spans="1:13" ht="14.4" x14ac:dyDescent="0.3">
      <c r="A1350" s="14">
        <v>44589</v>
      </c>
      <c r="B1350" s="5">
        <v>6</v>
      </c>
      <c r="C1350" s="32">
        <f>VLOOKUP(B1350,'area in m2'!B$2:C$10,2,FALSE)</f>
        <v>175</v>
      </c>
      <c r="D1350" s="5" t="s">
        <v>13</v>
      </c>
      <c r="E1350" s="6">
        <v>523.07477318482415</v>
      </c>
      <c r="F1350" s="33" t="str">
        <f t="shared" si="42"/>
        <v>Below 530</v>
      </c>
      <c r="G1350" s="33">
        <f t="shared" si="43"/>
        <v>549.22851184406534</v>
      </c>
      <c r="H1350" s="7">
        <v>0.03</v>
      </c>
      <c r="I1350" s="5" t="s">
        <v>14</v>
      </c>
      <c r="J1350" s="5">
        <v>41</v>
      </c>
      <c r="K1350" s="2"/>
      <c r="L1350" s="2"/>
      <c r="M1350" s="1"/>
    </row>
    <row r="1351" spans="1:13" ht="14.4" x14ac:dyDescent="0.3">
      <c r="A1351" s="14">
        <v>44714</v>
      </c>
      <c r="B1351" s="5">
        <v>4</v>
      </c>
      <c r="C1351" s="32">
        <f>VLOOKUP(B1351,'area in m2'!B$2:C$10,2,FALSE)</f>
        <v>188</v>
      </c>
      <c r="D1351" s="5" t="s">
        <v>11</v>
      </c>
      <c r="E1351" s="6">
        <v>509.3535135787597</v>
      </c>
      <c r="F1351" s="33" t="str">
        <f t="shared" si="42"/>
        <v>Below 530</v>
      </c>
      <c r="G1351" s="33">
        <f t="shared" si="43"/>
        <v>534.82118925769771</v>
      </c>
      <c r="H1351" s="7">
        <v>0.02</v>
      </c>
      <c r="I1351" s="5" t="s">
        <v>14</v>
      </c>
      <c r="J1351" s="5">
        <v>50</v>
      </c>
      <c r="K1351" s="2"/>
      <c r="L1351" s="2"/>
      <c r="M1351" s="1"/>
    </row>
    <row r="1352" spans="1:13" ht="14.4" x14ac:dyDescent="0.3">
      <c r="A1352" s="14">
        <v>44837</v>
      </c>
      <c r="B1352" s="5">
        <v>8</v>
      </c>
      <c r="C1352" s="32">
        <f>VLOOKUP(B1352,'area in m2'!B$2:C$10,2,FALSE)</f>
        <v>142</v>
      </c>
      <c r="D1352" s="5" t="s">
        <v>12</v>
      </c>
      <c r="E1352" s="6">
        <v>510.5786796543116</v>
      </c>
      <c r="F1352" s="33" t="str">
        <f t="shared" si="42"/>
        <v>Below 530</v>
      </c>
      <c r="G1352" s="33">
        <f t="shared" si="43"/>
        <v>536.10761363702716</v>
      </c>
      <c r="H1352" s="7">
        <v>0</v>
      </c>
      <c r="I1352" s="5" t="s">
        <v>14</v>
      </c>
      <c r="J1352" s="5">
        <v>26</v>
      </c>
      <c r="K1352" s="2"/>
      <c r="L1352" s="2"/>
      <c r="M1352" s="1"/>
    </row>
    <row r="1353" spans="1:13" ht="14.4" x14ac:dyDescent="0.3">
      <c r="A1353" s="14">
        <v>44562</v>
      </c>
      <c r="B1353" s="5">
        <v>8</v>
      </c>
      <c r="C1353" s="32">
        <f>VLOOKUP(B1353,'area in m2'!B$2:C$10,2,FALSE)</f>
        <v>142</v>
      </c>
      <c r="D1353" s="5" t="s">
        <v>12</v>
      </c>
      <c r="E1353" s="6">
        <v>509.86462369181299</v>
      </c>
      <c r="F1353" s="33" t="str">
        <f t="shared" si="42"/>
        <v>Below 530</v>
      </c>
      <c r="G1353" s="33">
        <f t="shared" si="43"/>
        <v>535.35785487640362</v>
      </c>
      <c r="H1353" s="7">
        <v>0.02</v>
      </c>
      <c r="I1353" s="5" t="s">
        <v>14</v>
      </c>
      <c r="J1353" s="5">
        <v>21</v>
      </c>
      <c r="K1353" s="2"/>
      <c r="L1353" s="2"/>
      <c r="M1353" s="1"/>
    </row>
    <row r="1354" spans="1:13" ht="14.4" x14ac:dyDescent="0.3">
      <c r="A1354" s="14">
        <v>44863</v>
      </c>
      <c r="B1354" s="5">
        <v>2</v>
      </c>
      <c r="C1354" s="32">
        <f>VLOOKUP(B1354,'area in m2'!B$2:C$10,2,FALSE)</f>
        <v>250</v>
      </c>
      <c r="D1354" s="5" t="s">
        <v>11</v>
      </c>
      <c r="E1354" s="6">
        <v>504.25750683421211</v>
      </c>
      <c r="F1354" s="33" t="str">
        <f t="shared" si="42"/>
        <v>Below 530</v>
      </c>
      <c r="G1354" s="33">
        <f t="shared" si="43"/>
        <v>529.47038217592274</v>
      </c>
      <c r="H1354" s="7">
        <v>0.03</v>
      </c>
      <c r="I1354" s="5" t="s">
        <v>15</v>
      </c>
      <c r="J1354" s="5">
        <v>45</v>
      </c>
      <c r="K1354" s="2"/>
      <c r="L1354" s="2"/>
      <c r="M1354" s="1"/>
    </row>
    <row r="1355" spans="1:13" ht="14.4" x14ac:dyDescent="0.3">
      <c r="A1355" s="14">
        <v>44777</v>
      </c>
      <c r="B1355" s="5">
        <v>1</v>
      </c>
      <c r="C1355" s="32">
        <f>VLOOKUP(B1355,'area in m2'!B$2:C$10,2,FALSE)</f>
        <v>280</v>
      </c>
      <c r="D1355" s="5" t="s">
        <v>11</v>
      </c>
      <c r="E1355" s="6">
        <v>500.431458953336</v>
      </c>
      <c r="F1355" s="33" t="str">
        <f t="shared" si="42"/>
        <v>Below 530</v>
      </c>
      <c r="G1355" s="33">
        <f t="shared" si="43"/>
        <v>525.45303190100287</v>
      </c>
      <c r="H1355" s="7">
        <v>0.03</v>
      </c>
      <c r="I1355" s="5" t="s">
        <v>14</v>
      </c>
      <c r="J1355" s="5">
        <v>35</v>
      </c>
      <c r="K1355" s="2"/>
      <c r="L1355" s="2"/>
      <c r="M1355" s="1"/>
    </row>
    <row r="1356" spans="1:13" ht="14.4" x14ac:dyDescent="0.3">
      <c r="A1356" s="14">
        <v>44768</v>
      </c>
      <c r="B1356" s="5">
        <v>6</v>
      </c>
      <c r="C1356" s="32">
        <f>VLOOKUP(B1356,'area in m2'!B$2:C$10,2,FALSE)</f>
        <v>175</v>
      </c>
      <c r="D1356" s="5" t="s">
        <v>13</v>
      </c>
      <c r="E1356" s="6">
        <v>511.13727902466235</v>
      </c>
      <c r="F1356" s="33" t="str">
        <f t="shared" si="42"/>
        <v>Below 530</v>
      </c>
      <c r="G1356" s="33">
        <f t="shared" si="43"/>
        <v>536.69414297589549</v>
      </c>
      <c r="H1356" s="7">
        <v>0.02</v>
      </c>
      <c r="I1356" s="5" t="s">
        <v>14</v>
      </c>
      <c r="J1356" s="5">
        <v>38</v>
      </c>
      <c r="K1356" s="2"/>
      <c r="L1356" s="2"/>
      <c r="M1356" s="1"/>
    </row>
    <row r="1357" spans="1:13" ht="14.4" x14ac:dyDescent="0.3">
      <c r="A1357" s="14">
        <v>44730</v>
      </c>
      <c r="B1357" s="5">
        <v>6</v>
      </c>
      <c r="C1357" s="32">
        <f>VLOOKUP(B1357,'area in m2'!B$2:C$10,2,FALSE)</f>
        <v>175</v>
      </c>
      <c r="D1357" s="5" t="s">
        <v>13</v>
      </c>
      <c r="E1357" s="6">
        <v>518.64092074082419</v>
      </c>
      <c r="F1357" s="33" t="str">
        <f t="shared" si="42"/>
        <v>Below 530</v>
      </c>
      <c r="G1357" s="33">
        <f t="shared" si="43"/>
        <v>544.57296677786542</v>
      </c>
      <c r="H1357" s="7">
        <v>0</v>
      </c>
      <c r="I1357" s="5" t="s">
        <v>15</v>
      </c>
      <c r="J1357" s="5">
        <v>44</v>
      </c>
      <c r="K1357" s="2"/>
      <c r="L1357" s="2"/>
      <c r="M1357" s="1"/>
    </row>
    <row r="1358" spans="1:13" ht="14.4" x14ac:dyDescent="0.3">
      <c r="A1358" s="14">
        <v>44742</v>
      </c>
      <c r="B1358" s="5">
        <v>7</v>
      </c>
      <c r="C1358" s="32">
        <f>VLOOKUP(B1358,'area in m2'!B$2:C$10,2,FALSE)</f>
        <v>166</v>
      </c>
      <c r="D1358" s="5" t="s">
        <v>12</v>
      </c>
      <c r="E1358" s="6">
        <v>531.57291905182046</v>
      </c>
      <c r="F1358" s="33" t="str">
        <f t="shared" si="42"/>
        <v>Over 530</v>
      </c>
      <c r="G1358" s="33">
        <f t="shared" si="43"/>
        <v>558.15156500441151</v>
      </c>
      <c r="H1358" s="7">
        <v>0</v>
      </c>
      <c r="I1358" s="5" t="s">
        <v>14</v>
      </c>
      <c r="J1358" s="5">
        <v>41</v>
      </c>
      <c r="K1358" s="2"/>
      <c r="L1358" s="2"/>
      <c r="M1358" s="1"/>
    </row>
    <row r="1359" spans="1:13" ht="14.4" x14ac:dyDescent="0.3">
      <c r="A1359" s="14">
        <v>44834</v>
      </c>
      <c r="B1359" s="5">
        <v>3</v>
      </c>
      <c r="C1359" s="32">
        <f>VLOOKUP(B1359,'area in m2'!B$2:C$10,2,FALSE)</f>
        <v>195</v>
      </c>
      <c r="D1359" s="5" t="s">
        <v>11</v>
      </c>
      <c r="E1359" s="6">
        <v>535.63770904166086</v>
      </c>
      <c r="F1359" s="33" t="str">
        <f t="shared" si="42"/>
        <v>Over 530</v>
      </c>
      <c r="G1359" s="33">
        <f t="shared" si="43"/>
        <v>562.41959449374394</v>
      </c>
      <c r="H1359" s="7">
        <v>0</v>
      </c>
      <c r="I1359" s="5" t="s">
        <v>14</v>
      </c>
      <c r="J1359" s="5">
        <v>30</v>
      </c>
      <c r="K1359" s="2"/>
      <c r="L1359" s="2"/>
      <c r="M1359" s="1"/>
    </row>
    <row r="1360" spans="1:13" ht="14.4" x14ac:dyDescent="0.3">
      <c r="A1360" s="14">
        <v>44855</v>
      </c>
      <c r="B1360" s="5">
        <v>5</v>
      </c>
      <c r="C1360" s="32">
        <f>VLOOKUP(B1360,'area in m2'!B$2:C$10,2,FALSE)</f>
        <v>200</v>
      </c>
      <c r="D1360" s="5" t="s">
        <v>13</v>
      </c>
      <c r="E1360" s="6">
        <v>541.54118131342057</v>
      </c>
      <c r="F1360" s="33" t="str">
        <f t="shared" si="42"/>
        <v>Over 530</v>
      </c>
      <c r="G1360" s="33">
        <f t="shared" si="43"/>
        <v>568.61824037909162</v>
      </c>
      <c r="H1360" s="7">
        <v>0.01</v>
      </c>
      <c r="I1360" s="5" t="s">
        <v>14</v>
      </c>
      <c r="J1360" s="5">
        <v>45</v>
      </c>
      <c r="K1360" s="2"/>
      <c r="L1360" s="2"/>
      <c r="M1360" s="1"/>
    </row>
    <row r="1361" spans="1:13" ht="14.4" x14ac:dyDescent="0.3">
      <c r="A1361" s="14">
        <v>44710</v>
      </c>
      <c r="B1361" s="5">
        <v>3</v>
      </c>
      <c r="C1361" s="32">
        <f>VLOOKUP(B1361,'area in m2'!B$2:C$10,2,FALSE)</f>
        <v>195</v>
      </c>
      <c r="D1361" s="5" t="s">
        <v>11</v>
      </c>
      <c r="E1361" s="6">
        <v>543.01963869543033</v>
      </c>
      <c r="F1361" s="33" t="str">
        <f t="shared" si="42"/>
        <v>Over 530</v>
      </c>
      <c r="G1361" s="33">
        <f t="shared" si="43"/>
        <v>570.17062063020182</v>
      </c>
      <c r="H1361" s="7">
        <v>0</v>
      </c>
      <c r="I1361" s="5" t="s">
        <v>14</v>
      </c>
      <c r="J1361" s="5">
        <v>38</v>
      </c>
      <c r="K1361" s="2"/>
      <c r="L1361" s="2"/>
      <c r="M1361" s="1"/>
    </row>
    <row r="1362" spans="1:13" ht="14.4" x14ac:dyDescent="0.3">
      <c r="A1362" s="14">
        <v>44883</v>
      </c>
      <c r="B1362" s="5">
        <v>5</v>
      </c>
      <c r="C1362" s="32">
        <f>VLOOKUP(B1362,'area in m2'!B$2:C$10,2,FALSE)</f>
        <v>200</v>
      </c>
      <c r="D1362" s="5" t="s">
        <v>13</v>
      </c>
      <c r="E1362" s="6">
        <v>540.08192986155518</v>
      </c>
      <c r="F1362" s="33" t="str">
        <f t="shared" si="42"/>
        <v>Over 530</v>
      </c>
      <c r="G1362" s="33">
        <f t="shared" si="43"/>
        <v>567.08602635463296</v>
      </c>
      <c r="H1362" s="7">
        <v>0.01</v>
      </c>
      <c r="I1362" s="5" t="s">
        <v>15</v>
      </c>
      <c r="J1362" s="5">
        <v>50</v>
      </c>
      <c r="K1362" s="2"/>
      <c r="L1362" s="2"/>
      <c r="M1362" s="1"/>
    </row>
    <row r="1363" spans="1:13" ht="14.4" x14ac:dyDescent="0.3">
      <c r="A1363" s="14">
        <v>44847</v>
      </c>
      <c r="B1363" s="5">
        <v>9</v>
      </c>
      <c r="C1363" s="32">
        <f>VLOOKUP(B1363,'area in m2'!B$2:C$10,2,FALSE)</f>
        <v>140</v>
      </c>
      <c r="D1363" s="5" t="s">
        <v>12</v>
      </c>
      <c r="E1363" s="6">
        <v>519.60542897411051</v>
      </c>
      <c r="F1363" s="33" t="str">
        <f t="shared" si="42"/>
        <v>Below 530</v>
      </c>
      <c r="G1363" s="33">
        <f t="shared" si="43"/>
        <v>545.5857004228161</v>
      </c>
      <c r="H1363" s="7">
        <v>0.02</v>
      </c>
      <c r="I1363" s="5" t="s">
        <v>14</v>
      </c>
      <c r="J1363" s="5">
        <v>26</v>
      </c>
      <c r="K1363" s="2"/>
      <c r="L1363" s="2"/>
      <c r="M1363" s="1"/>
    </row>
    <row r="1364" spans="1:13" ht="14.4" x14ac:dyDescent="0.3">
      <c r="A1364" s="14">
        <v>44629</v>
      </c>
      <c r="B1364" s="5">
        <v>1</v>
      </c>
      <c r="C1364" s="32">
        <f>VLOOKUP(B1364,'area in m2'!B$2:C$10,2,FALSE)</f>
        <v>280</v>
      </c>
      <c r="D1364" s="5" t="s">
        <v>11</v>
      </c>
      <c r="E1364" s="6">
        <v>548.43470703975254</v>
      </c>
      <c r="F1364" s="33" t="str">
        <f t="shared" si="42"/>
        <v>Over 530</v>
      </c>
      <c r="G1364" s="33">
        <f t="shared" si="43"/>
        <v>575.85644239174019</v>
      </c>
      <c r="H1364" s="7">
        <v>0</v>
      </c>
      <c r="I1364" s="5" t="s">
        <v>14</v>
      </c>
      <c r="J1364" s="5">
        <v>35</v>
      </c>
      <c r="K1364" s="2"/>
      <c r="L1364" s="2"/>
      <c r="M1364" s="1"/>
    </row>
    <row r="1365" spans="1:13" ht="14.4" x14ac:dyDescent="0.3">
      <c r="A1365" s="14">
        <v>44906</v>
      </c>
      <c r="B1365" s="5">
        <v>2</v>
      </c>
      <c r="C1365" s="32">
        <f>VLOOKUP(B1365,'area in m2'!B$2:C$10,2,FALSE)</f>
        <v>250</v>
      </c>
      <c r="D1365" s="5" t="s">
        <v>11</v>
      </c>
      <c r="E1365" s="6">
        <v>543.34062832029122</v>
      </c>
      <c r="F1365" s="33" t="str">
        <f t="shared" si="42"/>
        <v>Over 530</v>
      </c>
      <c r="G1365" s="33">
        <f t="shared" si="43"/>
        <v>570.50765973630575</v>
      </c>
      <c r="H1365" s="7">
        <v>0.02</v>
      </c>
      <c r="I1365" s="5" t="s">
        <v>15</v>
      </c>
      <c r="J1365" s="5">
        <v>43</v>
      </c>
      <c r="K1365" s="2"/>
      <c r="L1365" s="2"/>
      <c r="M1365" s="1"/>
    </row>
    <row r="1366" spans="1:13" ht="14.4" x14ac:dyDescent="0.3">
      <c r="A1366" s="14">
        <v>44603</v>
      </c>
      <c r="B1366" s="5">
        <v>5</v>
      </c>
      <c r="C1366" s="32">
        <f>VLOOKUP(B1366,'area in m2'!B$2:C$10,2,FALSE)</f>
        <v>200</v>
      </c>
      <c r="D1366" s="5" t="s">
        <v>13</v>
      </c>
      <c r="E1366" s="6">
        <v>535.03562054653412</v>
      </c>
      <c r="F1366" s="33" t="str">
        <f t="shared" si="42"/>
        <v>Over 530</v>
      </c>
      <c r="G1366" s="33">
        <f t="shared" si="43"/>
        <v>561.78740157386085</v>
      </c>
      <c r="H1366" s="7">
        <v>0</v>
      </c>
      <c r="I1366" s="5" t="s">
        <v>14</v>
      </c>
      <c r="J1366" s="5">
        <v>45</v>
      </c>
      <c r="K1366" s="2"/>
      <c r="L1366" s="2"/>
      <c r="M1366" s="1"/>
    </row>
    <row r="1367" spans="1:13" ht="14.4" x14ac:dyDescent="0.3">
      <c r="A1367" s="14">
        <v>44720</v>
      </c>
      <c r="B1367" s="5">
        <v>6</v>
      </c>
      <c r="C1367" s="32">
        <f>VLOOKUP(B1367,'area in m2'!B$2:C$10,2,FALSE)</f>
        <v>175</v>
      </c>
      <c r="D1367" s="5" t="s">
        <v>13</v>
      </c>
      <c r="E1367" s="6">
        <v>536.52923047546938</v>
      </c>
      <c r="F1367" s="33" t="str">
        <f t="shared" si="42"/>
        <v>Over 530</v>
      </c>
      <c r="G1367" s="33">
        <f t="shared" si="43"/>
        <v>563.35569199924282</v>
      </c>
      <c r="H1367" s="7">
        <v>0.03</v>
      </c>
      <c r="I1367" s="5" t="s">
        <v>14</v>
      </c>
      <c r="J1367" s="5">
        <v>25</v>
      </c>
      <c r="K1367" s="2"/>
      <c r="L1367" s="2"/>
      <c r="M1367" s="1"/>
    </row>
    <row r="1368" spans="1:13" ht="14.4" x14ac:dyDescent="0.3">
      <c r="A1368" s="14">
        <v>44661</v>
      </c>
      <c r="B1368" s="5">
        <v>5</v>
      </c>
      <c r="C1368" s="32">
        <f>VLOOKUP(B1368,'area in m2'!B$2:C$10,2,FALSE)</f>
        <v>200</v>
      </c>
      <c r="D1368" s="5" t="s">
        <v>13</v>
      </c>
      <c r="E1368" s="6">
        <v>534.26073357740916</v>
      </c>
      <c r="F1368" s="33" t="str">
        <f t="shared" si="42"/>
        <v>Over 530</v>
      </c>
      <c r="G1368" s="33">
        <f t="shared" si="43"/>
        <v>560.97377025627964</v>
      </c>
      <c r="H1368" s="7">
        <v>0</v>
      </c>
      <c r="I1368" s="5" t="s">
        <v>15</v>
      </c>
      <c r="J1368" s="5">
        <v>46</v>
      </c>
      <c r="K1368" s="2"/>
      <c r="L1368" s="2"/>
      <c r="M1368" s="1"/>
    </row>
    <row r="1369" spans="1:13" ht="14.4" x14ac:dyDescent="0.3">
      <c r="A1369" s="14">
        <v>44649</v>
      </c>
      <c r="B1369" s="5">
        <v>7</v>
      </c>
      <c r="C1369" s="32">
        <f>VLOOKUP(B1369,'area in m2'!B$2:C$10,2,FALSE)</f>
        <v>166</v>
      </c>
      <c r="D1369" s="5" t="s">
        <v>12</v>
      </c>
      <c r="E1369" s="6">
        <v>514.88153760759269</v>
      </c>
      <c r="F1369" s="33" t="str">
        <f t="shared" si="42"/>
        <v>Below 530</v>
      </c>
      <c r="G1369" s="33">
        <f t="shared" si="43"/>
        <v>540.62561448797237</v>
      </c>
      <c r="H1369" s="7">
        <v>0</v>
      </c>
      <c r="I1369" s="5" t="s">
        <v>14</v>
      </c>
      <c r="J1369" s="5">
        <v>37</v>
      </c>
      <c r="K1369" s="2"/>
      <c r="L1369" s="2"/>
      <c r="M1369" s="1"/>
    </row>
    <row r="1370" spans="1:13" ht="14.4" x14ac:dyDescent="0.3">
      <c r="A1370" s="14">
        <v>44706</v>
      </c>
      <c r="B1370" s="5">
        <v>1</v>
      </c>
      <c r="C1370" s="32">
        <f>VLOOKUP(B1370,'area in m2'!B$2:C$10,2,FALSE)</f>
        <v>280</v>
      </c>
      <c r="D1370" s="5" t="s">
        <v>11</v>
      </c>
      <c r="E1370" s="6">
        <v>546.84852963654885</v>
      </c>
      <c r="F1370" s="33" t="str">
        <f t="shared" si="42"/>
        <v>Over 530</v>
      </c>
      <c r="G1370" s="33">
        <f t="shared" si="43"/>
        <v>574.19095611837633</v>
      </c>
      <c r="H1370" s="7">
        <v>0.02</v>
      </c>
      <c r="I1370" s="5" t="s">
        <v>14</v>
      </c>
      <c r="J1370" s="5">
        <v>39</v>
      </c>
      <c r="K1370" s="2"/>
      <c r="L1370" s="2"/>
      <c r="M1370" s="1"/>
    </row>
    <row r="1371" spans="1:13" ht="14.4" x14ac:dyDescent="0.3">
      <c r="A1371" s="14">
        <v>44838</v>
      </c>
      <c r="B1371" s="5">
        <v>8</v>
      </c>
      <c r="C1371" s="32">
        <f>VLOOKUP(B1371,'area in m2'!B$2:C$10,2,FALSE)</f>
        <v>142</v>
      </c>
      <c r="D1371" s="5" t="s">
        <v>12</v>
      </c>
      <c r="E1371" s="6">
        <v>534.85848010380778</v>
      </c>
      <c r="F1371" s="33" t="str">
        <f t="shared" si="42"/>
        <v>Over 530</v>
      </c>
      <c r="G1371" s="33">
        <f t="shared" si="43"/>
        <v>561.60140410899817</v>
      </c>
      <c r="H1371" s="7">
        <v>0</v>
      </c>
      <c r="I1371" s="5" t="s">
        <v>14</v>
      </c>
      <c r="J1371" s="5">
        <v>21</v>
      </c>
      <c r="K1371" s="2"/>
      <c r="L1371" s="2"/>
      <c r="M1371" s="1"/>
    </row>
    <row r="1372" spans="1:13" ht="14.4" x14ac:dyDescent="0.3">
      <c r="A1372" s="14">
        <v>44622</v>
      </c>
      <c r="B1372" s="5">
        <v>2</v>
      </c>
      <c r="C1372" s="32">
        <f>VLOOKUP(B1372,'area in m2'!B$2:C$10,2,FALSE)</f>
        <v>250</v>
      </c>
      <c r="D1372" s="5" t="s">
        <v>11</v>
      </c>
      <c r="E1372" s="6">
        <v>540.96162127967273</v>
      </c>
      <c r="F1372" s="33" t="str">
        <f t="shared" si="42"/>
        <v>Over 530</v>
      </c>
      <c r="G1372" s="33">
        <f t="shared" si="43"/>
        <v>568.00970234365639</v>
      </c>
      <c r="H1372" s="7">
        <v>0.01</v>
      </c>
      <c r="I1372" s="5" t="s">
        <v>14</v>
      </c>
      <c r="J1372" s="5">
        <v>32</v>
      </c>
      <c r="K1372" s="2"/>
      <c r="L1372" s="2"/>
      <c r="M1372" s="1"/>
    </row>
    <row r="1373" spans="1:13" ht="14.4" x14ac:dyDescent="0.3">
      <c r="A1373" s="14">
        <v>44897</v>
      </c>
      <c r="B1373" s="5">
        <v>6</v>
      </c>
      <c r="C1373" s="32">
        <f>VLOOKUP(B1373,'area in m2'!B$2:C$10,2,FALSE)</f>
        <v>175</v>
      </c>
      <c r="D1373" s="5" t="s">
        <v>13</v>
      </c>
      <c r="E1373" s="6">
        <v>516.34198328514958</v>
      </c>
      <c r="F1373" s="33" t="str">
        <f t="shared" si="42"/>
        <v>Below 530</v>
      </c>
      <c r="G1373" s="33">
        <f t="shared" si="43"/>
        <v>542.15908244940704</v>
      </c>
      <c r="H1373" s="7">
        <v>0.01</v>
      </c>
      <c r="I1373" s="5" t="s">
        <v>14</v>
      </c>
      <c r="J1373" s="5">
        <v>42</v>
      </c>
      <c r="K1373" s="2"/>
      <c r="L1373" s="2"/>
      <c r="M1373" s="1"/>
    </row>
    <row r="1374" spans="1:13" ht="14.4" x14ac:dyDescent="0.3">
      <c r="A1374" s="14">
        <v>44867</v>
      </c>
      <c r="B1374" s="5">
        <v>5</v>
      </c>
      <c r="C1374" s="32">
        <f>VLOOKUP(B1374,'area in m2'!B$2:C$10,2,FALSE)</f>
        <v>200</v>
      </c>
      <c r="D1374" s="5" t="s">
        <v>13</v>
      </c>
      <c r="E1374" s="6">
        <v>532.71029691248441</v>
      </c>
      <c r="F1374" s="33" t="str">
        <f t="shared" si="42"/>
        <v>Over 530</v>
      </c>
      <c r="G1374" s="33">
        <f t="shared" si="43"/>
        <v>559.34581175810865</v>
      </c>
      <c r="H1374" s="7">
        <v>0</v>
      </c>
      <c r="I1374" s="5" t="s">
        <v>14</v>
      </c>
      <c r="J1374" s="5">
        <v>31</v>
      </c>
      <c r="K1374" s="2"/>
      <c r="L1374" s="2"/>
      <c r="M1374" s="1"/>
    </row>
    <row r="1375" spans="1:13" ht="14.4" x14ac:dyDescent="0.3">
      <c r="A1375" s="14">
        <v>44898</v>
      </c>
      <c r="B1375" s="5">
        <v>1</v>
      </c>
      <c r="C1375" s="32">
        <f>VLOOKUP(B1375,'area in m2'!B$2:C$10,2,FALSE)</f>
        <v>280</v>
      </c>
      <c r="D1375" s="5" t="s">
        <v>11</v>
      </c>
      <c r="E1375" s="6">
        <v>520.87718636019781</v>
      </c>
      <c r="F1375" s="33" t="str">
        <f t="shared" si="42"/>
        <v>Below 530</v>
      </c>
      <c r="G1375" s="33">
        <f t="shared" si="43"/>
        <v>546.92104567820775</v>
      </c>
      <c r="H1375" s="7">
        <v>0</v>
      </c>
      <c r="I1375" s="5" t="s">
        <v>14</v>
      </c>
      <c r="J1375" s="5">
        <v>43</v>
      </c>
      <c r="K1375" s="2"/>
      <c r="L1375" s="2"/>
      <c r="M1375" s="1"/>
    </row>
    <row r="1376" spans="1:13" ht="14.4" x14ac:dyDescent="0.3">
      <c r="A1376" s="14">
        <v>44581</v>
      </c>
      <c r="B1376" s="5">
        <v>4</v>
      </c>
      <c r="C1376" s="32">
        <f>VLOOKUP(B1376,'area in m2'!B$2:C$10,2,FALSE)</f>
        <v>188</v>
      </c>
      <c r="D1376" s="5" t="s">
        <v>11</v>
      </c>
      <c r="E1376" s="6">
        <v>510.54728254592374</v>
      </c>
      <c r="F1376" s="33" t="str">
        <f t="shared" si="42"/>
        <v>Below 530</v>
      </c>
      <c r="G1376" s="33">
        <f t="shared" si="43"/>
        <v>536.07464667321995</v>
      </c>
      <c r="H1376" s="7">
        <v>0.02</v>
      </c>
      <c r="I1376" s="5" t="s">
        <v>14</v>
      </c>
      <c r="J1376" s="5">
        <v>42</v>
      </c>
      <c r="K1376" s="2"/>
      <c r="L1376" s="2"/>
      <c r="M1376" s="1"/>
    </row>
    <row r="1377" spans="1:13" ht="14.4" x14ac:dyDescent="0.3">
      <c r="A1377" s="14">
        <v>44738</v>
      </c>
      <c r="B1377" s="5">
        <v>5</v>
      </c>
      <c r="C1377" s="32">
        <f>VLOOKUP(B1377,'area in m2'!B$2:C$10,2,FALSE)</f>
        <v>200</v>
      </c>
      <c r="D1377" s="5" t="s">
        <v>13</v>
      </c>
      <c r="E1377" s="6">
        <v>521.22492833774595</v>
      </c>
      <c r="F1377" s="33" t="str">
        <f t="shared" si="42"/>
        <v>Below 530</v>
      </c>
      <c r="G1377" s="33">
        <f t="shared" si="43"/>
        <v>547.28617475463329</v>
      </c>
      <c r="H1377" s="7">
        <v>0</v>
      </c>
      <c r="I1377" s="5" t="s">
        <v>14</v>
      </c>
      <c r="J1377" s="5">
        <v>38</v>
      </c>
      <c r="K1377" s="2"/>
      <c r="L1377" s="2"/>
      <c r="M1377" s="1"/>
    </row>
    <row r="1378" spans="1:13" ht="14.4" x14ac:dyDescent="0.3">
      <c r="A1378" s="14">
        <v>44634</v>
      </c>
      <c r="B1378" s="5">
        <v>1</v>
      </c>
      <c r="C1378" s="32">
        <f>VLOOKUP(B1378,'area in m2'!B$2:C$10,2,FALSE)</f>
        <v>280</v>
      </c>
      <c r="D1378" s="5" t="s">
        <v>11</v>
      </c>
      <c r="E1378" s="6">
        <v>506.67980177926984</v>
      </c>
      <c r="F1378" s="33" t="str">
        <f t="shared" si="42"/>
        <v>Below 530</v>
      </c>
      <c r="G1378" s="33">
        <f t="shared" si="43"/>
        <v>532.0137918682334</v>
      </c>
      <c r="H1378" s="7">
        <v>0.02</v>
      </c>
      <c r="I1378" s="5" t="s">
        <v>15</v>
      </c>
      <c r="J1378" s="5">
        <v>26</v>
      </c>
      <c r="K1378" s="2"/>
      <c r="L1378" s="2"/>
      <c r="M1378" s="1"/>
    </row>
    <row r="1379" spans="1:13" ht="14.4" x14ac:dyDescent="0.3">
      <c r="A1379" s="14">
        <v>44610</v>
      </c>
      <c r="B1379" s="5">
        <v>9</v>
      </c>
      <c r="C1379" s="32">
        <f>VLOOKUP(B1379,'area in m2'!B$2:C$10,2,FALSE)</f>
        <v>140</v>
      </c>
      <c r="D1379" s="5" t="s">
        <v>12</v>
      </c>
      <c r="E1379" s="6">
        <v>501.22757219294999</v>
      </c>
      <c r="F1379" s="33" t="str">
        <f t="shared" si="42"/>
        <v>Below 530</v>
      </c>
      <c r="G1379" s="33">
        <f t="shared" si="43"/>
        <v>526.28895080259747</v>
      </c>
      <c r="H1379" s="7">
        <v>0.02</v>
      </c>
      <c r="I1379" s="5" t="s">
        <v>14</v>
      </c>
      <c r="J1379" s="5">
        <v>29</v>
      </c>
      <c r="K1379" s="2"/>
      <c r="L1379" s="2"/>
      <c r="M1379" s="1"/>
    </row>
    <row r="1380" spans="1:13" ht="14.4" x14ac:dyDescent="0.3">
      <c r="A1380" s="14">
        <v>44811</v>
      </c>
      <c r="B1380" s="5">
        <v>3</v>
      </c>
      <c r="C1380" s="32">
        <f>VLOOKUP(B1380,'area in m2'!B$2:C$10,2,FALSE)</f>
        <v>195</v>
      </c>
      <c r="D1380" s="5" t="s">
        <v>11</v>
      </c>
      <c r="E1380" s="6">
        <v>539.53835306162</v>
      </c>
      <c r="F1380" s="33" t="str">
        <f t="shared" si="42"/>
        <v>Over 530</v>
      </c>
      <c r="G1380" s="33">
        <f t="shared" si="43"/>
        <v>566.51527071470105</v>
      </c>
      <c r="H1380" s="7">
        <v>0.03</v>
      </c>
      <c r="I1380" s="5" t="s">
        <v>15</v>
      </c>
      <c r="J1380" s="5">
        <v>50</v>
      </c>
      <c r="K1380" s="2"/>
      <c r="L1380" s="2"/>
      <c r="M1380" s="1"/>
    </row>
    <row r="1381" spans="1:13" ht="14.4" x14ac:dyDescent="0.3">
      <c r="A1381" s="14">
        <v>44811</v>
      </c>
      <c r="B1381" s="5">
        <v>4</v>
      </c>
      <c r="C1381" s="32">
        <f>VLOOKUP(B1381,'area in m2'!B$2:C$10,2,FALSE)</f>
        <v>188</v>
      </c>
      <c r="D1381" s="5" t="s">
        <v>11</v>
      </c>
      <c r="E1381" s="6">
        <v>541.95242299518486</v>
      </c>
      <c r="F1381" s="33" t="str">
        <f t="shared" si="42"/>
        <v>Over 530</v>
      </c>
      <c r="G1381" s="33">
        <f t="shared" si="43"/>
        <v>569.05004414494408</v>
      </c>
      <c r="H1381" s="7">
        <v>0.01</v>
      </c>
      <c r="I1381" s="5" t="s">
        <v>15</v>
      </c>
      <c r="J1381" s="5">
        <v>20</v>
      </c>
      <c r="K1381" s="2"/>
      <c r="L1381" s="2"/>
      <c r="M1381" s="1"/>
    </row>
    <row r="1382" spans="1:13" ht="14.4" x14ac:dyDescent="0.3">
      <c r="A1382" s="14">
        <v>44711</v>
      </c>
      <c r="B1382" s="5">
        <v>4</v>
      </c>
      <c r="C1382" s="32">
        <f>VLOOKUP(B1382,'area in m2'!B$2:C$10,2,FALSE)</f>
        <v>188</v>
      </c>
      <c r="D1382" s="5" t="s">
        <v>11</v>
      </c>
      <c r="E1382" s="6">
        <v>517.35590798137946</v>
      </c>
      <c r="F1382" s="33" t="str">
        <f t="shared" si="42"/>
        <v>Below 530</v>
      </c>
      <c r="G1382" s="33">
        <f t="shared" si="43"/>
        <v>543.22370338044846</v>
      </c>
      <c r="H1382" s="7">
        <v>0.03</v>
      </c>
      <c r="I1382" s="5" t="s">
        <v>14</v>
      </c>
      <c r="J1382" s="5">
        <v>24</v>
      </c>
      <c r="K1382" s="2"/>
      <c r="L1382" s="2"/>
      <c r="M1382" s="1"/>
    </row>
    <row r="1383" spans="1:13" ht="14.4" x14ac:dyDescent="0.3">
      <c r="A1383" s="14">
        <v>44800</v>
      </c>
      <c r="B1383" s="5">
        <v>1</v>
      </c>
      <c r="C1383" s="32">
        <f>VLOOKUP(B1383,'area in m2'!B$2:C$10,2,FALSE)</f>
        <v>280</v>
      </c>
      <c r="D1383" s="5" t="s">
        <v>11</v>
      </c>
      <c r="E1383" s="6">
        <v>507.61970349303829</v>
      </c>
      <c r="F1383" s="33" t="str">
        <f t="shared" si="42"/>
        <v>Below 530</v>
      </c>
      <c r="G1383" s="33">
        <f t="shared" si="43"/>
        <v>533.00068866769027</v>
      </c>
      <c r="H1383" s="7">
        <v>0</v>
      </c>
      <c r="I1383" s="5" t="s">
        <v>14</v>
      </c>
      <c r="J1383" s="5">
        <v>43</v>
      </c>
      <c r="K1383" s="2"/>
      <c r="L1383" s="2"/>
      <c r="M1383" s="1"/>
    </row>
    <row r="1384" spans="1:13" ht="14.4" x14ac:dyDescent="0.3">
      <c r="A1384" s="14">
        <v>44688</v>
      </c>
      <c r="B1384" s="5">
        <v>6</v>
      </c>
      <c r="C1384" s="32">
        <f>VLOOKUP(B1384,'area in m2'!B$2:C$10,2,FALSE)</f>
        <v>175</v>
      </c>
      <c r="D1384" s="5" t="s">
        <v>13</v>
      </c>
      <c r="E1384" s="6">
        <v>524.55600550935014</v>
      </c>
      <c r="F1384" s="33" t="str">
        <f t="shared" si="42"/>
        <v>Below 530</v>
      </c>
      <c r="G1384" s="33">
        <f t="shared" si="43"/>
        <v>550.78380578481767</v>
      </c>
      <c r="H1384" s="7">
        <v>0</v>
      </c>
      <c r="I1384" s="5" t="s">
        <v>14</v>
      </c>
      <c r="J1384" s="5">
        <v>58</v>
      </c>
      <c r="K1384" s="2"/>
      <c r="L1384" s="2"/>
      <c r="M1384" s="1"/>
    </row>
    <row r="1385" spans="1:13" ht="14.4" x14ac:dyDescent="0.3">
      <c r="A1385" s="14">
        <v>44607</v>
      </c>
      <c r="B1385" s="5">
        <v>1</v>
      </c>
      <c r="C1385" s="32">
        <f>VLOOKUP(B1385,'area in m2'!B$2:C$10,2,FALSE)</f>
        <v>280</v>
      </c>
      <c r="D1385" s="5" t="s">
        <v>11</v>
      </c>
      <c r="E1385" s="6">
        <v>532.01977052576876</v>
      </c>
      <c r="F1385" s="33" t="str">
        <f t="shared" si="42"/>
        <v>Over 530</v>
      </c>
      <c r="G1385" s="33">
        <f t="shared" si="43"/>
        <v>558.62075905205722</v>
      </c>
      <c r="H1385" s="7">
        <v>0</v>
      </c>
      <c r="I1385" s="5" t="s">
        <v>15</v>
      </c>
      <c r="J1385" s="5">
        <v>35</v>
      </c>
      <c r="K1385" s="2"/>
      <c r="L1385" s="2"/>
      <c r="M1385" s="1"/>
    </row>
    <row r="1386" spans="1:13" ht="14.4" x14ac:dyDescent="0.3">
      <c r="A1386" s="14">
        <v>44794</v>
      </c>
      <c r="B1386" s="5">
        <v>1</v>
      </c>
      <c r="C1386" s="32">
        <f>VLOOKUP(B1386,'area in m2'!B$2:C$10,2,FALSE)</f>
        <v>280</v>
      </c>
      <c r="D1386" s="5" t="s">
        <v>11</v>
      </c>
      <c r="E1386" s="6">
        <v>547.65658346752025</v>
      </c>
      <c r="F1386" s="33" t="str">
        <f t="shared" si="42"/>
        <v>Over 530</v>
      </c>
      <c r="G1386" s="33">
        <f t="shared" si="43"/>
        <v>575.03941264089633</v>
      </c>
      <c r="H1386" s="7">
        <v>0</v>
      </c>
      <c r="I1386" s="5" t="s">
        <v>14</v>
      </c>
      <c r="J1386" s="5">
        <v>25</v>
      </c>
      <c r="K1386" s="2"/>
      <c r="L1386" s="2"/>
      <c r="M1386" s="1"/>
    </row>
    <row r="1387" spans="1:13" ht="14.4" x14ac:dyDescent="0.3">
      <c r="A1387" s="14">
        <v>44906</v>
      </c>
      <c r="B1387" s="5">
        <v>3</v>
      </c>
      <c r="C1387" s="32">
        <f>VLOOKUP(B1387,'area in m2'!B$2:C$10,2,FALSE)</f>
        <v>195</v>
      </c>
      <c r="D1387" s="5" t="s">
        <v>11</v>
      </c>
      <c r="E1387" s="6">
        <v>542.95312971832936</v>
      </c>
      <c r="F1387" s="33" t="str">
        <f t="shared" si="42"/>
        <v>Over 530</v>
      </c>
      <c r="G1387" s="33">
        <f t="shared" si="43"/>
        <v>570.10078620424588</v>
      </c>
      <c r="H1387" s="7">
        <v>0.02</v>
      </c>
      <c r="I1387" s="5" t="s">
        <v>14</v>
      </c>
      <c r="J1387" s="5">
        <v>47</v>
      </c>
      <c r="K1387" s="2"/>
      <c r="L1387" s="2"/>
      <c r="M1387" s="1"/>
    </row>
    <row r="1388" spans="1:13" ht="14.4" x14ac:dyDescent="0.3">
      <c r="A1388" s="14">
        <v>44635</v>
      </c>
      <c r="B1388" s="5">
        <v>9</v>
      </c>
      <c r="C1388" s="32">
        <f>VLOOKUP(B1388,'area in m2'!B$2:C$10,2,FALSE)</f>
        <v>140</v>
      </c>
      <c r="D1388" s="5" t="s">
        <v>12</v>
      </c>
      <c r="E1388" s="6">
        <v>503.95221806653535</v>
      </c>
      <c r="F1388" s="33" t="str">
        <f t="shared" si="42"/>
        <v>Below 530</v>
      </c>
      <c r="G1388" s="33">
        <f t="shared" si="43"/>
        <v>529.14982896986214</v>
      </c>
      <c r="H1388" s="7">
        <v>0.02</v>
      </c>
      <c r="I1388" s="5" t="s">
        <v>14</v>
      </c>
      <c r="J1388" s="5">
        <v>37</v>
      </c>
      <c r="K1388" s="2"/>
      <c r="L1388" s="2"/>
      <c r="M1388" s="1"/>
    </row>
    <row r="1389" spans="1:13" ht="14.4" x14ac:dyDescent="0.3">
      <c r="A1389" s="14">
        <v>44715</v>
      </c>
      <c r="B1389" s="5">
        <v>1</v>
      </c>
      <c r="C1389" s="32">
        <f>VLOOKUP(B1389,'area in m2'!B$2:C$10,2,FALSE)</f>
        <v>280</v>
      </c>
      <c r="D1389" s="5" t="s">
        <v>11</v>
      </c>
      <c r="E1389" s="6">
        <v>540.38269253837188</v>
      </c>
      <c r="F1389" s="33" t="str">
        <f t="shared" si="42"/>
        <v>Over 530</v>
      </c>
      <c r="G1389" s="33">
        <f t="shared" si="43"/>
        <v>567.40182716529046</v>
      </c>
      <c r="H1389" s="7">
        <v>0.02</v>
      </c>
      <c r="I1389" s="5" t="s">
        <v>14</v>
      </c>
      <c r="J1389" s="5">
        <v>55</v>
      </c>
      <c r="K1389" s="2"/>
      <c r="L1389" s="2"/>
      <c r="M1389" s="1"/>
    </row>
    <row r="1390" spans="1:13" ht="14.4" x14ac:dyDescent="0.3">
      <c r="A1390" s="14">
        <v>44617</v>
      </c>
      <c r="B1390" s="5">
        <v>3</v>
      </c>
      <c r="C1390" s="32">
        <f>VLOOKUP(B1390,'area in m2'!B$2:C$10,2,FALSE)</f>
        <v>195</v>
      </c>
      <c r="D1390" s="5" t="s">
        <v>11</v>
      </c>
      <c r="E1390" s="6">
        <v>515.9140845076663</v>
      </c>
      <c r="F1390" s="33" t="str">
        <f t="shared" si="42"/>
        <v>Below 530</v>
      </c>
      <c r="G1390" s="33">
        <f t="shared" si="43"/>
        <v>541.70978873304966</v>
      </c>
      <c r="H1390" s="7">
        <v>0.01</v>
      </c>
      <c r="I1390" s="5" t="s">
        <v>15</v>
      </c>
      <c r="J1390" s="5">
        <v>26</v>
      </c>
      <c r="K1390" s="2"/>
      <c r="L1390" s="2"/>
      <c r="M1390" s="1"/>
    </row>
    <row r="1391" spans="1:13" ht="14.4" x14ac:dyDescent="0.3">
      <c r="A1391" s="14">
        <v>44685</v>
      </c>
      <c r="B1391" s="5">
        <v>7</v>
      </c>
      <c r="C1391" s="32">
        <f>VLOOKUP(B1391,'area in m2'!B$2:C$10,2,FALSE)</f>
        <v>166</v>
      </c>
      <c r="D1391" s="5" t="s">
        <v>12</v>
      </c>
      <c r="E1391" s="6">
        <v>548.99480499796846</v>
      </c>
      <c r="F1391" s="33" t="str">
        <f t="shared" si="42"/>
        <v>Over 530</v>
      </c>
      <c r="G1391" s="33">
        <f t="shared" si="43"/>
        <v>576.44454524786693</v>
      </c>
      <c r="H1391" s="7">
        <v>0</v>
      </c>
      <c r="I1391" s="5" t="s">
        <v>14</v>
      </c>
      <c r="J1391" s="5">
        <v>33</v>
      </c>
      <c r="K1391" s="2"/>
      <c r="L1391" s="2"/>
      <c r="M1391" s="1"/>
    </row>
    <row r="1392" spans="1:13" ht="14.4" x14ac:dyDescent="0.3">
      <c r="A1392" s="14">
        <v>44565</v>
      </c>
      <c r="B1392" s="5">
        <v>8</v>
      </c>
      <c r="C1392" s="32">
        <f>VLOOKUP(B1392,'area in m2'!B$2:C$10,2,FALSE)</f>
        <v>142</v>
      </c>
      <c r="D1392" s="5" t="s">
        <v>12</v>
      </c>
      <c r="E1392" s="6">
        <v>543.97888533228252</v>
      </c>
      <c r="F1392" s="33" t="str">
        <f t="shared" si="42"/>
        <v>Over 530</v>
      </c>
      <c r="G1392" s="33">
        <f t="shared" si="43"/>
        <v>571.17782959889666</v>
      </c>
      <c r="H1392" s="7">
        <v>0</v>
      </c>
      <c r="I1392" s="5" t="s">
        <v>14</v>
      </c>
      <c r="J1392" s="5">
        <v>31</v>
      </c>
      <c r="K1392" s="2"/>
      <c r="L1392" s="2"/>
      <c r="M1392" s="1"/>
    </row>
    <row r="1393" spans="1:13" ht="14.4" x14ac:dyDescent="0.3">
      <c r="A1393" s="14">
        <v>44698</v>
      </c>
      <c r="B1393" s="5">
        <v>4</v>
      </c>
      <c r="C1393" s="32">
        <f>VLOOKUP(B1393,'area in m2'!B$2:C$10,2,FALSE)</f>
        <v>188</v>
      </c>
      <c r="D1393" s="5" t="s">
        <v>11</v>
      </c>
      <c r="E1393" s="6">
        <v>512.60733704098493</v>
      </c>
      <c r="F1393" s="33" t="str">
        <f t="shared" si="42"/>
        <v>Below 530</v>
      </c>
      <c r="G1393" s="33">
        <f t="shared" si="43"/>
        <v>538.23770389303422</v>
      </c>
      <c r="H1393" s="7">
        <v>0</v>
      </c>
      <c r="I1393" s="5" t="s">
        <v>14</v>
      </c>
      <c r="J1393" s="5">
        <v>29</v>
      </c>
      <c r="K1393" s="2"/>
      <c r="L1393" s="2"/>
      <c r="M1393" s="1"/>
    </row>
    <row r="1394" spans="1:13" ht="14.4" x14ac:dyDescent="0.3">
      <c r="A1394" s="14">
        <v>44632</v>
      </c>
      <c r="B1394" s="5">
        <v>8</v>
      </c>
      <c r="C1394" s="32">
        <f>VLOOKUP(B1394,'area in m2'!B$2:C$10,2,FALSE)</f>
        <v>142</v>
      </c>
      <c r="D1394" s="5" t="s">
        <v>12</v>
      </c>
      <c r="E1394" s="6">
        <v>535.14531357519172</v>
      </c>
      <c r="F1394" s="33" t="str">
        <f t="shared" si="42"/>
        <v>Over 530</v>
      </c>
      <c r="G1394" s="33">
        <f t="shared" si="43"/>
        <v>561.90257925395133</v>
      </c>
      <c r="H1394" s="7">
        <v>0.01</v>
      </c>
      <c r="I1394" s="5" t="s">
        <v>14</v>
      </c>
      <c r="J1394" s="5">
        <v>36</v>
      </c>
      <c r="K1394" s="2"/>
      <c r="L1394" s="2"/>
      <c r="M1394" s="1"/>
    </row>
    <row r="1395" spans="1:13" ht="14.4" x14ac:dyDescent="0.3">
      <c r="A1395" s="14">
        <v>44906</v>
      </c>
      <c r="B1395" s="5">
        <v>2</v>
      </c>
      <c r="C1395" s="32">
        <f>VLOOKUP(B1395,'area in m2'!B$2:C$10,2,FALSE)</f>
        <v>250</v>
      </c>
      <c r="D1395" s="5" t="s">
        <v>11</v>
      </c>
      <c r="E1395" s="6">
        <v>530.43193915802385</v>
      </c>
      <c r="F1395" s="33" t="str">
        <f t="shared" si="42"/>
        <v>Over 530</v>
      </c>
      <c r="G1395" s="33">
        <f t="shared" si="43"/>
        <v>556.95353611592509</v>
      </c>
      <c r="H1395" s="7">
        <v>0.01</v>
      </c>
      <c r="I1395" s="5" t="s">
        <v>14</v>
      </c>
      <c r="J1395" s="5">
        <v>37</v>
      </c>
      <c r="K1395" s="2"/>
      <c r="L1395" s="2"/>
      <c r="M1395" s="1"/>
    </row>
    <row r="1396" spans="1:13" ht="14.4" x14ac:dyDescent="0.3">
      <c r="A1396" s="14">
        <v>44766</v>
      </c>
      <c r="B1396" s="5">
        <v>8</v>
      </c>
      <c r="C1396" s="32">
        <f>VLOOKUP(B1396,'area in m2'!B$2:C$10,2,FALSE)</f>
        <v>142</v>
      </c>
      <c r="D1396" s="5" t="s">
        <v>11</v>
      </c>
      <c r="E1396" s="6">
        <v>537.70526138790319</v>
      </c>
      <c r="F1396" s="33" t="str">
        <f t="shared" si="42"/>
        <v>Over 530</v>
      </c>
      <c r="G1396" s="33">
        <f t="shared" si="43"/>
        <v>564.59052445729833</v>
      </c>
      <c r="H1396" s="7">
        <v>0.03</v>
      </c>
      <c r="I1396" s="5" t="s">
        <v>14</v>
      </c>
      <c r="J1396" s="5">
        <v>33</v>
      </c>
      <c r="K1396" s="2"/>
      <c r="L1396" s="2"/>
      <c r="M1396" s="1"/>
    </row>
    <row r="1397" spans="1:13" ht="14.4" x14ac:dyDescent="0.3">
      <c r="A1397" s="14">
        <v>44763</v>
      </c>
      <c r="B1397" s="5">
        <v>4</v>
      </c>
      <c r="C1397" s="32">
        <f>VLOOKUP(B1397,'area in m2'!B$2:C$10,2,FALSE)</f>
        <v>188</v>
      </c>
      <c r="D1397" s="5" t="s">
        <v>11</v>
      </c>
      <c r="E1397" s="6">
        <v>540.00037201248233</v>
      </c>
      <c r="F1397" s="33" t="str">
        <f t="shared" si="42"/>
        <v>Over 530</v>
      </c>
      <c r="G1397" s="33">
        <f t="shared" si="43"/>
        <v>567.00039061310645</v>
      </c>
      <c r="H1397" s="7">
        <v>0.02</v>
      </c>
      <c r="I1397" s="5" t="s">
        <v>14</v>
      </c>
      <c r="J1397" s="5">
        <v>22</v>
      </c>
      <c r="K1397" s="2"/>
      <c r="L1397" s="2"/>
      <c r="M1397" s="1"/>
    </row>
    <row r="1398" spans="1:13" ht="14.4" x14ac:dyDescent="0.3">
      <c r="A1398" s="14">
        <v>44904</v>
      </c>
      <c r="B1398" s="5">
        <v>5</v>
      </c>
      <c r="C1398" s="32">
        <f>VLOOKUP(B1398,'area in m2'!B$2:C$10,2,FALSE)</f>
        <v>200</v>
      </c>
      <c r="D1398" s="5" t="s">
        <v>13</v>
      </c>
      <c r="E1398" s="6">
        <v>530.53822941963608</v>
      </c>
      <c r="F1398" s="33" t="str">
        <f t="shared" si="42"/>
        <v>Over 530</v>
      </c>
      <c r="G1398" s="33">
        <f t="shared" si="43"/>
        <v>557.06514089061795</v>
      </c>
      <c r="H1398" s="7">
        <v>0</v>
      </c>
      <c r="I1398" s="5" t="s">
        <v>14</v>
      </c>
      <c r="J1398" s="5">
        <v>26</v>
      </c>
      <c r="K1398" s="2"/>
      <c r="L1398" s="2"/>
      <c r="M1398" s="1"/>
    </row>
    <row r="1399" spans="1:13" ht="14.4" x14ac:dyDescent="0.3">
      <c r="A1399" s="14">
        <v>44612</v>
      </c>
      <c r="B1399" s="5">
        <v>9</v>
      </c>
      <c r="C1399" s="32">
        <f>VLOOKUP(B1399,'area in m2'!B$2:C$10,2,FALSE)</f>
        <v>140</v>
      </c>
      <c r="D1399" s="5" t="s">
        <v>12</v>
      </c>
      <c r="E1399" s="6">
        <v>533.43559618042491</v>
      </c>
      <c r="F1399" s="33" t="str">
        <f t="shared" si="42"/>
        <v>Over 530</v>
      </c>
      <c r="G1399" s="33">
        <f t="shared" si="43"/>
        <v>560.10737598944615</v>
      </c>
      <c r="H1399" s="7">
        <v>0.01</v>
      </c>
      <c r="I1399" s="5" t="s">
        <v>14</v>
      </c>
      <c r="J1399" s="5">
        <v>33</v>
      </c>
      <c r="K1399" s="2"/>
      <c r="L1399" s="2"/>
      <c r="M1399" s="1"/>
    </row>
    <row r="1400" spans="1:13" ht="14.4" x14ac:dyDescent="0.3">
      <c r="A1400" s="14">
        <v>44717</v>
      </c>
      <c r="B1400" s="5">
        <v>2</v>
      </c>
      <c r="C1400" s="32">
        <f>VLOOKUP(B1400,'area in m2'!B$2:C$10,2,FALSE)</f>
        <v>250</v>
      </c>
      <c r="D1400" s="5" t="s">
        <v>11</v>
      </c>
      <c r="E1400" s="6">
        <v>518.03749972583319</v>
      </c>
      <c r="F1400" s="33" t="str">
        <f t="shared" si="42"/>
        <v>Below 530</v>
      </c>
      <c r="G1400" s="33">
        <f t="shared" si="43"/>
        <v>543.93937471212485</v>
      </c>
      <c r="H1400" s="7">
        <v>0.01</v>
      </c>
      <c r="I1400" s="5" t="s">
        <v>14</v>
      </c>
      <c r="J1400" s="5">
        <v>50</v>
      </c>
      <c r="K1400" s="2"/>
      <c r="L1400" s="2"/>
      <c r="M1400" s="1"/>
    </row>
    <row r="1401" spans="1:13" ht="14.4" x14ac:dyDescent="0.3">
      <c r="A1401" s="14">
        <v>44813</v>
      </c>
      <c r="B1401" s="5">
        <v>4</v>
      </c>
      <c r="C1401" s="32">
        <f>VLOOKUP(B1401,'area in m2'!B$2:C$10,2,FALSE)</f>
        <v>188</v>
      </c>
      <c r="D1401" s="5" t="s">
        <v>11</v>
      </c>
      <c r="E1401" s="6">
        <v>531.02098076643779</v>
      </c>
      <c r="F1401" s="33" t="str">
        <f t="shared" si="42"/>
        <v>Over 530</v>
      </c>
      <c r="G1401" s="33">
        <f t="shared" si="43"/>
        <v>557.57202980475972</v>
      </c>
      <c r="H1401" s="7">
        <v>0.02</v>
      </c>
      <c r="I1401" s="5" t="s">
        <v>15</v>
      </c>
      <c r="J1401" s="5">
        <v>44</v>
      </c>
      <c r="K1401" s="2"/>
      <c r="L1401" s="2"/>
      <c r="M1401" s="1"/>
    </row>
    <row r="1402" spans="1:13" ht="14.4" x14ac:dyDescent="0.3">
      <c r="A1402" s="14">
        <v>44918</v>
      </c>
      <c r="B1402" s="5">
        <v>9</v>
      </c>
      <c r="C1402" s="32">
        <f>VLOOKUP(B1402,'area in m2'!B$2:C$10,2,FALSE)</f>
        <v>140</v>
      </c>
      <c r="D1402" s="5" t="s">
        <v>12</v>
      </c>
      <c r="E1402" s="6">
        <v>517.82394612619373</v>
      </c>
      <c r="F1402" s="33" t="str">
        <f t="shared" si="42"/>
        <v>Below 530</v>
      </c>
      <c r="G1402" s="33">
        <f t="shared" si="43"/>
        <v>543.7151434325034</v>
      </c>
      <c r="H1402" s="7">
        <v>0</v>
      </c>
      <c r="I1402" s="5" t="s">
        <v>14</v>
      </c>
      <c r="J1402" s="5">
        <v>48</v>
      </c>
      <c r="K1402" s="2"/>
      <c r="L1402" s="2"/>
      <c r="M1402" s="1"/>
    </row>
    <row r="1403" spans="1:13" ht="14.4" x14ac:dyDescent="0.3">
      <c r="A1403" s="14">
        <v>44649</v>
      </c>
      <c r="B1403" s="5">
        <v>1</v>
      </c>
      <c r="C1403" s="32">
        <f>VLOOKUP(B1403,'area in m2'!B$2:C$10,2,FALSE)</f>
        <v>280</v>
      </c>
      <c r="D1403" s="5" t="s">
        <v>11</v>
      </c>
      <c r="E1403" s="6">
        <v>512.93190420934206</v>
      </c>
      <c r="F1403" s="33" t="str">
        <f t="shared" si="42"/>
        <v>Below 530</v>
      </c>
      <c r="G1403" s="33">
        <f t="shared" si="43"/>
        <v>538.57849941980919</v>
      </c>
      <c r="H1403" s="7">
        <v>0.03</v>
      </c>
      <c r="I1403" s="5" t="s">
        <v>14</v>
      </c>
      <c r="J1403" s="5">
        <v>50</v>
      </c>
      <c r="K1403" s="2"/>
      <c r="L1403" s="2"/>
      <c r="M1403" s="1"/>
    </row>
    <row r="1404" spans="1:13" ht="14.4" x14ac:dyDescent="0.3">
      <c r="A1404" s="14">
        <v>44575</v>
      </c>
      <c r="B1404" s="5">
        <v>3</v>
      </c>
      <c r="C1404" s="32">
        <f>VLOOKUP(B1404,'area in m2'!B$2:C$10,2,FALSE)</f>
        <v>195</v>
      </c>
      <c r="D1404" s="5" t="s">
        <v>11</v>
      </c>
      <c r="E1404" s="6">
        <v>532.13560160241286</v>
      </c>
      <c r="F1404" s="33" t="str">
        <f t="shared" si="42"/>
        <v>Over 530</v>
      </c>
      <c r="G1404" s="33">
        <f t="shared" si="43"/>
        <v>558.74238168253351</v>
      </c>
      <c r="H1404" s="7">
        <v>0</v>
      </c>
      <c r="I1404" s="5" t="s">
        <v>14</v>
      </c>
      <c r="J1404" s="5">
        <v>41</v>
      </c>
      <c r="K1404" s="2"/>
      <c r="L1404" s="2"/>
      <c r="M1404" s="1"/>
    </row>
    <row r="1405" spans="1:13" ht="14.4" x14ac:dyDescent="0.3">
      <c r="A1405" s="14">
        <v>44785</v>
      </c>
      <c r="B1405" s="5">
        <v>8</v>
      </c>
      <c r="C1405" s="32">
        <f>VLOOKUP(B1405,'area in m2'!B$2:C$10,2,FALSE)</f>
        <v>142</v>
      </c>
      <c r="D1405" s="5" t="s">
        <v>12</v>
      </c>
      <c r="E1405" s="6">
        <v>547.17135527625214</v>
      </c>
      <c r="F1405" s="33" t="str">
        <f t="shared" si="42"/>
        <v>Over 530</v>
      </c>
      <c r="G1405" s="33">
        <f t="shared" si="43"/>
        <v>574.52992304006477</v>
      </c>
      <c r="H1405" s="7">
        <v>0.02</v>
      </c>
      <c r="I1405" s="5" t="s">
        <v>14</v>
      </c>
      <c r="J1405" s="5">
        <v>38</v>
      </c>
      <c r="K1405" s="2"/>
      <c r="L1405" s="2"/>
      <c r="M1405" s="1"/>
    </row>
    <row r="1406" spans="1:13" ht="14.4" x14ac:dyDescent="0.3">
      <c r="A1406" s="14">
        <v>44822</v>
      </c>
      <c r="B1406" s="5">
        <v>4</v>
      </c>
      <c r="C1406" s="32">
        <f>VLOOKUP(B1406,'area in m2'!B$2:C$10,2,FALSE)</f>
        <v>188</v>
      </c>
      <c r="D1406" s="5" t="s">
        <v>11</v>
      </c>
      <c r="E1406" s="6">
        <v>538.47166233288772</v>
      </c>
      <c r="F1406" s="33" t="str">
        <f t="shared" si="42"/>
        <v>Over 530</v>
      </c>
      <c r="G1406" s="33">
        <f t="shared" si="43"/>
        <v>565.39524544953213</v>
      </c>
      <c r="H1406" s="7">
        <v>0</v>
      </c>
      <c r="I1406" s="5" t="s">
        <v>14</v>
      </c>
      <c r="J1406" s="5">
        <v>37</v>
      </c>
      <c r="K1406" s="2"/>
      <c r="L1406" s="2"/>
      <c r="M1406" s="1"/>
    </row>
    <row r="1407" spans="1:13" ht="14.4" x14ac:dyDescent="0.3">
      <c r="A1407" s="14">
        <v>44766</v>
      </c>
      <c r="B1407" s="5">
        <v>4</v>
      </c>
      <c r="C1407" s="32">
        <f>VLOOKUP(B1407,'area in m2'!B$2:C$10,2,FALSE)</f>
        <v>188</v>
      </c>
      <c r="D1407" s="5" t="s">
        <v>11</v>
      </c>
      <c r="E1407" s="6">
        <v>518.23415516750447</v>
      </c>
      <c r="F1407" s="33" t="str">
        <f t="shared" si="42"/>
        <v>Below 530</v>
      </c>
      <c r="G1407" s="33">
        <f t="shared" si="43"/>
        <v>544.14586292587967</v>
      </c>
      <c r="H1407" s="7">
        <v>0.02</v>
      </c>
      <c r="I1407" s="5" t="s">
        <v>14</v>
      </c>
      <c r="J1407" s="5">
        <v>27</v>
      </c>
      <c r="K1407" s="2"/>
      <c r="L1407" s="2"/>
      <c r="M1407" s="1"/>
    </row>
    <row r="1408" spans="1:13" ht="14.4" x14ac:dyDescent="0.3">
      <c r="A1408" s="14">
        <v>44829</v>
      </c>
      <c r="B1408" s="5">
        <v>6</v>
      </c>
      <c r="C1408" s="32">
        <f>VLOOKUP(B1408,'area in m2'!B$2:C$10,2,FALSE)</f>
        <v>175</v>
      </c>
      <c r="D1408" s="5" t="s">
        <v>13</v>
      </c>
      <c r="E1408" s="6">
        <v>507.89616855035911</v>
      </c>
      <c r="F1408" s="33" t="str">
        <f t="shared" si="42"/>
        <v>Below 530</v>
      </c>
      <c r="G1408" s="33">
        <f t="shared" si="43"/>
        <v>533.29097697787711</v>
      </c>
      <c r="H1408" s="7">
        <v>0.03</v>
      </c>
      <c r="I1408" s="5" t="s">
        <v>14</v>
      </c>
      <c r="J1408" s="5">
        <v>23</v>
      </c>
      <c r="K1408" s="2"/>
      <c r="L1408" s="2"/>
      <c r="M1408" s="1"/>
    </row>
    <row r="1409" spans="1:13" ht="14.4" x14ac:dyDescent="0.3">
      <c r="A1409" s="14">
        <v>44781</v>
      </c>
      <c r="B1409" s="5">
        <v>4</v>
      </c>
      <c r="C1409" s="32">
        <f>VLOOKUP(B1409,'area in m2'!B$2:C$10,2,FALSE)</f>
        <v>188</v>
      </c>
      <c r="D1409" s="5" t="s">
        <v>11</v>
      </c>
      <c r="E1409" s="6">
        <v>527.56094386098175</v>
      </c>
      <c r="F1409" s="33" t="str">
        <f t="shared" si="42"/>
        <v>Below 530</v>
      </c>
      <c r="G1409" s="33">
        <f t="shared" si="43"/>
        <v>553.93899105403091</v>
      </c>
      <c r="H1409" s="7">
        <v>0</v>
      </c>
      <c r="I1409" s="5" t="s">
        <v>14</v>
      </c>
      <c r="J1409" s="5">
        <v>28</v>
      </c>
      <c r="K1409" s="2"/>
      <c r="L1409" s="2"/>
      <c r="M1409" s="1"/>
    </row>
    <row r="1410" spans="1:13" ht="14.4" x14ac:dyDescent="0.3">
      <c r="A1410" s="14">
        <v>44782</v>
      </c>
      <c r="B1410" s="5">
        <v>7</v>
      </c>
      <c r="C1410" s="32">
        <f>VLOOKUP(B1410,'area in m2'!B$2:C$10,2,FALSE)</f>
        <v>166</v>
      </c>
      <c r="D1410" s="5" t="s">
        <v>12</v>
      </c>
      <c r="E1410" s="6">
        <v>533.6173100519045</v>
      </c>
      <c r="F1410" s="33" t="str">
        <f t="shared" si="42"/>
        <v>Over 530</v>
      </c>
      <c r="G1410" s="33">
        <f t="shared" si="43"/>
        <v>560.29817555449972</v>
      </c>
      <c r="H1410" s="7">
        <v>0</v>
      </c>
      <c r="I1410" s="5" t="s">
        <v>14</v>
      </c>
      <c r="J1410" s="5">
        <v>48</v>
      </c>
      <c r="K1410" s="2"/>
      <c r="L1410" s="2"/>
      <c r="M1410" s="1"/>
    </row>
    <row r="1411" spans="1:13" ht="14.4" x14ac:dyDescent="0.3">
      <c r="A1411" s="14">
        <v>44621</v>
      </c>
      <c r="B1411" s="5">
        <v>1</v>
      </c>
      <c r="C1411" s="32">
        <f>VLOOKUP(B1411,'area in m2'!B$2:C$10,2,FALSE)</f>
        <v>280</v>
      </c>
      <c r="D1411" s="5" t="s">
        <v>11</v>
      </c>
      <c r="E1411" s="6">
        <v>522.21487102472474</v>
      </c>
      <c r="F1411" s="33" t="str">
        <f t="shared" si="42"/>
        <v>Below 530</v>
      </c>
      <c r="G1411" s="33">
        <f t="shared" si="43"/>
        <v>548.32561457596103</v>
      </c>
      <c r="H1411" s="7">
        <v>0</v>
      </c>
      <c r="I1411" s="5" t="s">
        <v>14</v>
      </c>
      <c r="J1411" s="5">
        <v>23</v>
      </c>
      <c r="K1411" s="2"/>
      <c r="L1411" s="2"/>
      <c r="M1411" s="1"/>
    </row>
    <row r="1412" spans="1:13" ht="14.4" x14ac:dyDescent="0.3">
      <c r="A1412" s="14">
        <v>44828</v>
      </c>
      <c r="B1412" s="5">
        <v>6</v>
      </c>
      <c r="C1412" s="32">
        <f>VLOOKUP(B1412,'area in m2'!B$2:C$10,2,FALSE)</f>
        <v>175</v>
      </c>
      <c r="D1412" s="5" t="s">
        <v>13</v>
      </c>
      <c r="E1412" s="6">
        <v>518.12792139665635</v>
      </c>
      <c r="F1412" s="33" t="str">
        <f t="shared" si="42"/>
        <v>Below 530</v>
      </c>
      <c r="G1412" s="33">
        <f t="shared" si="43"/>
        <v>544.03431746648914</v>
      </c>
      <c r="H1412" s="7">
        <v>0.02</v>
      </c>
      <c r="I1412" s="5" t="s">
        <v>14</v>
      </c>
      <c r="J1412" s="5">
        <v>35</v>
      </c>
      <c r="K1412" s="2"/>
      <c r="L1412" s="2"/>
      <c r="M1412" s="1"/>
    </row>
    <row r="1413" spans="1:13" ht="14.4" x14ac:dyDescent="0.3">
      <c r="A1413" s="14">
        <v>44779</v>
      </c>
      <c r="B1413" s="5">
        <v>6</v>
      </c>
      <c r="C1413" s="32">
        <f>VLOOKUP(B1413,'area in m2'!B$2:C$10,2,FALSE)</f>
        <v>175</v>
      </c>
      <c r="D1413" s="5" t="s">
        <v>13</v>
      </c>
      <c r="E1413" s="6">
        <v>517.28003981994971</v>
      </c>
      <c r="F1413" s="33" t="str">
        <f t="shared" ref="F1413:F1476" si="44">IF(E1413&gt;530,"Over 530","Below 530")</f>
        <v>Below 530</v>
      </c>
      <c r="G1413" s="33">
        <f t="shared" ref="G1413:G1476" si="45">+E1413*1.05</f>
        <v>543.14404181094721</v>
      </c>
      <c r="H1413" s="7">
        <v>0.03</v>
      </c>
      <c r="I1413" s="5" t="s">
        <v>15</v>
      </c>
      <c r="J1413" s="5">
        <v>59</v>
      </c>
      <c r="K1413" s="2"/>
      <c r="L1413" s="2"/>
      <c r="M1413" s="1"/>
    </row>
    <row r="1414" spans="1:13" ht="14.4" x14ac:dyDescent="0.3">
      <c r="A1414" s="14">
        <v>44844</v>
      </c>
      <c r="B1414" s="5">
        <v>1</v>
      </c>
      <c r="C1414" s="32">
        <f>VLOOKUP(B1414,'area in m2'!B$2:C$10,2,FALSE)</f>
        <v>280</v>
      </c>
      <c r="D1414" s="5" t="s">
        <v>11</v>
      </c>
      <c r="E1414" s="6">
        <v>509.77262472194434</v>
      </c>
      <c r="F1414" s="33" t="str">
        <f t="shared" si="44"/>
        <v>Below 530</v>
      </c>
      <c r="G1414" s="33">
        <f t="shared" si="45"/>
        <v>535.2612559580416</v>
      </c>
      <c r="H1414" s="7">
        <v>0.03</v>
      </c>
      <c r="I1414" s="5" t="s">
        <v>14</v>
      </c>
      <c r="J1414" s="5">
        <v>35</v>
      </c>
      <c r="K1414" s="2"/>
      <c r="L1414" s="2"/>
      <c r="M1414" s="1"/>
    </row>
    <row r="1415" spans="1:13" ht="14.4" x14ac:dyDescent="0.3">
      <c r="A1415" s="14">
        <v>44805</v>
      </c>
      <c r="B1415" s="5">
        <v>8</v>
      </c>
      <c r="C1415" s="32">
        <f>VLOOKUP(B1415,'area in m2'!B$2:C$10,2,FALSE)</f>
        <v>142</v>
      </c>
      <c r="D1415" s="5" t="s">
        <v>12</v>
      </c>
      <c r="E1415" s="6">
        <v>542.05565509041844</v>
      </c>
      <c r="F1415" s="33" t="str">
        <f t="shared" si="44"/>
        <v>Over 530</v>
      </c>
      <c r="G1415" s="33">
        <f t="shared" si="45"/>
        <v>569.15843784493939</v>
      </c>
      <c r="H1415" s="7">
        <v>0.03</v>
      </c>
      <c r="I1415" s="5" t="s">
        <v>15</v>
      </c>
      <c r="J1415" s="5">
        <v>42</v>
      </c>
      <c r="K1415" s="2"/>
      <c r="L1415" s="2"/>
      <c r="M1415" s="1"/>
    </row>
    <row r="1416" spans="1:13" ht="14.4" x14ac:dyDescent="0.3">
      <c r="A1416" s="14">
        <v>44854</v>
      </c>
      <c r="B1416" s="5">
        <v>4</v>
      </c>
      <c r="C1416" s="32">
        <f>VLOOKUP(B1416,'area in m2'!B$2:C$10,2,FALSE)</f>
        <v>188</v>
      </c>
      <c r="D1416" s="5" t="s">
        <v>11</v>
      </c>
      <c r="E1416" s="6">
        <v>540.19603015936627</v>
      </c>
      <c r="F1416" s="33" t="str">
        <f t="shared" si="44"/>
        <v>Over 530</v>
      </c>
      <c r="G1416" s="33">
        <f t="shared" si="45"/>
        <v>567.20583166733456</v>
      </c>
      <c r="H1416" s="7">
        <v>0.01</v>
      </c>
      <c r="I1416" s="5" t="s">
        <v>14</v>
      </c>
      <c r="J1416" s="5">
        <v>35</v>
      </c>
      <c r="K1416" s="2"/>
      <c r="L1416" s="2"/>
      <c r="M1416" s="1"/>
    </row>
    <row r="1417" spans="1:13" ht="14.4" x14ac:dyDescent="0.3">
      <c r="A1417" s="14">
        <v>44601</v>
      </c>
      <c r="B1417" s="5">
        <v>2</v>
      </c>
      <c r="C1417" s="32">
        <f>VLOOKUP(B1417,'area in m2'!B$2:C$10,2,FALSE)</f>
        <v>250</v>
      </c>
      <c r="D1417" s="5" t="s">
        <v>11</v>
      </c>
      <c r="E1417" s="6">
        <v>543.09935251896604</v>
      </c>
      <c r="F1417" s="33" t="str">
        <f t="shared" si="44"/>
        <v>Over 530</v>
      </c>
      <c r="G1417" s="33">
        <f t="shared" si="45"/>
        <v>570.25432014491435</v>
      </c>
      <c r="H1417" s="7">
        <v>0.01</v>
      </c>
      <c r="I1417" s="5" t="s">
        <v>14</v>
      </c>
      <c r="J1417" s="5">
        <v>37</v>
      </c>
      <c r="K1417" s="2"/>
      <c r="L1417" s="2"/>
      <c r="M1417" s="1"/>
    </row>
    <row r="1418" spans="1:13" ht="14.4" x14ac:dyDescent="0.3">
      <c r="A1418" s="14">
        <v>44854</v>
      </c>
      <c r="B1418" s="5">
        <v>6</v>
      </c>
      <c r="C1418" s="32">
        <f>VLOOKUP(B1418,'area in m2'!B$2:C$10,2,FALSE)</f>
        <v>175</v>
      </c>
      <c r="D1418" s="5" t="s">
        <v>13</v>
      </c>
      <c r="E1418" s="6">
        <v>508.549883709803</v>
      </c>
      <c r="F1418" s="33" t="str">
        <f t="shared" si="44"/>
        <v>Below 530</v>
      </c>
      <c r="G1418" s="33">
        <f t="shared" si="45"/>
        <v>533.97737789529322</v>
      </c>
      <c r="H1418" s="7">
        <v>0.01</v>
      </c>
      <c r="I1418" s="5" t="s">
        <v>14</v>
      </c>
      <c r="J1418" s="5">
        <v>32</v>
      </c>
      <c r="K1418" s="2"/>
      <c r="L1418" s="2"/>
      <c r="M1418" s="1"/>
    </row>
    <row r="1419" spans="1:13" ht="14.4" x14ac:dyDescent="0.3">
      <c r="A1419" s="14">
        <v>44891</v>
      </c>
      <c r="B1419" s="5">
        <v>7</v>
      </c>
      <c r="C1419" s="32">
        <f>VLOOKUP(B1419,'area in m2'!B$2:C$10,2,FALSE)</f>
        <v>166</v>
      </c>
      <c r="D1419" s="5" t="s">
        <v>12</v>
      </c>
      <c r="E1419" s="6">
        <v>529.66445974388898</v>
      </c>
      <c r="F1419" s="33" t="str">
        <f t="shared" si="44"/>
        <v>Below 530</v>
      </c>
      <c r="G1419" s="33">
        <f t="shared" si="45"/>
        <v>556.14768273108348</v>
      </c>
      <c r="H1419" s="7">
        <v>0.02</v>
      </c>
      <c r="I1419" s="5" t="s">
        <v>15</v>
      </c>
      <c r="J1419" s="5">
        <v>39</v>
      </c>
      <c r="K1419" s="2"/>
      <c r="L1419" s="2"/>
      <c r="M1419" s="1"/>
    </row>
    <row r="1420" spans="1:13" ht="14.4" x14ac:dyDescent="0.3">
      <c r="A1420" s="14">
        <v>44675</v>
      </c>
      <c r="B1420" s="5">
        <v>3</v>
      </c>
      <c r="C1420" s="32">
        <f>VLOOKUP(B1420,'area in m2'!B$2:C$10,2,FALSE)</f>
        <v>195</v>
      </c>
      <c r="D1420" s="5" t="s">
        <v>11</v>
      </c>
      <c r="E1420" s="6">
        <v>520.23722213385281</v>
      </c>
      <c r="F1420" s="33" t="str">
        <f t="shared" si="44"/>
        <v>Below 530</v>
      </c>
      <c r="G1420" s="33">
        <f t="shared" si="45"/>
        <v>546.24908324054547</v>
      </c>
      <c r="H1420" s="7">
        <v>0.01</v>
      </c>
      <c r="I1420" s="5" t="s">
        <v>15</v>
      </c>
      <c r="J1420" s="5">
        <v>43</v>
      </c>
      <c r="K1420" s="2"/>
      <c r="L1420" s="2"/>
      <c r="M1420" s="1"/>
    </row>
    <row r="1421" spans="1:13" ht="14.4" x14ac:dyDescent="0.3">
      <c r="A1421" s="14">
        <v>44908</v>
      </c>
      <c r="B1421" s="5">
        <v>9</v>
      </c>
      <c r="C1421" s="32">
        <f>VLOOKUP(B1421,'area in m2'!B$2:C$10,2,FALSE)</f>
        <v>140</v>
      </c>
      <c r="D1421" s="5" t="s">
        <v>12</v>
      </c>
      <c r="E1421" s="6">
        <v>528.9474696355519</v>
      </c>
      <c r="F1421" s="33" t="str">
        <f t="shared" si="44"/>
        <v>Below 530</v>
      </c>
      <c r="G1421" s="33">
        <f t="shared" si="45"/>
        <v>555.39484311732951</v>
      </c>
      <c r="H1421" s="7">
        <v>0.01</v>
      </c>
      <c r="I1421" s="5" t="s">
        <v>15</v>
      </c>
      <c r="J1421" s="5">
        <v>40</v>
      </c>
      <c r="K1421" s="2"/>
      <c r="L1421" s="2"/>
      <c r="M1421" s="1"/>
    </row>
    <row r="1422" spans="1:13" ht="14.4" x14ac:dyDescent="0.3">
      <c r="A1422" s="14">
        <v>44903</v>
      </c>
      <c r="B1422" s="5">
        <v>4</v>
      </c>
      <c r="C1422" s="32">
        <f>VLOOKUP(B1422,'area in m2'!B$2:C$10,2,FALSE)</f>
        <v>188</v>
      </c>
      <c r="D1422" s="5" t="s">
        <v>11</v>
      </c>
      <c r="E1422" s="6">
        <v>540.36770468104714</v>
      </c>
      <c r="F1422" s="33" t="str">
        <f t="shared" si="44"/>
        <v>Over 530</v>
      </c>
      <c r="G1422" s="33">
        <f t="shared" si="45"/>
        <v>567.38608991509955</v>
      </c>
      <c r="H1422" s="7">
        <v>0.03</v>
      </c>
      <c r="I1422" s="5" t="s">
        <v>14</v>
      </c>
      <c r="J1422" s="5">
        <v>58</v>
      </c>
      <c r="K1422" s="2"/>
      <c r="L1422" s="2"/>
      <c r="M1422" s="1"/>
    </row>
    <row r="1423" spans="1:13" ht="14.4" x14ac:dyDescent="0.3">
      <c r="A1423" s="14">
        <v>44645</v>
      </c>
      <c r="B1423" s="5">
        <v>6</v>
      </c>
      <c r="C1423" s="32">
        <f>VLOOKUP(B1423,'area in m2'!B$2:C$10,2,FALSE)</f>
        <v>175</v>
      </c>
      <c r="D1423" s="5" t="s">
        <v>13</v>
      </c>
      <c r="E1423" s="6">
        <v>511.58971524453682</v>
      </c>
      <c r="F1423" s="33" t="str">
        <f t="shared" si="44"/>
        <v>Below 530</v>
      </c>
      <c r="G1423" s="33">
        <f t="shared" si="45"/>
        <v>537.16920100676373</v>
      </c>
      <c r="H1423" s="7">
        <v>0.03</v>
      </c>
      <c r="I1423" s="5" t="s">
        <v>14</v>
      </c>
      <c r="J1423" s="5">
        <v>23</v>
      </c>
      <c r="K1423" s="2"/>
      <c r="L1423" s="2"/>
      <c r="M1423" s="1"/>
    </row>
    <row r="1424" spans="1:13" ht="14.4" x14ac:dyDescent="0.3">
      <c r="A1424" s="14">
        <v>44776</v>
      </c>
      <c r="B1424" s="5">
        <v>6</v>
      </c>
      <c r="C1424" s="32">
        <f>VLOOKUP(B1424,'area in m2'!B$2:C$10,2,FALSE)</f>
        <v>175</v>
      </c>
      <c r="D1424" s="5" t="s">
        <v>13</v>
      </c>
      <c r="E1424" s="6">
        <v>507.89616855035911</v>
      </c>
      <c r="F1424" s="33" t="str">
        <f t="shared" si="44"/>
        <v>Below 530</v>
      </c>
      <c r="G1424" s="33">
        <f t="shared" si="45"/>
        <v>533.29097697787711</v>
      </c>
      <c r="H1424" s="7">
        <v>0.01</v>
      </c>
      <c r="I1424" s="5" t="s">
        <v>15</v>
      </c>
      <c r="J1424" s="5">
        <v>49</v>
      </c>
      <c r="K1424" s="2"/>
      <c r="L1424" s="2"/>
      <c r="M1424" s="1"/>
    </row>
    <row r="1425" spans="1:13" ht="14.4" x14ac:dyDescent="0.3">
      <c r="A1425" s="14">
        <v>44909</v>
      </c>
      <c r="B1425" s="5">
        <v>8</v>
      </c>
      <c r="C1425" s="32">
        <f>VLOOKUP(B1425,'area in m2'!B$2:C$10,2,FALSE)</f>
        <v>142</v>
      </c>
      <c r="D1425" s="5" t="s">
        <v>12</v>
      </c>
      <c r="E1425" s="6">
        <v>513.39846292127822</v>
      </c>
      <c r="F1425" s="33" t="str">
        <f t="shared" si="44"/>
        <v>Below 530</v>
      </c>
      <c r="G1425" s="33">
        <f t="shared" si="45"/>
        <v>539.0683860673422</v>
      </c>
      <c r="H1425" s="7">
        <v>0</v>
      </c>
      <c r="I1425" s="5" t="s">
        <v>15</v>
      </c>
      <c r="J1425" s="5">
        <v>31</v>
      </c>
      <c r="K1425" s="2"/>
      <c r="L1425" s="2"/>
      <c r="M1425" s="1"/>
    </row>
    <row r="1426" spans="1:13" ht="14.4" x14ac:dyDescent="0.3">
      <c r="A1426" s="14">
        <v>44657</v>
      </c>
      <c r="B1426" s="5">
        <v>8</v>
      </c>
      <c r="C1426" s="32">
        <f>VLOOKUP(B1426,'area in m2'!B$2:C$10,2,FALSE)</f>
        <v>142</v>
      </c>
      <c r="D1426" s="5" t="s">
        <v>12</v>
      </c>
      <c r="E1426" s="6">
        <v>523.84756802876382</v>
      </c>
      <c r="F1426" s="33" t="str">
        <f t="shared" si="44"/>
        <v>Below 530</v>
      </c>
      <c r="G1426" s="33">
        <f t="shared" si="45"/>
        <v>550.03994643020201</v>
      </c>
      <c r="H1426" s="7">
        <v>0</v>
      </c>
      <c r="I1426" s="5" t="s">
        <v>14</v>
      </c>
      <c r="J1426" s="5">
        <v>47</v>
      </c>
      <c r="K1426" s="2"/>
      <c r="L1426" s="2"/>
      <c r="M1426" s="1"/>
    </row>
    <row r="1427" spans="1:13" ht="14.4" x14ac:dyDescent="0.3">
      <c r="A1427" s="14">
        <v>44739</v>
      </c>
      <c r="B1427" s="5">
        <v>7</v>
      </c>
      <c r="C1427" s="32">
        <f>VLOOKUP(B1427,'area in m2'!B$2:C$10,2,FALSE)</f>
        <v>166</v>
      </c>
      <c r="D1427" s="5" t="s">
        <v>12</v>
      </c>
      <c r="E1427" s="6">
        <v>529.95554961448852</v>
      </c>
      <c r="F1427" s="33" t="str">
        <f t="shared" si="44"/>
        <v>Below 530</v>
      </c>
      <c r="G1427" s="33">
        <f t="shared" si="45"/>
        <v>556.45332709521301</v>
      </c>
      <c r="H1427" s="7">
        <v>0.03</v>
      </c>
      <c r="I1427" s="5" t="s">
        <v>14</v>
      </c>
      <c r="J1427" s="5">
        <v>32</v>
      </c>
      <c r="K1427" s="2"/>
      <c r="L1427" s="2"/>
      <c r="M1427" s="1"/>
    </row>
    <row r="1428" spans="1:13" ht="14.4" x14ac:dyDescent="0.3">
      <c r="A1428" s="14">
        <v>44807</v>
      </c>
      <c r="B1428" s="5">
        <v>2</v>
      </c>
      <c r="C1428" s="32">
        <f>VLOOKUP(B1428,'area in m2'!B$2:C$10,2,FALSE)</f>
        <v>250</v>
      </c>
      <c r="D1428" s="5" t="s">
        <v>11</v>
      </c>
      <c r="E1428" s="6">
        <v>508.72788733195011</v>
      </c>
      <c r="F1428" s="33" t="str">
        <f t="shared" si="44"/>
        <v>Below 530</v>
      </c>
      <c r="G1428" s="33">
        <f t="shared" si="45"/>
        <v>534.1642816985476</v>
      </c>
      <c r="H1428" s="7">
        <v>0</v>
      </c>
      <c r="I1428" s="5" t="s">
        <v>14</v>
      </c>
      <c r="J1428" s="5">
        <v>32</v>
      </c>
      <c r="K1428" s="2"/>
      <c r="L1428" s="2"/>
      <c r="M1428" s="1"/>
    </row>
    <row r="1429" spans="1:13" ht="14.4" x14ac:dyDescent="0.3">
      <c r="A1429" s="14">
        <v>44698</v>
      </c>
      <c r="B1429" s="5">
        <v>7</v>
      </c>
      <c r="C1429" s="32">
        <f>VLOOKUP(B1429,'area in m2'!B$2:C$10,2,FALSE)</f>
        <v>166</v>
      </c>
      <c r="D1429" s="5" t="s">
        <v>12</v>
      </c>
      <c r="E1429" s="6">
        <v>549.61432390283153</v>
      </c>
      <c r="F1429" s="33" t="str">
        <f t="shared" si="44"/>
        <v>Over 530</v>
      </c>
      <c r="G1429" s="33">
        <f t="shared" si="45"/>
        <v>577.09504009797308</v>
      </c>
      <c r="H1429" s="7">
        <v>0</v>
      </c>
      <c r="I1429" s="5" t="s">
        <v>14</v>
      </c>
      <c r="J1429" s="5">
        <v>31</v>
      </c>
      <c r="K1429" s="2"/>
      <c r="L1429" s="2"/>
      <c r="M1429" s="1"/>
    </row>
    <row r="1430" spans="1:13" ht="14.4" x14ac:dyDescent="0.3">
      <c r="A1430" s="14">
        <v>44604</v>
      </c>
      <c r="B1430" s="5">
        <v>7</v>
      </c>
      <c r="C1430" s="32">
        <f>VLOOKUP(B1430,'area in m2'!B$2:C$10,2,FALSE)</f>
        <v>166</v>
      </c>
      <c r="D1430" s="5" t="s">
        <v>12</v>
      </c>
      <c r="E1430" s="6">
        <v>513.38662521791593</v>
      </c>
      <c r="F1430" s="33" t="str">
        <f t="shared" si="44"/>
        <v>Below 530</v>
      </c>
      <c r="G1430" s="33">
        <f t="shared" si="45"/>
        <v>539.05595647881171</v>
      </c>
      <c r="H1430" s="7">
        <v>0</v>
      </c>
      <c r="I1430" s="5" t="s">
        <v>14</v>
      </c>
      <c r="J1430" s="5">
        <v>28</v>
      </c>
      <c r="K1430" s="2"/>
      <c r="L1430" s="2"/>
      <c r="M1430" s="1"/>
    </row>
    <row r="1431" spans="1:13" ht="14.4" x14ac:dyDescent="0.3">
      <c r="A1431" s="14">
        <v>44910</v>
      </c>
      <c r="B1431" s="5">
        <v>4</v>
      </c>
      <c r="C1431" s="32">
        <f>VLOOKUP(B1431,'area in m2'!B$2:C$10,2,FALSE)</f>
        <v>188</v>
      </c>
      <c r="D1431" s="5" t="s">
        <v>11</v>
      </c>
      <c r="E1431" s="6">
        <v>549.63071650437087</v>
      </c>
      <c r="F1431" s="33" t="str">
        <f t="shared" si="44"/>
        <v>Over 530</v>
      </c>
      <c r="G1431" s="33">
        <f t="shared" si="45"/>
        <v>577.11225232958941</v>
      </c>
      <c r="H1431" s="7">
        <v>0.02</v>
      </c>
      <c r="I1431" s="5" t="s">
        <v>14</v>
      </c>
      <c r="J1431" s="5">
        <v>46</v>
      </c>
      <c r="K1431" s="2"/>
      <c r="L1431" s="2"/>
      <c r="M1431" s="1"/>
    </row>
    <row r="1432" spans="1:13" ht="14.4" x14ac:dyDescent="0.3">
      <c r="A1432" s="14">
        <v>44649</v>
      </c>
      <c r="B1432" s="5">
        <v>6</v>
      </c>
      <c r="C1432" s="32">
        <f>VLOOKUP(B1432,'area in m2'!B$2:C$10,2,FALSE)</f>
        <v>175</v>
      </c>
      <c r="D1432" s="5" t="s">
        <v>13</v>
      </c>
      <c r="E1432" s="6">
        <v>512.70451539711667</v>
      </c>
      <c r="F1432" s="33" t="str">
        <f t="shared" si="44"/>
        <v>Below 530</v>
      </c>
      <c r="G1432" s="33">
        <f t="shared" si="45"/>
        <v>538.33974116697254</v>
      </c>
      <c r="H1432" s="7">
        <v>0.02</v>
      </c>
      <c r="I1432" s="5" t="s">
        <v>14</v>
      </c>
      <c r="J1432" s="5">
        <v>26</v>
      </c>
      <c r="K1432" s="2"/>
      <c r="L1432" s="2"/>
      <c r="M1432" s="1"/>
    </row>
    <row r="1433" spans="1:13" ht="14.4" x14ac:dyDescent="0.3">
      <c r="A1433" s="14">
        <v>44786</v>
      </c>
      <c r="B1433" s="5">
        <v>4</v>
      </c>
      <c r="C1433" s="32">
        <f>VLOOKUP(B1433,'area in m2'!B$2:C$10,2,FALSE)</f>
        <v>188</v>
      </c>
      <c r="D1433" s="5" t="s">
        <v>11</v>
      </c>
      <c r="E1433" s="6">
        <v>547.72279556147259</v>
      </c>
      <c r="F1433" s="33" t="str">
        <f t="shared" si="44"/>
        <v>Over 530</v>
      </c>
      <c r="G1433" s="33">
        <f t="shared" si="45"/>
        <v>575.10893533954629</v>
      </c>
      <c r="H1433" s="7">
        <v>0</v>
      </c>
      <c r="I1433" s="5" t="s">
        <v>14</v>
      </c>
      <c r="J1433" s="5">
        <v>45</v>
      </c>
      <c r="K1433" s="2"/>
      <c r="L1433" s="2"/>
      <c r="M1433" s="1"/>
    </row>
    <row r="1434" spans="1:13" ht="14.4" x14ac:dyDescent="0.3">
      <c r="A1434" s="14">
        <v>44650</v>
      </c>
      <c r="B1434" s="5">
        <v>8</v>
      </c>
      <c r="C1434" s="32">
        <f>VLOOKUP(B1434,'area in m2'!B$2:C$10,2,FALSE)</f>
        <v>142</v>
      </c>
      <c r="D1434" s="5" t="s">
        <v>11</v>
      </c>
      <c r="E1434" s="6">
        <v>524.58636958920943</v>
      </c>
      <c r="F1434" s="33" t="str">
        <f t="shared" si="44"/>
        <v>Below 530</v>
      </c>
      <c r="G1434" s="33">
        <f t="shared" si="45"/>
        <v>550.81568806866994</v>
      </c>
      <c r="H1434" s="7">
        <v>0.02</v>
      </c>
      <c r="I1434" s="5" t="s">
        <v>14</v>
      </c>
      <c r="J1434" s="5">
        <v>50</v>
      </c>
      <c r="K1434" s="2"/>
      <c r="L1434" s="2"/>
      <c r="M1434" s="1"/>
    </row>
    <row r="1435" spans="1:13" ht="14.4" x14ac:dyDescent="0.3">
      <c r="A1435" s="14">
        <v>44598</v>
      </c>
      <c r="B1435" s="5">
        <v>3</v>
      </c>
      <c r="C1435" s="32">
        <f>VLOOKUP(B1435,'area in m2'!B$2:C$10,2,FALSE)</f>
        <v>195</v>
      </c>
      <c r="D1435" s="5" t="s">
        <v>11</v>
      </c>
      <c r="E1435" s="6">
        <v>542.80044739772165</v>
      </c>
      <c r="F1435" s="33" t="str">
        <f t="shared" si="44"/>
        <v>Over 530</v>
      </c>
      <c r="G1435" s="33">
        <f t="shared" si="45"/>
        <v>569.94046976760774</v>
      </c>
      <c r="H1435" s="7">
        <v>0.02</v>
      </c>
      <c r="I1435" s="5" t="s">
        <v>14</v>
      </c>
      <c r="J1435" s="5">
        <v>43</v>
      </c>
      <c r="K1435" s="2"/>
      <c r="L1435" s="2"/>
      <c r="M1435" s="1"/>
    </row>
    <row r="1436" spans="1:13" ht="14.4" x14ac:dyDescent="0.3">
      <c r="A1436" s="14">
        <v>44766</v>
      </c>
      <c r="B1436" s="5">
        <v>4</v>
      </c>
      <c r="C1436" s="32">
        <f>VLOOKUP(B1436,'area in m2'!B$2:C$10,2,FALSE)</f>
        <v>188</v>
      </c>
      <c r="D1436" s="5" t="s">
        <v>11</v>
      </c>
      <c r="E1436" s="6">
        <v>516.73972238943952</v>
      </c>
      <c r="F1436" s="33" t="str">
        <f t="shared" si="44"/>
        <v>Below 530</v>
      </c>
      <c r="G1436" s="33">
        <f t="shared" si="45"/>
        <v>542.57670850891157</v>
      </c>
      <c r="H1436" s="7">
        <v>0.01</v>
      </c>
      <c r="I1436" s="5" t="s">
        <v>14</v>
      </c>
      <c r="J1436" s="5">
        <v>38</v>
      </c>
      <c r="K1436" s="2"/>
      <c r="L1436" s="2"/>
      <c r="M1436" s="1"/>
    </row>
    <row r="1437" spans="1:13" ht="14.4" x14ac:dyDescent="0.3">
      <c r="A1437" s="14">
        <v>44731</v>
      </c>
      <c r="B1437" s="5">
        <v>8</v>
      </c>
      <c r="C1437" s="32">
        <f>VLOOKUP(B1437,'area in m2'!B$2:C$10,2,FALSE)</f>
        <v>142</v>
      </c>
      <c r="D1437" s="5" t="s">
        <v>12</v>
      </c>
      <c r="E1437" s="6">
        <v>502.89765831282511</v>
      </c>
      <c r="F1437" s="33" t="str">
        <f t="shared" si="44"/>
        <v>Below 530</v>
      </c>
      <c r="G1437" s="33">
        <f t="shared" si="45"/>
        <v>528.04254122846635</v>
      </c>
      <c r="H1437" s="7">
        <v>0</v>
      </c>
      <c r="I1437" s="5" t="s">
        <v>14</v>
      </c>
      <c r="J1437" s="5">
        <v>39</v>
      </c>
      <c r="K1437" s="2"/>
      <c r="L1437" s="2"/>
      <c r="M1437" s="1"/>
    </row>
    <row r="1438" spans="1:13" ht="14.4" x14ac:dyDescent="0.3">
      <c r="A1438" s="14">
        <v>44585</v>
      </c>
      <c r="B1438" s="5">
        <v>6</v>
      </c>
      <c r="C1438" s="32">
        <f>VLOOKUP(B1438,'area in m2'!B$2:C$10,2,FALSE)</f>
        <v>175</v>
      </c>
      <c r="D1438" s="5" t="s">
        <v>13</v>
      </c>
      <c r="E1438" s="6">
        <v>507.89616855035911</v>
      </c>
      <c r="F1438" s="33" t="str">
        <f t="shared" si="44"/>
        <v>Below 530</v>
      </c>
      <c r="G1438" s="33">
        <f t="shared" si="45"/>
        <v>533.29097697787711</v>
      </c>
      <c r="H1438" s="7">
        <v>0.01</v>
      </c>
      <c r="I1438" s="5" t="s">
        <v>15</v>
      </c>
      <c r="J1438" s="5">
        <v>43</v>
      </c>
      <c r="K1438" s="2"/>
      <c r="L1438" s="2"/>
      <c r="M1438" s="1"/>
    </row>
    <row r="1439" spans="1:13" ht="14.4" x14ac:dyDescent="0.3">
      <c r="A1439" s="14">
        <v>44727</v>
      </c>
      <c r="B1439" s="5">
        <v>5</v>
      </c>
      <c r="C1439" s="32">
        <f>VLOOKUP(B1439,'area in m2'!B$2:C$10,2,FALSE)</f>
        <v>200</v>
      </c>
      <c r="D1439" s="5" t="s">
        <v>13</v>
      </c>
      <c r="E1439" s="6">
        <v>519.12233221726183</v>
      </c>
      <c r="F1439" s="33" t="str">
        <f t="shared" si="44"/>
        <v>Below 530</v>
      </c>
      <c r="G1439" s="33">
        <f t="shared" si="45"/>
        <v>545.07844882812492</v>
      </c>
      <c r="H1439" s="7">
        <v>0.03</v>
      </c>
      <c r="I1439" s="5" t="s">
        <v>15</v>
      </c>
      <c r="J1439" s="5">
        <v>31</v>
      </c>
      <c r="K1439" s="2"/>
      <c r="L1439" s="2"/>
      <c r="M1439" s="1"/>
    </row>
    <row r="1440" spans="1:13" ht="14.4" x14ac:dyDescent="0.3">
      <c r="A1440" s="14">
        <v>44906</v>
      </c>
      <c r="B1440" s="5">
        <v>5</v>
      </c>
      <c r="C1440" s="32">
        <f>VLOOKUP(B1440,'area in m2'!B$2:C$10,2,FALSE)</f>
        <v>200</v>
      </c>
      <c r="D1440" s="5" t="s">
        <v>13</v>
      </c>
      <c r="E1440" s="6">
        <v>519.57709105618505</v>
      </c>
      <c r="F1440" s="33" t="str">
        <f t="shared" si="44"/>
        <v>Below 530</v>
      </c>
      <c r="G1440" s="33">
        <f t="shared" si="45"/>
        <v>545.55594560899431</v>
      </c>
      <c r="H1440" s="7">
        <v>0.01</v>
      </c>
      <c r="I1440" s="5" t="s">
        <v>14</v>
      </c>
      <c r="J1440" s="5">
        <v>35</v>
      </c>
      <c r="K1440" s="2"/>
      <c r="L1440" s="2"/>
      <c r="M1440" s="1"/>
    </row>
    <row r="1441" spans="1:13" ht="14.4" x14ac:dyDescent="0.3">
      <c r="A1441" s="14">
        <v>44605</v>
      </c>
      <c r="B1441" s="5">
        <v>9</v>
      </c>
      <c r="C1441" s="32">
        <f>VLOOKUP(B1441,'area in m2'!B$2:C$10,2,FALSE)</f>
        <v>140</v>
      </c>
      <c r="D1441" s="5" t="s">
        <v>12</v>
      </c>
      <c r="E1441" s="6">
        <v>506.81019728557931</v>
      </c>
      <c r="F1441" s="33" t="str">
        <f t="shared" si="44"/>
        <v>Below 530</v>
      </c>
      <c r="G1441" s="33">
        <f t="shared" si="45"/>
        <v>532.15070714985825</v>
      </c>
      <c r="H1441" s="7">
        <v>0.03</v>
      </c>
      <c r="I1441" s="5" t="s">
        <v>15</v>
      </c>
      <c r="J1441" s="5">
        <v>34</v>
      </c>
      <c r="K1441" s="2"/>
      <c r="L1441" s="2"/>
      <c r="M1441" s="1"/>
    </row>
    <row r="1442" spans="1:13" ht="14.4" x14ac:dyDescent="0.3">
      <c r="A1442" s="14">
        <v>44813</v>
      </c>
      <c r="B1442" s="5">
        <v>7</v>
      </c>
      <c r="C1442" s="32">
        <f>VLOOKUP(B1442,'area in m2'!B$2:C$10,2,FALSE)</f>
        <v>166</v>
      </c>
      <c r="D1442" s="5" t="s">
        <v>12</v>
      </c>
      <c r="E1442" s="6">
        <v>548.90711606819241</v>
      </c>
      <c r="F1442" s="33" t="str">
        <f t="shared" si="44"/>
        <v>Over 530</v>
      </c>
      <c r="G1442" s="33">
        <f t="shared" si="45"/>
        <v>576.35247187160201</v>
      </c>
      <c r="H1442" s="7">
        <v>0.02</v>
      </c>
      <c r="I1442" s="5" t="s">
        <v>15</v>
      </c>
      <c r="J1442" s="5">
        <v>43</v>
      </c>
      <c r="K1442" s="2"/>
      <c r="L1442" s="2"/>
      <c r="M1442" s="1"/>
    </row>
    <row r="1443" spans="1:13" ht="14.4" x14ac:dyDescent="0.3">
      <c r="A1443" s="14">
        <v>44697</v>
      </c>
      <c r="B1443" s="5">
        <v>8</v>
      </c>
      <c r="C1443" s="32">
        <f>VLOOKUP(B1443,'area in m2'!B$2:C$10,2,FALSE)</f>
        <v>142</v>
      </c>
      <c r="D1443" s="5" t="s">
        <v>12</v>
      </c>
      <c r="E1443" s="6">
        <v>536.38391559801312</v>
      </c>
      <c r="F1443" s="33" t="str">
        <f t="shared" si="44"/>
        <v>Over 530</v>
      </c>
      <c r="G1443" s="33">
        <f t="shared" si="45"/>
        <v>563.20311137791384</v>
      </c>
      <c r="H1443" s="7">
        <v>0.01</v>
      </c>
      <c r="I1443" s="5" t="s">
        <v>14</v>
      </c>
      <c r="J1443" s="5">
        <v>21</v>
      </c>
      <c r="K1443" s="2"/>
      <c r="L1443" s="2"/>
      <c r="M1443" s="1"/>
    </row>
    <row r="1444" spans="1:13" ht="14.4" x14ac:dyDescent="0.3">
      <c r="A1444" s="14">
        <v>44648</v>
      </c>
      <c r="B1444" s="5">
        <v>8</v>
      </c>
      <c r="C1444" s="32">
        <f>VLOOKUP(B1444,'area in m2'!B$2:C$10,2,FALSE)</f>
        <v>142</v>
      </c>
      <c r="D1444" s="5" t="s">
        <v>12</v>
      </c>
      <c r="E1444" s="6">
        <v>535.97010714701355</v>
      </c>
      <c r="F1444" s="33" t="str">
        <f t="shared" si="44"/>
        <v>Over 530</v>
      </c>
      <c r="G1444" s="33">
        <f t="shared" si="45"/>
        <v>562.76861250436423</v>
      </c>
      <c r="H1444" s="7">
        <v>0.03</v>
      </c>
      <c r="I1444" s="5" t="s">
        <v>14</v>
      </c>
      <c r="J1444" s="5">
        <v>22</v>
      </c>
      <c r="K1444" s="2"/>
      <c r="L1444" s="2"/>
      <c r="M1444" s="1"/>
    </row>
    <row r="1445" spans="1:13" ht="14.4" x14ac:dyDescent="0.3">
      <c r="A1445" s="14">
        <v>44565</v>
      </c>
      <c r="B1445" s="5">
        <v>5</v>
      </c>
      <c r="C1445" s="32">
        <f>VLOOKUP(B1445,'area in m2'!B$2:C$10,2,FALSE)</f>
        <v>200</v>
      </c>
      <c r="D1445" s="5" t="s">
        <v>13</v>
      </c>
      <c r="E1445" s="6">
        <v>550.72518846989078</v>
      </c>
      <c r="F1445" s="33" t="str">
        <f t="shared" si="44"/>
        <v>Over 530</v>
      </c>
      <c r="G1445" s="33">
        <f t="shared" si="45"/>
        <v>578.26144789338537</v>
      </c>
      <c r="H1445" s="7">
        <v>0.03</v>
      </c>
      <c r="I1445" s="5" t="s">
        <v>14</v>
      </c>
      <c r="J1445" s="5">
        <v>28</v>
      </c>
      <c r="K1445" s="2"/>
      <c r="L1445" s="2"/>
      <c r="M1445" s="1"/>
    </row>
    <row r="1446" spans="1:13" ht="14.4" x14ac:dyDescent="0.3">
      <c r="A1446" s="14">
        <v>44869</v>
      </c>
      <c r="B1446" s="5">
        <v>4</v>
      </c>
      <c r="C1446" s="32">
        <f>VLOOKUP(B1446,'area in m2'!B$2:C$10,2,FALSE)</f>
        <v>188</v>
      </c>
      <c r="D1446" s="5" t="s">
        <v>11</v>
      </c>
      <c r="E1446" s="6">
        <v>505.04639281668915</v>
      </c>
      <c r="F1446" s="33" t="str">
        <f t="shared" si="44"/>
        <v>Below 530</v>
      </c>
      <c r="G1446" s="33">
        <f t="shared" si="45"/>
        <v>530.29871245752361</v>
      </c>
      <c r="H1446" s="7">
        <v>0.03</v>
      </c>
      <c r="I1446" s="5" t="s">
        <v>15</v>
      </c>
      <c r="J1446" s="5">
        <v>20</v>
      </c>
      <c r="K1446" s="2"/>
      <c r="L1446" s="2"/>
      <c r="M1446" s="1"/>
    </row>
    <row r="1447" spans="1:13" ht="14.4" x14ac:dyDescent="0.3">
      <c r="A1447" s="14">
        <v>44701</v>
      </c>
      <c r="B1447" s="5">
        <v>5</v>
      </c>
      <c r="C1447" s="32">
        <f>VLOOKUP(B1447,'area in m2'!B$2:C$10,2,FALSE)</f>
        <v>200</v>
      </c>
      <c r="D1447" s="5" t="s">
        <v>13</v>
      </c>
      <c r="E1447" s="6">
        <v>541.97823298143703</v>
      </c>
      <c r="F1447" s="33" t="str">
        <f t="shared" si="44"/>
        <v>Over 530</v>
      </c>
      <c r="G1447" s="33">
        <f t="shared" si="45"/>
        <v>569.07714463050888</v>
      </c>
      <c r="H1447" s="7">
        <v>0</v>
      </c>
      <c r="I1447" s="5" t="s">
        <v>14</v>
      </c>
      <c r="J1447" s="5">
        <v>42</v>
      </c>
      <c r="K1447" s="2"/>
      <c r="L1447" s="2"/>
      <c r="M1447" s="1"/>
    </row>
    <row r="1448" spans="1:13" ht="14.4" x14ac:dyDescent="0.3">
      <c r="A1448" s="14">
        <v>44613</v>
      </c>
      <c r="B1448" s="5">
        <v>7</v>
      </c>
      <c r="C1448" s="32">
        <f>VLOOKUP(B1448,'area in m2'!B$2:C$10,2,FALSE)</f>
        <v>166</v>
      </c>
      <c r="D1448" s="5" t="s">
        <v>12</v>
      </c>
      <c r="E1448" s="6">
        <v>549.57827907015599</v>
      </c>
      <c r="F1448" s="33" t="str">
        <f t="shared" si="44"/>
        <v>Over 530</v>
      </c>
      <c r="G1448" s="33">
        <f t="shared" si="45"/>
        <v>577.05719302366379</v>
      </c>
      <c r="H1448" s="7">
        <v>0.01</v>
      </c>
      <c r="I1448" s="5" t="s">
        <v>14</v>
      </c>
      <c r="J1448" s="5">
        <v>40</v>
      </c>
      <c r="K1448" s="2"/>
      <c r="L1448" s="2"/>
      <c r="M1448" s="1"/>
    </row>
    <row r="1449" spans="1:13" ht="14.4" x14ac:dyDescent="0.3">
      <c r="A1449" s="14">
        <v>44850</v>
      </c>
      <c r="B1449" s="5">
        <v>2</v>
      </c>
      <c r="C1449" s="32">
        <f>VLOOKUP(B1449,'area in m2'!B$2:C$10,2,FALSE)</f>
        <v>250</v>
      </c>
      <c r="D1449" s="5" t="s">
        <v>11</v>
      </c>
      <c r="E1449" s="6">
        <v>517.55432260006546</v>
      </c>
      <c r="F1449" s="33" t="str">
        <f t="shared" si="44"/>
        <v>Below 530</v>
      </c>
      <c r="G1449" s="33">
        <f t="shared" si="45"/>
        <v>543.43203873006871</v>
      </c>
      <c r="H1449" s="7">
        <v>0.03</v>
      </c>
      <c r="I1449" s="5" t="s">
        <v>14</v>
      </c>
      <c r="J1449" s="5">
        <v>22</v>
      </c>
      <c r="K1449" s="2"/>
      <c r="L1449" s="2"/>
      <c r="M1449" s="1"/>
    </row>
    <row r="1450" spans="1:13" ht="14.4" x14ac:dyDescent="0.3">
      <c r="A1450" s="14">
        <v>44563</v>
      </c>
      <c r="B1450" s="5">
        <v>1</v>
      </c>
      <c r="C1450" s="32">
        <f>VLOOKUP(B1450,'area in m2'!B$2:C$10,2,FALSE)</f>
        <v>280</v>
      </c>
      <c r="D1450" s="5" t="s">
        <v>11</v>
      </c>
      <c r="E1450" s="6">
        <v>513.02385566102384</v>
      </c>
      <c r="F1450" s="33" t="str">
        <f t="shared" si="44"/>
        <v>Below 530</v>
      </c>
      <c r="G1450" s="33">
        <f t="shared" si="45"/>
        <v>538.67504844407506</v>
      </c>
      <c r="H1450" s="7">
        <v>0.03</v>
      </c>
      <c r="I1450" s="5" t="s">
        <v>14</v>
      </c>
      <c r="J1450" s="5">
        <v>45</v>
      </c>
      <c r="K1450" s="2"/>
      <c r="L1450" s="2"/>
      <c r="M1450" s="1"/>
    </row>
    <row r="1451" spans="1:13" ht="14.4" x14ac:dyDescent="0.3">
      <c r="A1451" s="14">
        <v>44660</v>
      </c>
      <c r="B1451" s="5">
        <v>3</v>
      </c>
      <c r="C1451" s="32">
        <f>VLOOKUP(B1451,'area in m2'!B$2:C$10,2,FALSE)</f>
        <v>195</v>
      </c>
      <c r="D1451" s="5" t="s">
        <v>11</v>
      </c>
      <c r="E1451" s="6">
        <v>539.17891774571854</v>
      </c>
      <c r="F1451" s="33" t="str">
        <f t="shared" si="44"/>
        <v>Over 530</v>
      </c>
      <c r="G1451" s="33">
        <f t="shared" si="45"/>
        <v>566.13786363300449</v>
      </c>
      <c r="H1451" s="7">
        <v>0.02</v>
      </c>
      <c r="I1451" s="5" t="s">
        <v>15</v>
      </c>
      <c r="J1451" s="5">
        <v>33</v>
      </c>
      <c r="K1451" s="2"/>
      <c r="L1451" s="2"/>
      <c r="M1451" s="1"/>
    </row>
    <row r="1452" spans="1:13" ht="14.4" x14ac:dyDescent="0.3">
      <c r="A1452" s="14">
        <v>44831</v>
      </c>
      <c r="B1452" s="5">
        <v>1</v>
      </c>
      <c r="C1452" s="32">
        <f>VLOOKUP(B1452,'area in m2'!B$2:C$10,2,FALSE)</f>
        <v>280</v>
      </c>
      <c r="D1452" s="5" t="s">
        <v>11</v>
      </c>
      <c r="E1452" s="6">
        <v>501.91123024492845</v>
      </c>
      <c r="F1452" s="33" t="str">
        <f t="shared" si="44"/>
        <v>Below 530</v>
      </c>
      <c r="G1452" s="33">
        <f t="shared" si="45"/>
        <v>527.00679175717494</v>
      </c>
      <c r="H1452" s="7">
        <v>0.02</v>
      </c>
      <c r="I1452" s="5" t="s">
        <v>15</v>
      </c>
      <c r="J1452" s="5">
        <v>43</v>
      </c>
      <c r="K1452" s="2"/>
      <c r="L1452" s="2"/>
      <c r="M1452" s="1"/>
    </row>
    <row r="1453" spans="1:13" ht="14.4" x14ac:dyDescent="0.3">
      <c r="A1453" s="14">
        <v>44832</v>
      </c>
      <c r="B1453" s="5">
        <v>5</v>
      </c>
      <c r="C1453" s="32">
        <f>VLOOKUP(B1453,'area in m2'!B$2:C$10,2,FALSE)</f>
        <v>200</v>
      </c>
      <c r="D1453" s="5" t="s">
        <v>13</v>
      </c>
      <c r="E1453" s="6">
        <v>545.65</v>
      </c>
      <c r="F1453" s="33" t="str">
        <f t="shared" si="44"/>
        <v>Over 530</v>
      </c>
      <c r="G1453" s="33">
        <f t="shared" si="45"/>
        <v>572.9325</v>
      </c>
      <c r="H1453" s="7">
        <v>0.01</v>
      </c>
      <c r="I1453" s="5" t="s">
        <v>14</v>
      </c>
      <c r="J1453" s="5">
        <v>24</v>
      </c>
      <c r="K1453" s="2"/>
      <c r="L1453" s="2"/>
      <c r="M1453" s="1"/>
    </row>
    <row r="1454" spans="1:13" ht="14.4" x14ac:dyDescent="0.3">
      <c r="A1454" s="14">
        <v>44898</v>
      </c>
      <c r="B1454" s="5">
        <v>9</v>
      </c>
      <c r="C1454" s="32">
        <f>VLOOKUP(B1454,'area in m2'!B$2:C$10,2,FALSE)</f>
        <v>140</v>
      </c>
      <c r="D1454" s="5" t="s">
        <v>12</v>
      </c>
      <c r="E1454" s="6">
        <v>536.47926083033781</v>
      </c>
      <c r="F1454" s="33" t="str">
        <f t="shared" si="44"/>
        <v>Over 530</v>
      </c>
      <c r="G1454" s="33">
        <f t="shared" si="45"/>
        <v>563.3032238718547</v>
      </c>
      <c r="H1454" s="7">
        <v>0</v>
      </c>
      <c r="I1454" s="5" t="s">
        <v>14</v>
      </c>
      <c r="J1454" s="5">
        <v>46</v>
      </c>
      <c r="K1454" s="2"/>
      <c r="L1454" s="2"/>
      <c r="M1454" s="1"/>
    </row>
    <row r="1455" spans="1:13" ht="14.4" x14ac:dyDescent="0.3">
      <c r="A1455" s="14">
        <v>44617</v>
      </c>
      <c r="B1455" s="5">
        <v>5</v>
      </c>
      <c r="C1455" s="32">
        <f>VLOOKUP(B1455,'area in m2'!B$2:C$10,2,FALSE)</f>
        <v>200</v>
      </c>
      <c r="D1455" s="5" t="s">
        <v>13</v>
      </c>
      <c r="E1455" s="6">
        <v>544.35213851668595</v>
      </c>
      <c r="F1455" s="33" t="str">
        <f t="shared" si="44"/>
        <v>Over 530</v>
      </c>
      <c r="G1455" s="33">
        <f t="shared" si="45"/>
        <v>571.56974544252023</v>
      </c>
      <c r="H1455" s="7">
        <v>0.02</v>
      </c>
      <c r="I1455" s="5" t="s">
        <v>14</v>
      </c>
      <c r="J1455" s="5">
        <v>49</v>
      </c>
      <c r="K1455" s="2"/>
      <c r="L1455" s="2"/>
      <c r="M1455" s="1"/>
    </row>
    <row r="1456" spans="1:13" ht="14.4" x14ac:dyDescent="0.3">
      <c r="A1456" s="14">
        <v>44787</v>
      </c>
      <c r="B1456" s="5">
        <v>7</v>
      </c>
      <c r="C1456" s="32">
        <f>VLOOKUP(B1456,'area in m2'!B$2:C$10,2,FALSE)</f>
        <v>166</v>
      </c>
      <c r="D1456" s="5" t="s">
        <v>12</v>
      </c>
      <c r="E1456" s="6">
        <v>538.37590741853182</v>
      </c>
      <c r="F1456" s="33" t="str">
        <f t="shared" si="44"/>
        <v>Over 530</v>
      </c>
      <c r="G1456" s="33">
        <f t="shared" si="45"/>
        <v>565.29470278945848</v>
      </c>
      <c r="H1456" s="7">
        <v>0</v>
      </c>
      <c r="I1456" s="5" t="s">
        <v>14</v>
      </c>
      <c r="J1456" s="5">
        <v>34</v>
      </c>
      <c r="K1456" s="2"/>
      <c r="L1456" s="2"/>
      <c r="M1456" s="1"/>
    </row>
    <row r="1457" spans="1:13" ht="14.4" x14ac:dyDescent="0.3">
      <c r="A1457" s="14">
        <v>44564</v>
      </c>
      <c r="B1457" s="5">
        <v>9</v>
      </c>
      <c r="C1457" s="32">
        <f>VLOOKUP(B1457,'area in m2'!B$2:C$10,2,FALSE)</f>
        <v>140</v>
      </c>
      <c r="D1457" s="5" t="s">
        <v>12</v>
      </c>
      <c r="E1457" s="6">
        <v>513.77690559108942</v>
      </c>
      <c r="F1457" s="33" t="str">
        <f t="shared" si="44"/>
        <v>Below 530</v>
      </c>
      <c r="G1457" s="33">
        <f t="shared" si="45"/>
        <v>539.46575087064389</v>
      </c>
      <c r="H1457" s="7">
        <v>0</v>
      </c>
      <c r="I1457" s="5" t="s">
        <v>14</v>
      </c>
      <c r="J1457" s="5">
        <v>39</v>
      </c>
      <c r="K1457" s="2"/>
      <c r="L1457" s="2"/>
      <c r="M1457" s="1"/>
    </row>
    <row r="1458" spans="1:13" ht="14.4" x14ac:dyDescent="0.3">
      <c r="A1458" s="14">
        <v>44633</v>
      </c>
      <c r="B1458" s="5">
        <v>2</v>
      </c>
      <c r="C1458" s="32">
        <f>VLOOKUP(B1458,'area in m2'!B$2:C$10,2,FALSE)</f>
        <v>250</v>
      </c>
      <c r="D1458" s="5" t="s">
        <v>11</v>
      </c>
      <c r="E1458" s="6">
        <v>519.34464960514833</v>
      </c>
      <c r="F1458" s="33" t="str">
        <f t="shared" si="44"/>
        <v>Below 530</v>
      </c>
      <c r="G1458" s="33">
        <f t="shared" si="45"/>
        <v>545.31188208540573</v>
      </c>
      <c r="H1458" s="7">
        <v>0.01</v>
      </c>
      <c r="I1458" s="5" t="s">
        <v>14</v>
      </c>
      <c r="J1458" s="5">
        <v>50</v>
      </c>
      <c r="K1458" s="2"/>
      <c r="L1458" s="2"/>
      <c r="M1458" s="1"/>
    </row>
    <row r="1459" spans="1:13" ht="14.4" x14ac:dyDescent="0.3">
      <c r="A1459" s="14">
        <v>44787</v>
      </c>
      <c r="B1459" s="5">
        <v>2</v>
      </c>
      <c r="C1459" s="32">
        <f>VLOOKUP(B1459,'area in m2'!B$2:C$10,2,FALSE)</f>
        <v>250</v>
      </c>
      <c r="D1459" s="5" t="s">
        <v>11</v>
      </c>
      <c r="E1459" s="6">
        <v>516.24735290024091</v>
      </c>
      <c r="F1459" s="33" t="str">
        <f t="shared" si="44"/>
        <v>Below 530</v>
      </c>
      <c r="G1459" s="33">
        <f t="shared" si="45"/>
        <v>542.05972054525296</v>
      </c>
      <c r="H1459" s="7">
        <v>0.03</v>
      </c>
      <c r="I1459" s="5" t="s">
        <v>14</v>
      </c>
      <c r="J1459" s="5">
        <v>40</v>
      </c>
      <c r="K1459" s="2"/>
      <c r="L1459" s="2"/>
      <c r="M1459" s="1"/>
    </row>
    <row r="1460" spans="1:13" ht="14.4" x14ac:dyDescent="0.3">
      <c r="A1460" s="14">
        <v>44562</v>
      </c>
      <c r="B1460" s="5">
        <v>1</v>
      </c>
      <c r="C1460" s="32">
        <f>VLOOKUP(B1460,'area in m2'!B$2:C$10,2,FALSE)</f>
        <v>280</v>
      </c>
      <c r="D1460" s="5" t="s">
        <v>11</v>
      </c>
      <c r="E1460" s="6">
        <v>536.85335685672726</v>
      </c>
      <c r="F1460" s="33" t="str">
        <f t="shared" si="44"/>
        <v>Over 530</v>
      </c>
      <c r="G1460" s="33">
        <f t="shared" si="45"/>
        <v>563.69602469956362</v>
      </c>
      <c r="H1460" s="7">
        <v>0.03</v>
      </c>
      <c r="I1460" s="5" t="s">
        <v>15</v>
      </c>
      <c r="J1460" s="5">
        <v>60</v>
      </c>
      <c r="K1460" s="2"/>
      <c r="L1460" s="2"/>
      <c r="M1460" s="1"/>
    </row>
    <row r="1461" spans="1:13" ht="14.4" x14ac:dyDescent="0.3">
      <c r="A1461" s="14">
        <v>44844</v>
      </c>
      <c r="B1461" s="5">
        <v>3</v>
      </c>
      <c r="C1461" s="32">
        <f>VLOOKUP(B1461,'area in m2'!B$2:C$10,2,FALSE)</f>
        <v>195</v>
      </c>
      <c r="D1461" s="5" t="s">
        <v>11</v>
      </c>
      <c r="E1461" s="6">
        <v>518.65648202361899</v>
      </c>
      <c r="F1461" s="33" t="str">
        <f t="shared" si="44"/>
        <v>Below 530</v>
      </c>
      <c r="G1461" s="33">
        <f t="shared" si="45"/>
        <v>544.58930612479992</v>
      </c>
      <c r="H1461" s="7">
        <v>0.01</v>
      </c>
      <c r="I1461" s="5" t="s">
        <v>14</v>
      </c>
      <c r="J1461" s="5">
        <v>38</v>
      </c>
      <c r="K1461" s="2"/>
      <c r="L1461" s="2"/>
      <c r="M1461" s="1"/>
    </row>
    <row r="1462" spans="1:13" ht="14.4" x14ac:dyDescent="0.3">
      <c r="A1462" s="14">
        <v>44819</v>
      </c>
      <c r="B1462" s="5">
        <v>5</v>
      </c>
      <c r="C1462" s="32">
        <f>VLOOKUP(B1462,'area in m2'!B$2:C$10,2,FALSE)</f>
        <v>200</v>
      </c>
      <c r="D1462" s="5" t="s">
        <v>13</v>
      </c>
      <c r="E1462" s="6">
        <v>548.25046248117906</v>
      </c>
      <c r="F1462" s="33" t="str">
        <f t="shared" si="44"/>
        <v>Over 530</v>
      </c>
      <c r="G1462" s="33">
        <f t="shared" si="45"/>
        <v>575.66298560523808</v>
      </c>
      <c r="H1462" s="7">
        <v>0</v>
      </c>
      <c r="I1462" s="5" t="s">
        <v>14</v>
      </c>
      <c r="J1462" s="5">
        <v>50</v>
      </c>
      <c r="K1462" s="2"/>
      <c r="L1462" s="2"/>
      <c r="M1462" s="1"/>
    </row>
    <row r="1463" spans="1:13" ht="14.4" x14ac:dyDescent="0.3">
      <c r="A1463" s="14">
        <v>44747</v>
      </c>
      <c r="B1463" s="5">
        <v>2</v>
      </c>
      <c r="C1463" s="32">
        <f>VLOOKUP(B1463,'area in m2'!B$2:C$10,2,FALSE)</f>
        <v>250</v>
      </c>
      <c r="D1463" s="5" t="s">
        <v>11</v>
      </c>
      <c r="E1463" s="6">
        <v>550.45893557173622</v>
      </c>
      <c r="F1463" s="33" t="str">
        <f t="shared" si="44"/>
        <v>Over 530</v>
      </c>
      <c r="G1463" s="33">
        <f t="shared" si="45"/>
        <v>577.98188235032308</v>
      </c>
      <c r="H1463" s="7">
        <v>0</v>
      </c>
      <c r="I1463" s="5" t="s">
        <v>14</v>
      </c>
      <c r="J1463" s="5">
        <v>29</v>
      </c>
      <c r="K1463" s="2"/>
      <c r="L1463" s="2"/>
      <c r="M1463" s="1"/>
    </row>
    <row r="1464" spans="1:13" ht="14.4" x14ac:dyDescent="0.3">
      <c r="A1464" s="14">
        <v>44911</v>
      </c>
      <c r="B1464" s="5">
        <v>2</v>
      </c>
      <c r="C1464" s="32">
        <f>VLOOKUP(B1464,'area in m2'!B$2:C$10,2,FALSE)</f>
        <v>250</v>
      </c>
      <c r="D1464" s="5" t="s">
        <v>11</v>
      </c>
      <c r="E1464" s="6">
        <v>549.18754438487304</v>
      </c>
      <c r="F1464" s="33" t="str">
        <f t="shared" si="44"/>
        <v>Over 530</v>
      </c>
      <c r="G1464" s="33">
        <f t="shared" si="45"/>
        <v>576.64692160411676</v>
      </c>
      <c r="H1464" s="7">
        <v>0.01</v>
      </c>
      <c r="I1464" s="5" t="s">
        <v>15</v>
      </c>
      <c r="J1464" s="5">
        <v>49</v>
      </c>
      <c r="K1464" s="2"/>
      <c r="L1464" s="2"/>
      <c r="M1464" s="1"/>
    </row>
    <row r="1465" spans="1:13" ht="14.4" x14ac:dyDescent="0.3">
      <c r="A1465" s="14">
        <v>44846</v>
      </c>
      <c r="B1465" s="5">
        <v>6</v>
      </c>
      <c r="C1465" s="32">
        <f>VLOOKUP(B1465,'area in m2'!B$2:C$10,2,FALSE)</f>
        <v>175</v>
      </c>
      <c r="D1465" s="5" t="s">
        <v>13</v>
      </c>
      <c r="E1465" s="6">
        <v>507.88426826812338</v>
      </c>
      <c r="F1465" s="33" t="str">
        <f t="shared" si="44"/>
        <v>Below 530</v>
      </c>
      <c r="G1465" s="33">
        <f t="shared" si="45"/>
        <v>533.27848168152957</v>
      </c>
      <c r="H1465" s="7">
        <v>0</v>
      </c>
      <c r="I1465" s="5" t="s">
        <v>14</v>
      </c>
      <c r="J1465" s="5">
        <v>49</v>
      </c>
      <c r="K1465" s="2"/>
      <c r="L1465" s="2"/>
      <c r="M1465" s="1"/>
    </row>
    <row r="1466" spans="1:13" ht="14.4" x14ac:dyDescent="0.3">
      <c r="A1466" s="14">
        <v>44594</v>
      </c>
      <c r="B1466" s="5">
        <v>3</v>
      </c>
      <c r="C1466" s="32">
        <f>VLOOKUP(B1466,'area in m2'!B$2:C$10,2,FALSE)</f>
        <v>195</v>
      </c>
      <c r="D1466" s="5" t="s">
        <v>11</v>
      </c>
      <c r="E1466" s="6">
        <v>514.20188215512644</v>
      </c>
      <c r="F1466" s="33" t="str">
        <f t="shared" si="44"/>
        <v>Below 530</v>
      </c>
      <c r="G1466" s="33">
        <f t="shared" si="45"/>
        <v>539.91197626288283</v>
      </c>
      <c r="H1466" s="7">
        <v>0</v>
      </c>
      <c r="I1466" s="5" t="s">
        <v>15</v>
      </c>
      <c r="J1466" s="5">
        <v>60</v>
      </c>
      <c r="K1466" s="2"/>
      <c r="L1466" s="2"/>
      <c r="M1466" s="1"/>
    </row>
    <row r="1467" spans="1:13" ht="14.4" x14ac:dyDescent="0.3">
      <c r="A1467" s="14">
        <v>44608</v>
      </c>
      <c r="B1467" s="5">
        <v>6</v>
      </c>
      <c r="C1467" s="32">
        <f>VLOOKUP(B1467,'area in m2'!B$2:C$10,2,FALSE)</f>
        <v>175</v>
      </c>
      <c r="D1467" s="5" t="s">
        <v>13</v>
      </c>
      <c r="E1467" s="6">
        <v>534.49810424128646</v>
      </c>
      <c r="F1467" s="33" t="str">
        <f t="shared" si="44"/>
        <v>Over 530</v>
      </c>
      <c r="G1467" s="33">
        <f t="shared" si="45"/>
        <v>561.22300945335076</v>
      </c>
      <c r="H1467" s="7">
        <v>0.02</v>
      </c>
      <c r="I1467" s="5" t="s">
        <v>15</v>
      </c>
      <c r="J1467" s="5">
        <v>25</v>
      </c>
      <c r="K1467" s="2"/>
      <c r="L1467" s="2"/>
      <c r="M1467" s="1"/>
    </row>
    <row r="1468" spans="1:13" ht="14.4" x14ac:dyDescent="0.3">
      <c r="A1468" s="14">
        <v>44727</v>
      </c>
      <c r="B1468" s="5">
        <v>6</v>
      </c>
      <c r="C1468" s="32">
        <f>VLOOKUP(B1468,'area in m2'!B$2:C$10,2,FALSE)</f>
        <v>175</v>
      </c>
      <c r="D1468" s="5" t="s">
        <v>13</v>
      </c>
      <c r="E1468" s="6">
        <v>517.02123090212899</v>
      </c>
      <c r="F1468" s="33" t="str">
        <f t="shared" si="44"/>
        <v>Below 530</v>
      </c>
      <c r="G1468" s="33">
        <f t="shared" si="45"/>
        <v>542.87229244723551</v>
      </c>
      <c r="H1468" s="7">
        <v>0</v>
      </c>
      <c r="I1468" s="5" t="s">
        <v>14</v>
      </c>
      <c r="J1468" s="5">
        <v>46</v>
      </c>
      <c r="K1468" s="2"/>
      <c r="L1468" s="2"/>
      <c r="M1468" s="1"/>
    </row>
    <row r="1469" spans="1:13" ht="14.4" x14ac:dyDescent="0.3">
      <c r="A1469" s="14">
        <v>44639</v>
      </c>
      <c r="B1469" s="5">
        <v>5</v>
      </c>
      <c r="C1469" s="32">
        <f>VLOOKUP(B1469,'area in m2'!B$2:C$10,2,FALSE)</f>
        <v>200</v>
      </c>
      <c r="D1469" s="5" t="s">
        <v>13</v>
      </c>
      <c r="E1469" s="6">
        <v>550.41</v>
      </c>
      <c r="F1469" s="33" t="str">
        <f t="shared" si="44"/>
        <v>Over 530</v>
      </c>
      <c r="G1469" s="33">
        <f t="shared" si="45"/>
        <v>577.93049999999994</v>
      </c>
      <c r="H1469" s="7">
        <v>0.02</v>
      </c>
      <c r="I1469" s="5" t="s">
        <v>14</v>
      </c>
      <c r="J1469" s="5">
        <v>47</v>
      </c>
      <c r="K1469" s="2"/>
      <c r="L1469" s="2"/>
      <c r="M1469" s="1"/>
    </row>
    <row r="1470" spans="1:13" ht="14.4" x14ac:dyDescent="0.3">
      <c r="A1470" s="14">
        <v>44738</v>
      </c>
      <c r="B1470" s="5">
        <v>6</v>
      </c>
      <c r="C1470" s="32">
        <f>VLOOKUP(B1470,'area in m2'!B$2:C$10,2,FALSE)</f>
        <v>175</v>
      </c>
      <c r="D1470" s="5" t="s">
        <v>13</v>
      </c>
      <c r="E1470" s="6">
        <v>525.49930716155359</v>
      </c>
      <c r="F1470" s="33" t="str">
        <f t="shared" si="44"/>
        <v>Below 530</v>
      </c>
      <c r="G1470" s="33">
        <f t="shared" si="45"/>
        <v>551.77427251963127</v>
      </c>
      <c r="H1470" s="7">
        <v>0.01</v>
      </c>
      <c r="I1470" s="5" t="s">
        <v>14</v>
      </c>
      <c r="J1470" s="5">
        <v>29</v>
      </c>
      <c r="K1470" s="2"/>
      <c r="L1470" s="2"/>
      <c r="M1470" s="1"/>
    </row>
    <row r="1471" spans="1:13" ht="14.4" x14ac:dyDescent="0.3">
      <c r="A1471" s="14">
        <v>44802</v>
      </c>
      <c r="B1471" s="5">
        <v>1</v>
      </c>
      <c r="C1471" s="32">
        <f>VLOOKUP(B1471,'area in m2'!B$2:C$10,2,FALSE)</f>
        <v>280</v>
      </c>
      <c r="D1471" s="5" t="s">
        <v>11</v>
      </c>
      <c r="E1471" s="6">
        <v>523.96634419940074</v>
      </c>
      <c r="F1471" s="33" t="str">
        <f t="shared" si="44"/>
        <v>Below 530</v>
      </c>
      <c r="G1471" s="33">
        <f t="shared" si="45"/>
        <v>550.16466140937075</v>
      </c>
      <c r="H1471" s="7">
        <v>0</v>
      </c>
      <c r="I1471" s="5" t="s">
        <v>14</v>
      </c>
      <c r="J1471" s="5">
        <v>37</v>
      </c>
      <c r="K1471" s="2"/>
      <c r="L1471" s="2"/>
      <c r="M1471" s="1"/>
    </row>
    <row r="1472" spans="1:13" ht="14.4" x14ac:dyDescent="0.3">
      <c r="A1472" s="14">
        <v>44857</v>
      </c>
      <c r="B1472" s="5">
        <v>3</v>
      </c>
      <c r="C1472" s="32">
        <f>VLOOKUP(B1472,'area in m2'!B$2:C$10,2,FALSE)</f>
        <v>195</v>
      </c>
      <c r="D1472" s="5" t="s">
        <v>11</v>
      </c>
      <c r="E1472" s="6">
        <v>508.73242834154371</v>
      </c>
      <c r="F1472" s="33" t="str">
        <f t="shared" si="44"/>
        <v>Below 530</v>
      </c>
      <c r="G1472" s="33">
        <f t="shared" si="45"/>
        <v>534.16904975862087</v>
      </c>
      <c r="H1472" s="7">
        <v>0.01</v>
      </c>
      <c r="I1472" s="5" t="s">
        <v>14</v>
      </c>
      <c r="J1472" s="5">
        <v>22</v>
      </c>
      <c r="K1472" s="2"/>
      <c r="L1472" s="2"/>
      <c r="M1472" s="1"/>
    </row>
    <row r="1473" spans="1:13" ht="14.4" x14ac:dyDescent="0.3">
      <c r="A1473" s="14">
        <v>44787</v>
      </c>
      <c r="B1473" s="5">
        <v>5</v>
      </c>
      <c r="C1473" s="32">
        <f>VLOOKUP(B1473,'area in m2'!B$2:C$10,2,FALSE)</f>
        <v>200</v>
      </c>
      <c r="D1473" s="5" t="s">
        <v>13</v>
      </c>
      <c r="E1473" s="6">
        <v>535.82353209770645</v>
      </c>
      <c r="F1473" s="33" t="str">
        <f t="shared" si="44"/>
        <v>Over 530</v>
      </c>
      <c r="G1473" s="33">
        <f t="shared" si="45"/>
        <v>562.61470870259177</v>
      </c>
      <c r="H1473" s="7">
        <v>0</v>
      </c>
      <c r="I1473" s="5" t="s">
        <v>14</v>
      </c>
      <c r="J1473" s="5">
        <v>45</v>
      </c>
      <c r="K1473" s="2"/>
      <c r="L1473" s="2"/>
      <c r="M1473" s="1"/>
    </row>
    <row r="1474" spans="1:13" ht="14.4" x14ac:dyDescent="0.3">
      <c r="A1474" s="14">
        <v>44711</v>
      </c>
      <c r="B1474" s="5">
        <v>2</v>
      </c>
      <c r="C1474" s="32">
        <f>VLOOKUP(B1474,'area in m2'!B$2:C$10,2,FALSE)</f>
        <v>250</v>
      </c>
      <c r="D1474" s="5" t="s">
        <v>11</v>
      </c>
      <c r="E1474" s="6">
        <v>507.08253036579617</v>
      </c>
      <c r="F1474" s="33" t="str">
        <f t="shared" si="44"/>
        <v>Below 530</v>
      </c>
      <c r="G1474" s="33">
        <f t="shared" si="45"/>
        <v>532.43665688408601</v>
      </c>
      <c r="H1474" s="7">
        <v>0.01</v>
      </c>
      <c r="I1474" s="5" t="s">
        <v>14</v>
      </c>
      <c r="J1474" s="5">
        <v>26</v>
      </c>
      <c r="K1474" s="2"/>
      <c r="L1474" s="2"/>
      <c r="M1474" s="1"/>
    </row>
    <row r="1475" spans="1:13" ht="14.4" x14ac:dyDescent="0.3">
      <c r="A1475" s="14">
        <v>44818</v>
      </c>
      <c r="B1475" s="5">
        <v>9</v>
      </c>
      <c r="C1475" s="32">
        <f>VLOOKUP(B1475,'area in m2'!B$2:C$10,2,FALSE)</f>
        <v>140</v>
      </c>
      <c r="D1475" s="5" t="s">
        <v>12</v>
      </c>
      <c r="E1475" s="6">
        <v>531.85737081921525</v>
      </c>
      <c r="F1475" s="33" t="str">
        <f t="shared" si="44"/>
        <v>Over 530</v>
      </c>
      <c r="G1475" s="33">
        <f t="shared" si="45"/>
        <v>558.45023936017606</v>
      </c>
      <c r="H1475" s="7">
        <v>0.01</v>
      </c>
      <c r="I1475" s="5" t="s">
        <v>15</v>
      </c>
      <c r="J1475" s="5">
        <v>54</v>
      </c>
      <c r="K1475" s="2"/>
      <c r="L1475" s="2"/>
      <c r="M1475" s="1"/>
    </row>
    <row r="1476" spans="1:13" ht="14.4" x14ac:dyDescent="0.3">
      <c r="A1476" s="14">
        <v>44696</v>
      </c>
      <c r="B1476" s="5">
        <v>3</v>
      </c>
      <c r="C1476" s="32">
        <f>VLOOKUP(B1476,'area in m2'!B$2:C$10,2,FALSE)</f>
        <v>195</v>
      </c>
      <c r="D1476" s="5" t="s">
        <v>11</v>
      </c>
      <c r="E1476" s="6">
        <v>500.47249388610453</v>
      </c>
      <c r="F1476" s="33" t="str">
        <f t="shared" si="44"/>
        <v>Below 530</v>
      </c>
      <c r="G1476" s="33">
        <f t="shared" si="45"/>
        <v>525.49611858040976</v>
      </c>
      <c r="H1476" s="7">
        <v>0</v>
      </c>
      <c r="I1476" s="5" t="s">
        <v>14</v>
      </c>
      <c r="J1476" s="5">
        <v>27</v>
      </c>
      <c r="K1476" s="2"/>
      <c r="L1476" s="2"/>
      <c r="M1476" s="1"/>
    </row>
    <row r="1477" spans="1:13" ht="14.4" x14ac:dyDescent="0.3">
      <c r="A1477" s="14">
        <v>44584</v>
      </c>
      <c r="B1477" s="5">
        <v>6</v>
      </c>
      <c r="C1477" s="32">
        <f>VLOOKUP(B1477,'area in m2'!B$2:C$10,2,FALSE)</f>
        <v>175</v>
      </c>
      <c r="D1477" s="5" t="s">
        <v>13</v>
      </c>
      <c r="E1477" s="6">
        <v>526.8101939728067</v>
      </c>
      <c r="F1477" s="33" t="str">
        <f t="shared" ref="F1477:F1517" si="46">IF(E1477&gt;530,"Over 530","Below 530")</f>
        <v>Below 530</v>
      </c>
      <c r="G1477" s="33">
        <f t="shared" ref="G1477:G1517" si="47">+E1477*1.05</f>
        <v>553.1507036714471</v>
      </c>
      <c r="H1477" s="7">
        <v>0.03</v>
      </c>
      <c r="I1477" s="5" t="s">
        <v>14</v>
      </c>
      <c r="J1477" s="5">
        <v>22</v>
      </c>
      <c r="K1477" s="2"/>
      <c r="L1477" s="2"/>
      <c r="M1477" s="1"/>
    </row>
    <row r="1478" spans="1:13" ht="14.4" x14ac:dyDescent="0.3">
      <c r="A1478" s="14">
        <v>44595</v>
      </c>
      <c r="B1478" s="5">
        <v>6</v>
      </c>
      <c r="C1478" s="32">
        <f>VLOOKUP(B1478,'area in m2'!B$2:C$10,2,FALSE)</f>
        <v>175</v>
      </c>
      <c r="D1478" s="5" t="s">
        <v>13</v>
      </c>
      <c r="E1478" s="6">
        <v>505.58001219028847</v>
      </c>
      <c r="F1478" s="33" t="str">
        <f t="shared" si="46"/>
        <v>Below 530</v>
      </c>
      <c r="G1478" s="33">
        <f t="shared" si="47"/>
        <v>530.85901279980294</v>
      </c>
      <c r="H1478" s="7">
        <v>0.02</v>
      </c>
      <c r="I1478" s="5" t="s">
        <v>14</v>
      </c>
      <c r="J1478" s="5">
        <v>39</v>
      </c>
      <c r="K1478" s="2"/>
      <c r="L1478" s="2"/>
      <c r="M1478" s="1"/>
    </row>
    <row r="1479" spans="1:13" ht="14.4" x14ac:dyDescent="0.3">
      <c r="A1479" s="14">
        <v>44898</v>
      </c>
      <c r="B1479" s="5">
        <v>2</v>
      </c>
      <c r="C1479" s="32">
        <f>VLOOKUP(B1479,'area in m2'!B$2:C$10,2,FALSE)</f>
        <v>250</v>
      </c>
      <c r="D1479" s="5" t="s">
        <v>11</v>
      </c>
      <c r="E1479" s="6">
        <v>532.68875447299615</v>
      </c>
      <c r="F1479" s="33" t="str">
        <f t="shared" si="46"/>
        <v>Over 530</v>
      </c>
      <c r="G1479" s="33">
        <f t="shared" si="47"/>
        <v>559.323192196646</v>
      </c>
      <c r="H1479" s="7">
        <v>0.03</v>
      </c>
      <c r="I1479" s="5" t="s">
        <v>14</v>
      </c>
      <c r="J1479" s="5">
        <v>29</v>
      </c>
      <c r="K1479" s="2"/>
      <c r="L1479" s="2"/>
      <c r="M1479" s="1"/>
    </row>
    <row r="1480" spans="1:13" ht="14.4" x14ac:dyDescent="0.3">
      <c r="A1480" s="14">
        <v>44915</v>
      </c>
      <c r="B1480" s="5">
        <v>3</v>
      </c>
      <c r="C1480" s="32">
        <f>VLOOKUP(B1480,'area in m2'!B$2:C$10,2,FALSE)</f>
        <v>195</v>
      </c>
      <c r="D1480" s="5" t="s">
        <v>11</v>
      </c>
      <c r="E1480" s="6">
        <v>504.89886842784836</v>
      </c>
      <c r="F1480" s="33" t="str">
        <f t="shared" si="46"/>
        <v>Below 530</v>
      </c>
      <c r="G1480" s="33">
        <f t="shared" si="47"/>
        <v>530.14381184924082</v>
      </c>
      <c r="H1480" s="7">
        <v>0.01</v>
      </c>
      <c r="I1480" s="5" t="s">
        <v>14</v>
      </c>
      <c r="J1480" s="5">
        <v>21</v>
      </c>
      <c r="K1480" s="2"/>
      <c r="L1480" s="2"/>
      <c r="M1480" s="1"/>
    </row>
    <row r="1481" spans="1:13" ht="14.4" x14ac:dyDescent="0.3">
      <c r="A1481" s="14">
        <v>44702</v>
      </c>
      <c r="B1481" s="5">
        <v>7</v>
      </c>
      <c r="C1481" s="32">
        <f>VLOOKUP(B1481,'area in m2'!B$2:C$10,2,FALSE)</f>
        <v>166</v>
      </c>
      <c r="D1481" s="5" t="s">
        <v>12</v>
      </c>
      <c r="E1481" s="6">
        <v>513.69426478355035</v>
      </c>
      <c r="F1481" s="33" t="str">
        <f t="shared" si="46"/>
        <v>Below 530</v>
      </c>
      <c r="G1481" s="33">
        <f t="shared" si="47"/>
        <v>539.37897802272789</v>
      </c>
      <c r="H1481" s="7">
        <v>0.01</v>
      </c>
      <c r="I1481" s="5" t="s">
        <v>14</v>
      </c>
      <c r="J1481" s="5">
        <v>26</v>
      </c>
      <c r="K1481" s="2"/>
      <c r="L1481" s="2"/>
      <c r="M1481" s="1"/>
    </row>
    <row r="1482" spans="1:13" ht="14.4" x14ac:dyDescent="0.3">
      <c r="A1482" s="14">
        <v>44710</v>
      </c>
      <c r="B1482" s="5">
        <v>1</v>
      </c>
      <c r="C1482" s="32">
        <f>VLOOKUP(B1482,'area in m2'!B$2:C$10,2,FALSE)</f>
        <v>280</v>
      </c>
      <c r="D1482" s="5" t="s">
        <v>11</v>
      </c>
      <c r="E1482" s="6">
        <v>543.45945033897806</v>
      </c>
      <c r="F1482" s="33" t="str">
        <f t="shared" si="46"/>
        <v>Over 530</v>
      </c>
      <c r="G1482" s="33">
        <f t="shared" si="47"/>
        <v>570.63242285592696</v>
      </c>
      <c r="H1482" s="7">
        <v>0</v>
      </c>
      <c r="I1482" s="5" t="s">
        <v>14</v>
      </c>
      <c r="J1482" s="5">
        <v>39</v>
      </c>
      <c r="K1482" s="2"/>
      <c r="L1482" s="2"/>
      <c r="M1482" s="1"/>
    </row>
    <row r="1483" spans="1:13" ht="14.4" x14ac:dyDescent="0.3">
      <c r="A1483" s="14">
        <v>44682</v>
      </c>
      <c r="B1483" s="5">
        <v>8</v>
      </c>
      <c r="C1483" s="32">
        <f>VLOOKUP(B1483,'area in m2'!B$2:C$10,2,FALSE)</f>
        <v>142</v>
      </c>
      <c r="D1483" s="5" t="s">
        <v>12</v>
      </c>
      <c r="E1483" s="6">
        <v>539.98995215298964</v>
      </c>
      <c r="F1483" s="33" t="str">
        <f t="shared" si="46"/>
        <v>Over 530</v>
      </c>
      <c r="G1483" s="33">
        <f t="shared" si="47"/>
        <v>566.9894497606391</v>
      </c>
      <c r="H1483" s="7">
        <v>0.02</v>
      </c>
      <c r="I1483" s="5" t="s">
        <v>14</v>
      </c>
      <c r="J1483" s="5">
        <v>37</v>
      </c>
      <c r="K1483" s="2"/>
      <c r="L1483" s="2"/>
      <c r="M1483" s="1"/>
    </row>
    <row r="1484" spans="1:13" ht="14.4" x14ac:dyDescent="0.3">
      <c r="A1484" s="14">
        <v>44589</v>
      </c>
      <c r="B1484" s="5">
        <v>6</v>
      </c>
      <c r="C1484" s="32">
        <f>VLOOKUP(B1484,'area in m2'!B$2:C$10,2,FALSE)</f>
        <v>175</v>
      </c>
      <c r="D1484" s="5" t="s">
        <v>13</v>
      </c>
      <c r="E1484" s="6">
        <v>507.89616855035911</v>
      </c>
      <c r="F1484" s="33" t="str">
        <f t="shared" si="46"/>
        <v>Below 530</v>
      </c>
      <c r="G1484" s="33">
        <f t="shared" si="47"/>
        <v>533.29097697787711</v>
      </c>
      <c r="H1484" s="7">
        <v>0.01</v>
      </c>
      <c r="I1484" s="5" t="s">
        <v>15</v>
      </c>
      <c r="J1484" s="5">
        <v>64</v>
      </c>
      <c r="K1484" s="2"/>
      <c r="L1484" s="2"/>
      <c r="M1484" s="1"/>
    </row>
    <row r="1485" spans="1:13" ht="14.4" x14ac:dyDescent="0.3">
      <c r="A1485" s="14">
        <v>44703</v>
      </c>
      <c r="B1485" s="5">
        <v>3</v>
      </c>
      <c r="C1485" s="32">
        <f>VLOOKUP(B1485,'area in m2'!B$2:C$10,2,FALSE)</f>
        <v>195</v>
      </c>
      <c r="D1485" s="5" t="s">
        <v>11</v>
      </c>
      <c r="E1485" s="6">
        <v>549.04159182541298</v>
      </c>
      <c r="F1485" s="33" t="str">
        <f t="shared" si="46"/>
        <v>Over 530</v>
      </c>
      <c r="G1485" s="33">
        <f t="shared" si="47"/>
        <v>576.4936714166837</v>
      </c>
      <c r="H1485" s="7">
        <v>0.03</v>
      </c>
      <c r="I1485" s="5" t="s">
        <v>14</v>
      </c>
      <c r="J1485" s="5">
        <v>37</v>
      </c>
      <c r="K1485" s="2"/>
      <c r="L1485" s="2"/>
      <c r="M1485" s="1"/>
    </row>
    <row r="1486" spans="1:13" ht="14.4" x14ac:dyDescent="0.3">
      <c r="A1486" s="14">
        <v>44643</v>
      </c>
      <c r="B1486" s="5">
        <v>5</v>
      </c>
      <c r="C1486" s="32">
        <f>VLOOKUP(B1486,'area in m2'!B$2:C$10,2,FALSE)</f>
        <v>200</v>
      </c>
      <c r="D1486" s="5" t="s">
        <v>13</v>
      </c>
      <c r="E1486" s="6">
        <v>525.07588509228844</v>
      </c>
      <c r="F1486" s="33" t="str">
        <f t="shared" si="46"/>
        <v>Below 530</v>
      </c>
      <c r="G1486" s="33">
        <f t="shared" si="47"/>
        <v>551.32967934690294</v>
      </c>
      <c r="H1486" s="7">
        <v>0.02</v>
      </c>
      <c r="I1486" s="5" t="s">
        <v>14</v>
      </c>
      <c r="J1486" s="5">
        <v>43</v>
      </c>
      <c r="K1486" s="2"/>
      <c r="L1486" s="2"/>
      <c r="M1486" s="1"/>
    </row>
    <row r="1487" spans="1:13" ht="14.4" x14ac:dyDescent="0.3">
      <c r="A1487" s="14">
        <v>44900</v>
      </c>
      <c r="B1487" s="5">
        <v>8</v>
      </c>
      <c r="C1487" s="32">
        <f>VLOOKUP(B1487,'area in m2'!B$2:C$10,2,FALSE)</f>
        <v>142</v>
      </c>
      <c r="D1487" s="5" t="s">
        <v>11</v>
      </c>
      <c r="E1487" s="6">
        <v>515.44845670475934</v>
      </c>
      <c r="F1487" s="33" t="str">
        <f t="shared" si="46"/>
        <v>Below 530</v>
      </c>
      <c r="G1487" s="33">
        <f t="shared" si="47"/>
        <v>541.22087953999733</v>
      </c>
      <c r="H1487" s="7">
        <v>0.01</v>
      </c>
      <c r="I1487" s="5" t="s">
        <v>14</v>
      </c>
      <c r="J1487" s="5">
        <v>41</v>
      </c>
      <c r="K1487" s="2"/>
      <c r="L1487" s="2"/>
      <c r="M1487" s="1"/>
    </row>
    <row r="1488" spans="1:13" ht="14.4" x14ac:dyDescent="0.3">
      <c r="A1488" s="14">
        <v>44604</v>
      </c>
      <c r="B1488" s="5">
        <v>5</v>
      </c>
      <c r="C1488" s="32">
        <f>VLOOKUP(B1488,'area in m2'!B$2:C$10,2,FALSE)</f>
        <v>200</v>
      </c>
      <c r="D1488" s="5" t="s">
        <v>13</v>
      </c>
      <c r="E1488" s="6">
        <v>531.50073000751036</v>
      </c>
      <c r="F1488" s="33" t="str">
        <f t="shared" si="46"/>
        <v>Over 530</v>
      </c>
      <c r="G1488" s="33">
        <f t="shared" si="47"/>
        <v>558.07576650788587</v>
      </c>
      <c r="H1488" s="7">
        <v>0.03</v>
      </c>
      <c r="I1488" s="5" t="s">
        <v>14</v>
      </c>
      <c r="J1488" s="5">
        <v>41</v>
      </c>
      <c r="K1488" s="2"/>
      <c r="L1488" s="2"/>
      <c r="M1488" s="1"/>
    </row>
    <row r="1489" spans="1:13" ht="14.4" x14ac:dyDescent="0.3">
      <c r="A1489" s="14">
        <v>44835</v>
      </c>
      <c r="B1489" s="5">
        <v>5</v>
      </c>
      <c r="C1489" s="32">
        <f>VLOOKUP(B1489,'area in m2'!B$2:C$10,2,FALSE)</f>
        <v>200</v>
      </c>
      <c r="D1489" s="5" t="s">
        <v>13</v>
      </c>
      <c r="E1489" s="6">
        <v>545.55721783971603</v>
      </c>
      <c r="F1489" s="33" t="str">
        <f t="shared" si="46"/>
        <v>Over 530</v>
      </c>
      <c r="G1489" s="33">
        <f t="shared" si="47"/>
        <v>572.83507873170186</v>
      </c>
      <c r="H1489" s="7">
        <v>0</v>
      </c>
      <c r="I1489" s="5" t="s">
        <v>14</v>
      </c>
      <c r="J1489" s="5">
        <v>23</v>
      </c>
      <c r="K1489" s="2"/>
      <c r="L1489" s="2"/>
      <c r="M1489" s="1"/>
    </row>
    <row r="1490" spans="1:13" ht="14.4" x14ac:dyDescent="0.3">
      <c r="A1490" s="14">
        <v>44909</v>
      </c>
      <c r="B1490" s="5">
        <v>3</v>
      </c>
      <c r="C1490" s="32">
        <f>VLOOKUP(B1490,'area in m2'!B$2:C$10,2,FALSE)</f>
        <v>195</v>
      </c>
      <c r="D1490" s="5" t="s">
        <v>11</v>
      </c>
      <c r="E1490" s="6">
        <v>510.13866656940536</v>
      </c>
      <c r="F1490" s="33" t="str">
        <f t="shared" si="46"/>
        <v>Below 530</v>
      </c>
      <c r="G1490" s="33">
        <f t="shared" si="47"/>
        <v>535.64559989787563</v>
      </c>
      <c r="H1490" s="7">
        <v>0.02</v>
      </c>
      <c r="I1490" s="5" t="s">
        <v>15</v>
      </c>
      <c r="J1490" s="5">
        <v>26</v>
      </c>
      <c r="K1490" s="2"/>
      <c r="L1490" s="2"/>
      <c r="M1490" s="1"/>
    </row>
    <row r="1491" spans="1:13" ht="14.4" x14ac:dyDescent="0.3">
      <c r="A1491" s="14">
        <v>44694</v>
      </c>
      <c r="B1491" s="5">
        <v>2</v>
      </c>
      <c r="C1491" s="32">
        <f>VLOOKUP(B1491,'area in m2'!B$2:C$10,2,FALSE)</f>
        <v>250</v>
      </c>
      <c r="D1491" s="5" t="s">
        <v>11</v>
      </c>
      <c r="E1491" s="6">
        <v>537.7394806188795</v>
      </c>
      <c r="F1491" s="33" t="str">
        <f t="shared" si="46"/>
        <v>Over 530</v>
      </c>
      <c r="G1491" s="33">
        <f t="shared" si="47"/>
        <v>564.62645464982347</v>
      </c>
      <c r="H1491" s="7">
        <v>0.01</v>
      </c>
      <c r="I1491" s="5" t="s">
        <v>15</v>
      </c>
      <c r="J1491" s="5">
        <v>48</v>
      </c>
      <c r="K1491" s="2"/>
      <c r="L1491" s="2"/>
      <c r="M1491" s="1"/>
    </row>
    <row r="1492" spans="1:13" ht="14.4" x14ac:dyDescent="0.3">
      <c r="A1492" s="14">
        <v>44805</v>
      </c>
      <c r="B1492" s="5">
        <v>7</v>
      </c>
      <c r="C1492" s="32">
        <f>VLOOKUP(B1492,'area in m2'!B$2:C$10,2,FALSE)</f>
        <v>166</v>
      </c>
      <c r="D1492" s="5" t="s">
        <v>12</v>
      </c>
      <c r="E1492" s="6">
        <v>541.44724850496186</v>
      </c>
      <c r="F1492" s="33" t="str">
        <f t="shared" si="46"/>
        <v>Over 530</v>
      </c>
      <c r="G1492" s="33">
        <f t="shared" si="47"/>
        <v>568.51961093020998</v>
      </c>
      <c r="H1492" s="7">
        <v>0.03</v>
      </c>
      <c r="I1492" s="5" t="s">
        <v>14</v>
      </c>
      <c r="J1492" s="5">
        <v>39</v>
      </c>
      <c r="K1492" s="2"/>
      <c r="L1492" s="2"/>
      <c r="M1492" s="1"/>
    </row>
    <row r="1493" spans="1:13" ht="14.4" x14ac:dyDescent="0.3">
      <c r="A1493" s="14">
        <v>44681</v>
      </c>
      <c r="B1493" s="5">
        <v>5</v>
      </c>
      <c r="C1493" s="32">
        <f>VLOOKUP(B1493,'area in m2'!B$2:C$10,2,FALSE)</f>
        <v>200</v>
      </c>
      <c r="D1493" s="5" t="s">
        <v>13</v>
      </c>
      <c r="E1493" s="6">
        <v>545.58000000000004</v>
      </c>
      <c r="F1493" s="33" t="str">
        <f t="shared" si="46"/>
        <v>Over 530</v>
      </c>
      <c r="G1493" s="33">
        <f t="shared" si="47"/>
        <v>572.85900000000004</v>
      </c>
      <c r="H1493" s="7">
        <v>0</v>
      </c>
      <c r="I1493" s="5" t="s">
        <v>14</v>
      </c>
      <c r="J1493" s="5">
        <v>32</v>
      </c>
      <c r="K1493" s="2"/>
      <c r="L1493" s="2"/>
      <c r="M1493" s="1"/>
    </row>
    <row r="1494" spans="1:13" ht="14.4" x14ac:dyDescent="0.3">
      <c r="A1494" s="14">
        <v>44731</v>
      </c>
      <c r="B1494" s="5">
        <v>1</v>
      </c>
      <c r="C1494" s="32">
        <f>VLOOKUP(B1494,'area in m2'!B$2:C$10,2,FALSE)</f>
        <v>280</v>
      </c>
      <c r="D1494" s="5" t="s">
        <v>11</v>
      </c>
      <c r="E1494" s="6">
        <v>533.12808156053961</v>
      </c>
      <c r="F1494" s="33" t="str">
        <f t="shared" si="46"/>
        <v>Over 530</v>
      </c>
      <c r="G1494" s="33">
        <f t="shared" si="47"/>
        <v>559.78448563856659</v>
      </c>
      <c r="H1494" s="7">
        <v>0</v>
      </c>
      <c r="I1494" s="5" t="s">
        <v>14</v>
      </c>
      <c r="J1494" s="5">
        <v>40</v>
      </c>
      <c r="K1494" s="2"/>
      <c r="L1494" s="2"/>
      <c r="M1494" s="1"/>
    </row>
    <row r="1495" spans="1:13" ht="14.4" x14ac:dyDescent="0.3">
      <c r="A1495" s="14">
        <v>44751</v>
      </c>
      <c r="B1495" s="5">
        <v>8</v>
      </c>
      <c r="C1495" s="32">
        <f>VLOOKUP(B1495,'area in m2'!B$2:C$10,2,FALSE)</f>
        <v>142</v>
      </c>
      <c r="D1495" s="5" t="s">
        <v>12</v>
      </c>
      <c r="E1495" s="6">
        <v>525.74734521009123</v>
      </c>
      <c r="F1495" s="33" t="str">
        <f t="shared" si="46"/>
        <v>Below 530</v>
      </c>
      <c r="G1495" s="33">
        <f t="shared" si="47"/>
        <v>552.03471247059576</v>
      </c>
      <c r="H1495" s="7">
        <v>0</v>
      </c>
      <c r="I1495" s="5" t="s">
        <v>14</v>
      </c>
      <c r="J1495" s="5">
        <v>45</v>
      </c>
      <c r="K1495" s="2"/>
      <c r="L1495" s="2"/>
      <c r="M1495" s="1"/>
    </row>
    <row r="1496" spans="1:13" ht="14.4" x14ac:dyDescent="0.3">
      <c r="A1496" s="14">
        <v>44860</v>
      </c>
      <c r="B1496" s="5">
        <v>9</v>
      </c>
      <c r="C1496" s="32">
        <f>VLOOKUP(B1496,'area in m2'!B$2:C$10,2,FALSE)</f>
        <v>140</v>
      </c>
      <c r="D1496" s="5" t="s">
        <v>12</v>
      </c>
      <c r="E1496" s="6">
        <v>533.81950430471534</v>
      </c>
      <c r="F1496" s="33" t="str">
        <f t="shared" si="46"/>
        <v>Over 530</v>
      </c>
      <c r="G1496" s="33">
        <f t="shared" si="47"/>
        <v>560.5104795199511</v>
      </c>
      <c r="H1496" s="7">
        <v>0.03</v>
      </c>
      <c r="I1496" s="5" t="s">
        <v>14</v>
      </c>
      <c r="J1496" s="5">
        <v>32</v>
      </c>
      <c r="K1496" s="2"/>
      <c r="L1496" s="2"/>
      <c r="M1496" s="1"/>
    </row>
    <row r="1497" spans="1:13" ht="14.4" x14ac:dyDescent="0.3">
      <c r="A1497" s="14">
        <v>44670</v>
      </c>
      <c r="B1497" s="5">
        <v>3</v>
      </c>
      <c r="C1497" s="32">
        <f>VLOOKUP(B1497,'area in m2'!B$2:C$10,2,FALSE)</f>
        <v>195</v>
      </c>
      <c r="D1497" s="5" t="s">
        <v>11</v>
      </c>
      <c r="E1497" s="6">
        <v>529.32859919651219</v>
      </c>
      <c r="F1497" s="33" t="str">
        <f t="shared" si="46"/>
        <v>Below 530</v>
      </c>
      <c r="G1497" s="33">
        <f t="shared" si="47"/>
        <v>555.79502915633782</v>
      </c>
      <c r="H1497" s="7">
        <v>0.01</v>
      </c>
      <c r="I1497" s="5" t="s">
        <v>14</v>
      </c>
      <c r="J1497" s="5">
        <v>40</v>
      </c>
      <c r="K1497" s="2"/>
      <c r="L1497" s="2"/>
      <c r="M1497" s="1"/>
    </row>
    <row r="1498" spans="1:13" ht="14.4" x14ac:dyDescent="0.3">
      <c r="A1498" s="14">
        <v>44912</v>
      </c>
      <c r="B1498" s="5">
        <v>8</v>
      </c>
      <c r="C1498" s="32">
        <f>VLOOKUP(B1498,'area in m2'!B$2:C$10,2,FALSE)</f>
        <v>142</v>
      </c>
      <c r="D1498" s="5" t="s">
        <v>12</v>
      </c>
      <c r="E1498" s="6">
        <v>543.9268325088342</v>
      </c>
      <c r="F1498" s="33" t="str">
        <f t="shared" si="46"/>
        <v>Over 530</v>
      </c>
      <c r="G1498" s="33">
        <f t="shared" si="47"/>
        <v>571.12317413427593</v>
      </c>
      <c r="H1498" s="7">
        <v>0.03</v>
      </c>
      <c r="I1498" s="5" t="s">
        <v>15</v>
      </c>
      <c r="J1498" s="5">
        <v>37</v>
      </c>
      <c r="K1498" s="2"/>
      <c r="L1498" s="2"/>
      <c r="M1498" s="1"/>
    </row>
    <row r="1499" spans="1:13" ht="14.4" x14ac:dyDescent="0.3">
      <c r="A1499" s="14">
        <v>44812</v>
      </c>
      <c r="B1499" s="5">
        <v>5</v>
      </c>
      <c r="C1499" s="32">
        <f>VLOOKUP(B1499,'area in m2'!B$2:C$10,2,FALSE)</f>
        <v>200</v>
      </c>
      <c r="D1499" s="5" t="s">
        <v>13</v>
      </c>
      <c r="E1499" s="6">
        <v>521.39318800667661</v>
      </c>
      <c r="F1499" s="33" t="str">
        <f t="shared" si="46"/>
        <v>Below 530</v>
      </c>
      <c r="G1499" s="33">
        <f t="shared" si="47"/>
        <v>547.46284740701049</v>
      </c>
      <c r="H1499" s="7">
        <v>0</v>
      </c>
      <c r="I1499" s="5" t="s">
        <v>14</v>
      </c>
      <c r="J1499" s="5">
        <v>38</v>
      </c>
      <c r="K1499" s="2"/>
      <c r="L1499" s="2"/>
      <c r="M1499" s="1"/>
    </row>
    <row r="1500" spans="1:13" ht="14.4" x14ac:dyDescent="0.3">
      <c r="A1500" s="14">
        <v>44633</v>
      </c>
      <c r="B1500" s="5">
        <v>3</v>
      </c>
      <c r="C1500" s="32">
        <f>VLOOKUP(B1500,'area in m2'!B$2:C$10,2,FALSE)</f>
        <v>195</v>
      </c>
      <c r="D1500" s="5" t="s">
        <v>11</v>
      </c>
      <c r="E1500" s="6">
        <v>502.43223405836306</v>
      </c>
      <c r="F1500" s="33" t="str">
        <f t="shared" si="46"/>
        <v>Below 530</v>
      </c>
      <c r="G1500" s="33">
        <f t="shared" si="47"/>
        <v>527.5538457612812</v>
      </c>
      <c r="H1500" s="7">
        <v>0.03</v>
      </c>
      <c r="I1500" s="5" t="s">
        <v>15</v>
      </c>
      <c r="J1500" s="5">
        <v>42</v>
      </c>
      <c r="K1500" s="2"/>
      <c r="L1500" s="2"/>
      <c r="M1500" s="1"/>
    </row>
    <row r="1501" spans="1:13" ht="14.4" x14ac:dyDescent="0.3">
      <c r="A1501" s="14">
        <v>44734</v>
      </c>
      <c r="B1501" s="5">
        <v>2</v>
      </c>
      <c r="C1501" s="32">
        <f>VLOOKUP(B1501,'area in m2'!B$2:C$10,2,FALSE)</f>
        <v>250</v>
      </c>
      <c r="D1501" s="5" t="s">
        <v>11</v>
      </c>
      <c r="E1501" s="6">
        <v>544.26453531495645</v>
      </c>
      <c r="F1501" s="33" t="str">
        <f t="shared" si="46"/>
        <v>Over 530</v>
      </c>
      <c r="G1501" s="33">
        <f t="shared" si="47"/>
        <v>571.47776208070434</v>
      </c>
      <c r="H1501" s="7">
        <v>0</v>
      </c>
      <c r="I1501" s="5" t="s">
        <v>14</v>
      </c>
      <c r="J1501" s="5">
        <v>41</v>
      </c>
      <c r="K1501" s="2"/>
      <c r="L1501" s="2"/>
      <c r="M1501" s="1"/>
    </row>
    <row r="1502" spans="1:13" ht="14.4" x14ac:dyDescent="0.3">
      <c r="A1502" s="14">
        <v>44621</v>
      </c>
      <c r="B1502" s="5">
        <v>3</v>
      </c>
      <c r="C1502" s="32">
        <f>VLOOKUP(B1502,'area in m2'!B$2:C$10,2,FALSE)</f>
        <v>195</v>
      </c>
      <c r="D1502" s="5" t="s">
        <v>11</v>
      </c>
      <c r="E1502" s="6">
        <v>528.70629878607542</v>
      </c>
      <c r="F1502" s="33" t="str">
        <f t="shared" si="46"/>
        <v>Below 530</v>
      </c>
      <c r="G1502" s="33">
        <f t="shared" si="47"/>
        <v>555.14161372537922</v>
      </c>
      <c r="H1502" s="7">
        <v>0.02</v>
      </c>
      <c r="I1502" s="5" t="s">
        <v>15</v>
      </c>
      <c r="J1502" s="5">
        <v>30</v>
      </c>
      <c r="K1502" s="2"/>
      <c r="L1502" s="2"/>
      <c r="M1502" s="1"/>
    </row>
    <row r="1503" spans="1:13" ht="14.4" x14ac:dyDescent="0.3">
      <c r="A1503" s="14">
        <v>44594</v>
      </c>
      <c r="B1503" s="5">
        <v>6</v>
      </c>
      <c r="C1503" s="32">
        <f>VLOOKUP(B1503,'area in m2'!B$2:C$10,2,FALSE)</f>
        <v>175</v>
      </c>
      <c r="D1503" s="5" t="s">
        <v>13</v>
      </c>
      <c r="E1503" s="6">
        <v>511.13727902466235</v>
      </c>
      <c r="F1503" s="33" t="str">
        <f t="shared" si="46"/>
        <v>Below 530</v>
      </c>
      <c r="G1503" s="33">
        <f t="shared" si="47"/>
        <v>536.69414297589549</v>
      </c>
      <c r="H1503" s="7">
        <v>0.03</v>
      </c>
      <c r="I1503" s="5" t="s">
        <v>14</v>
      </c>
      <c r="J1503" s="5">
        <v>39</v>
      </c>
      <c r="K1503" s="2"/>
      <c r="L1503" s="2"/>
      <c r="M1503" s="1"/>
    </row>
    <row r="1504" spans="1:13" ht="14.4" x14ac:dyDescent="0.3">
      <c r="A1504" s="14">
        <v>44775</v>
      </c>
      <c r="B1504" s="5">
        <v>4</v>
      </c>
      <c r="C1504" s="32">
        <f>VLOOKUP(B1504,'area in m2'!B$2:C$10,2,FALSE)</f>
        <v>188</v>
      </c>
      <c r="D1504" s="5" t="s">
        <v>11</v>
      </c>
      <c r="E1504" s="6">
        <v>504.8646013519292</v>
      </c>
      <c r="F1504" s="33" t="str">
        <f t="shared" si="46"/>
        <v>Below 530</v>
      </c>
      <c r="G1504" s="33">
        <f t="shared" si="47"/>
        <v>530.10783141952572</v>
      </c>
      <c r="H1504" s="7">
        <v>0</v>
      </c>
      <c r="I1504" s="5" t="s">
        <v>14</v>
      </c>
      <c r="J1504" s="5">
        <v>50</v>
      </c>
      <c r="K1504" s="2"/>
      <c r="L1504" s="2"/>
      <c r="M1504" s="1"/>
    </row>
    <row r="1505" spans="1:13" ht="14.4" x14ac:dyDescent="0.3">
      <c r="A1505" s="14">
        <v>44754</v>
      </c>
      <c r="B1505" s="5">
        <v>1</v>
      </c>
      <c r="C1505" s="32">
        <f>VLOOKUP(B1505,'area in m2'!B$2:C$10,2,FALSE)</f>
        <v>280</v>
      </c>
      <c r="D1505" s="5" t="s">
        <v>11</v>
      </c>
      <c r="E1505" s="6">
        <v>523.72929938063044</v>
      </c>
      <c r="F1505" s="33" t="str">
        <f t="shared" si="46"/>
        <v>Below 530</v>
      </c>
      <c r="G1505" s="33">
        <f t="shared" si="47"/>
        <v>549.91576434966203</v>
      </c>
      <c r="H1505" s="7">
        <v>0.02</v>
      </c>
      <c r="I1505" s="5" t="s">
        <v>14</v>
      </c>
      <c r="J1505" s="5">
        <v>28</v>
      </c>
      <c r="K1505" s="2"/>
      <c r="L1505" s="2"/>
      <c r="M1505" s="1"/>
    </row>
    <row r="1506" spans="1:13" ht="14.4" x14ac:dyDescent="0.3">
      <c r="A1506" s="14">
        <v>44759</v>
      </c>
      <c r="B1506" s="5">
        <v>4</v>
      </c>
      <c r="C1506" s="32">
        <f>VLOOKUP(B1506,'area in m2'!B$2:C$10,2,FALSE)</f>
        <v>188</v>
      </c>
      <c r="D1506" s="5" t="s">
        <v>11</v>
      </c>
      <c r="E1506" s="6">
        <v>546.45358839093024</v>
      </c>
      <c r="F1506" s="33" t="str">
        <f t="shared" si="46"/>
        <v>Over 530</v>
      </c>
      <c r="G1506" s="33">
        <f t="shared" si="47"/>
        <v>573.77626781047672</v>
      </c>
      <c r="H1506" s="7">
        <v>0</v>
      </c>
      <c r="I1506" s="5" t="s">
        <v>14</v>
      </c>
      <c r="J1506" s="5">
        <v>46</v>
      </c>
      <c r="K1506" s="2"/>
      <c r="L1506" s="2"/>
      <c r="M1506" s="1"/>
    </row>
    <row r="1507" spans="1:13" ht="14.4" x14ac:dyDescent="0.3">
      <c r="A1507" s="14">
        <v>44843</v>
      </c>
      <c r="B1507" s="5">
        <v>2</v>
      </c>
      <c r="C1507" s="32">
        <f>VLOOKUP(B1507,'area in m2'!B$2:C$10,2,FALSE)</f>
        <v>250</v>
      </c>
      <c r="D1507" s="5" t="s">
        <v>11</v>
      </c>
      <c r="E1507" s="6">
        <v>520.58694205337088</v>
      </c>
      <c r="F1507" s="33" t="str">
        <f t="shared" si="46"/>
        <v>Below 530</v>
      </c>
      <c r="G1507" s="33">
        <f t="shared" si="47"/>
        <v>546.61628915603944</v>
      </c>
      <c r="H1507" s="7">
        <v>0.02</v>
      </c>
      <c r="I1507" s="5" t="s">
        <v>15</v>
      </c>
      <c r="J1507" s="5">
        <v>55</v>
      </c>
      <c r="K1507" s="2"/>
      <c r="L1507" s="2"/>
      <c r="M1507" s="1"/>
    </row>
    <row r="1508" spans="1:13" ht="14.4" x14ac:dyDescent="0.3">
      <c r="A1508" s="14">
        <v>44794</v>
      </c>
      <c r="B1508" s="5">
        <v>5</v>
      </c>
      <c r="C1508" s="32">
        <f>VLOOKUP(B1508,'area in m2'!B$2:C$10,2,FALSE)</f>
        <v>200</v>
      </c>
      <c r="D1508" s="5" t="s">
        <v>13</v>
      </c>
      <c r="E1508" s="6">
        <v>540.03671523653975</v>
      </c>
      <c r="F1508" s="33" t="str">
        <f t="shared" si="46"/>
        <v>Over 530</v>
      </c>
      <c r="G1508" s="33">
        <f t="shared" si="47"/>
        <v>567.03855099836676</v>
      </c>
      <c r="H1508" s="7">
        <v>0.03</v>
      </c>
      <c r="I1508" s="5" t="s">
        <v>14</v>
      </c>
      <c r="J1508" s="5">
        <v>47</v>
      </c>
      <c r="K1508" s="2"/>
      <c r="L1508" s="2"/>
      <c r="M1508" s="1"/>
    </row>
    <row r="1509" spans="1:13" ht="14.4" x14ac:dyDescent="0.3">
      <c r="A1509" s="14">
        <v>44624</v>
      </c>
      <c r="B1509" s="5">
        <v>2</v>
      </c>
      <c r="C1509" s="32">
        <f>VLOOKUP(B1509,'area in m2'!B$2:C$10,2,FALSE)</f>
        <v>250</v>
      </c>
      <c r="D1509" s="5" t="s">
        <v>11</v>
      </c>
      <c r="E1509" s="6">
        <v>524.0348284117681</v>
      </c>
      <c r="F1509" s="33" t="str">
        <f t="shared" si="46"/>
        <v>Below 530</v>
      </c>
      <c r="G1509" s="33">
        <f t="shared" si="47"/>
        <v>550.23656983235651</v>
      </c>
      <c r="H1509" s="7">
        <v>0.01</v>
      </c>
      <c r="I1509" s="5" t="s">
        <v>14</v>
      </c>
      <c r="J1509" s="5">
        <v>42</v>
      </c>
      <c r="K1509" s="2"/>
      <c r="L1509" s="2"/>
      <c r="M1509" s="1"/>
    </row>
    <row r="1510" spans="1:13" ht="14.4" x14ac:dyDescent="0.3">
      <c r="A1510" s="14">
        <v>44623</v>
      </c>
      <c r="B1510" s="5">
        <v>1</v>
      </c>
      <c r="C1510" s="32">
        <f>VLOOKUP(B1510,'area in m2'!B$2:C$10,2,FALSE)</f>
        <v>280</v>
      </c>
      <c r="D1510" s="5" t="s">
        <v>11</v>
      </c>
      <c r="E1510" s="6">
        <v>540.71669213227688</v>
      </c>
      <c r="F1510" s="33" t="str">
        <f t="shared" si="46"/>
        <v>Over 530</v>
      </c>
      <c r="G1510" s="33">
        <f t="shared" si="47"/>
        <v>567.75252673889077</v>
      </c>
      <c r="H1510" s="7">
        <v>0</v>
      </c>
      <c r="I1510" s="5" t="s">
        <v>14</v>
      </c>
      <c r="J1510" s="5">
        <v>44</v>
      </c>
      <c r="K1510" s="2"/>
      <c r="L1510" s="2"/>
      <c r="M1510" s="1"/>
    </row>
    <row r="1511" spans="1:13" ht="14.4" x14ac:dyDescent="0.3">
      <c r="A1511" s="14">
        <v>44628</v>
      </c>
      <c r="B1511" s="5">
        <v>9</v>
      </c>
      <c r="C1511" s="32">
        <f>VLOOKUP(B1511,'area in m2'!B$2:C$10,2,FALSE)</f>
        <v>140</v>
      </c>
      <c r="D1511" s="5" t="s">
        <v>12</v>
      </c>
      <c r="E1511" s="6">
        <v>522.65427069439374</v>
      </c>
      <c r="F1511" s="33" t="str">
        <f t="shared" si="46"/>
        <v>Below 530</v>
      </c>
      <c r="G1511" s="33">
        <f t="shared" si="47"/>
        <v>548.7869842291135</v>
      </c>
      <c r="H1511" s="7">
        <v>0.02</v>
      </c>
      <c r="I1511" s="5" t="s">
        <v>14</v>
      </c>
      <c r="J1511" s="5">
        <v>25</v>
      </c>
      <c r="K1511" s="2"/>
      <c r="L1511" s="2"/>
      <c r="M1511" s="1"/>
    </row>
    <row r="1512" spans="1:13" ht="14.4" x14ac:dyDescent="0.3">
      <c r="A1512" s="14">
        <v>44897</v>
      </c>
      <c r="B1512" s="5">
        <v>5</v>
      </c>
      <c r="C1512" s="32">
        <f>VLOOKUP(B1512,'area in m2'!B$2:C$10,2,FALSE)</f>
        <v>200</v>
      </c>
      <c r="D1512" s="5" t="s">
        <v>13</v>
      </c>
      <c r="E1512" s="6">
        <v>516.50406314587963</v>
      </c>
      <c r="F1512" s="33" t="str">
        <f t="shared" si="46"/>
        <v>Below 530</v>
      </c>
      <c r="G1512" s="33">
        <f t="shared" si="47"/>
        <v>542.32926630317365</v>
      </c>
      <c r="H1512" s="7">
        <v>0.01</v>
      </c>
      <c r="I1512" s="5" t="s">
        <v>14</v>
      </c>
      <c r="J1512" s="5">
        <v>45</v>
      </c>
      <c r="K1512" s="2"/>
      <c r="L1512" s="2"/>
      <c r="M1512" s="1"/>
    </row>
    <row r="1513" spans="1:13" ht="14.4" x14ac:dyDescent="0.3">
      <c r="A1513" s="14">
        <v>44895</v>
      </c>
      <c r="B1513" s="5">
        <v>5</v>
      </c>
      <c r="C1513" s="32">
        <f>VLOOKUP(B1513,'area in m2'!B$2:C$10,2,FALSE)</f>
        <v>200</v>
      </c>
      <c r="D1513" s="5" t="s">
        <v>13</v>
      </c>
      <c r="E1513" s="6">
        <v>545.19966278428365</v>
      </c>
      <c r="F1513" s="33" t="str">
        <f t="shared" si="46"/>
        <v>Over 530</v>
      </c>
      <c r="G1513" s="33">
        <f t="shared" si="47"/>
        <v>572.45964592349787</v>
      </c>
      <c r="H1513" s="7">
        <v>0.02</v>
      </c>
      <c r="I1513" s="5" t="s">
        <v>14</v>
      </c>
      <c r="J1513" s="5">
        <v>48</v>
      </c>
      <c r="K1513" s="2"/>
      <c r="L1513" s="2"/>
      <c r="M1513" s="1"/>
    </row>
    <row r="1514" spans="1:13" ht="14.4" x14ac:dyDescent="0.3">
      <c r="A1514" s="14">
        <v>44856</v>
      </c>
      <c r="B1514" s="5">
        <v>8</v>
      </c>
      <c r="C1514" s="32">
        <f>VLOOKUP(B1514,'area in m2'!B$2:C$10,2,FALSE)</f>
        <v>142</v>
      </c>
      <c r="D1514" s="5" t="s">
        <v>12</v>
      </c>
      <c r="E1514" s="6">
        <v>505.99909145680067</v>
      </c>
      <c r="F1514" s="33" t="str">
        <f t="shared" si="46"/>
        <v>Below 530</v>
      </c>
      <c r="G1514" s="33">
        <f t="shared" si="47"/>
        <v>531.29904602964075</v>
      </c>
      <c r="H1514" s="7">
        <v>0.01</v>
      </c>
      <c r="I1514" s="5" t="s">
        <v>14</v>
      </c>
      <c r="J1514" s="5">
        <v>32</v>
      </c>
      <c r="K1514" s="2"/>
      <c r="L1514" s="2"/>
      <c r="M1514" s="1"/>
    </row>
    <row r="1515" spans="1:13" ht="14.4" x14ac:dyDescent="0.3">
      <c r="A1515" s="14">
        <v>44580</v>
      </c>
      <c r="B1515" s="5">
        <v>1</v>
      </c>
      <c r="C1515" s="32">
        <f>VLOOKUP(B1515,'area in m2'!B$2:C$10,2,FALSE)</f>
        <v>280</v>
      </c>
      <c r="D1515" s="5" t="s">
        <v>11</v>
      </c>
      <c r="E1515" s="6">
        <v>501.58373567624221</v>
      </c>
      <c r="F1515" s="33" t="str">
        <f t="shared" si="46"/>
        <v>Below 530</v>
      </c>
      <c r="G1515" s="33">
        <f t="shared" si="47"/>
        <v>526.66292246005435</v>
      </c>
      <c r="H1515" s="7">
        <v>0.01</v>
      </c>
      <c r="I1515" s="5" t="s">
        <v>14</v>
      </c>
      <c r="J1515" s="5">
        <v>48</v>
      </c>
      <c r="K1515" s="2"/>
      <c r="L1515" s="2"/>
      <c r="M1515" s="1"/>
    </row>
    <row r="1516" spans="1:13" ht="14.4" x14ac:dyDescent="0.3">
      <c r="A1516" s="14">
        <v>44897</v>
      </c>
      <c r="B1516" s="5">
        <v>1</v>
      </c>
      <c r="C1516" s="32">
        <f>VLOOKUP(B1516,'area in m2'!B$2:C$10,2,FALSE)</f>
        <v>280</v>
      </c>
      <c r="D1516" s="5" t="s">
        <v>11</v>
      </c>
      <c r="E1516" s="6">
        <v>513.28595397264507</v>
      </c>
      <c r="F1516" s="33" t="str">
        <f t="shared" si="46"/>
        <v>Below 530</v>
      </c>
      <c r="G1516" s="33">
        <f t="shared" si="47"/>
        <v>538.95025167127733</v>
      </c>
      <c r="H1516" s="7">
        <v>0.01</v>
      </c>
      <c r="I1516" s="5" t="s">
        <v>15</v>
      </c>
      <c r="J1516" s="5">
        <v>27</v>
      </c>
      <c r="K1516" s="2"/>
      <c r="L1516" s="2"/>
      <c r="M1516" s="1"/>
    </row>
    <row r="1517" spans="1:13" ht="14.4" x14ac:dyDescent="0.3">
      <c r="A1517" s="14">
        <v>44645</v>
      </c>
      <c r="B1517" s="5">
        <v>2</v>
      </c>
      <c r="C1517" s="32">
        <f>VLOOKUP(B1517,'area in m2'!B$2:C$10,2,FALSE)</f>
        <v>250</v>
      </c>
      <c r="D1517" s="5" t="s">
        <v>11</v>
      </c>
      <c r="E1517" s="6">
        <v>526.21199742337558</v>
      </c>
      <c r="F1517" s="33" t="str">
        <f t="shared" si="46"/>
        <v>Below 530</v>
      </c>
      <c r="G1517" s="33">
        <f t="shared" si="47"/>
        <v>552.52259729454443</v>
      </c>
      <c r="H1517" s="7">
        <v>0</v>
      </c>
      <c r="I1517" s="5" t="s">
        <v>14</v>
      </c>
      <c r="J1517" s="5">
        <v>37</v>
      </c>
      <c r="K1517" s="2"/>
      <c r="L1517" s="2"/>
      <c r="M1517" s="1"/>
    </row>
  </sheetData>
  <mergeCells count="2">
    <mergeCell ref="A1:J1"/>
    <mergeCell ref="M1:N1"/>
  </mergeCells>
  <phoneticPr fontId="2" type="noConversion"/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C6AEA-1567-447B-AD0A-CEA46D7F3497}">
  <dimension ref="B1:G10"/>
  <sheetViews>
    <sheetView showGridLines="0" zoomScale="190" zoomScaleNormal="190" workbookViewId="0"/>
  </sheetViews>
  <sheetFormatPr baseColWidth="10" defaultColWidth="10.88671875" defaultRowHeight="13.2" x14ac:dyDescent="0.25"/>
  <cols>
    <col min="1" max="1" width="8.88671875" bestFit="1" customWidth="1"/>
    <col min="2" max="2" width="12" bestFit="1" customWidth="1"/>
    <col min="3" max="3" width="9.5546875" bestFit="1" customWidth="1"/>
  </cols>
  <sheetData>
    <row r="1" spans="2:7" ht="13.8" x14ac:dyDescent="0.3">
      <c r="B1" s="16" t="s">
        <v>6</v>
      </c>
      <c r="C1" s="17" t="s">
        <v>53</v>
      </c>
    </row>
    <row r="2" spans="2:7" ht="13.8" x14ac:dyDescent="0.3">
      <c r="B2" s="18">
        <v>1</v>
      </c>
      <c r="C2" s="18">
        <v>280</v>
      </c>
    </row>
    <row r="3" spans="2:7" ht="13.8" x14ac:dyDescent="0.3">
      <c r="B3" s="18">
        <v>2</v>
      </c>
      <c r="C3" s="18">
        <v>250</v>
      </c>
    </row>
    <row r="4" spans="2:7" ht="13.8" x14ac:dyDescent="0.3">
      <c r="B4" s="18">
        <v>3</v>
      </c>
      <c r="C4" s="18">
        <v>195</v>
      </c>
    </row>
    <row r="5" spans="2:7" ht="13.8" x14ac:dyDescent="0.3">
      <c r="B5" s="18">
        <v>4</v>
      </c>
      <c r="C5" s="18">
        <v>188</v>
      </c>
    </row>
    <row r="6" spans="2:7" ht="13.8" x14ac:dyDescent="0.3">
      <c r="B6" s="18">
        <v>5</v>
      </c>
      <c r="C6" s="18">
        <v>200</v>
      </c>
    </row>
    <row r="7" spans="2:7" ht="13.8" x14ac:dyDescent="0.3">
      <c r="B7" s="18">
        <v>6</v>
      </c>
      <c r="C7" s="18">
        <v>175</v>
      </c>
      <c r="G7" s="19"/>
    </row>
    <row r="8" spans="2:7" ht="13.8" x14ac:dyDescent="0.3">
      <c r="B8" s="18">
        <v>7</v>
      </c>
      <c r="C8" s="18">
        <v>166</v>
      </c>
    </row>
    <row r="9" spans="2:7" ht="13.8" x14ac:dyDescent="0.3">
      <c r="B9" s="18">
        <v>8</v>
      </c>
      <c r="C9" s="18">
        <v>142</v>
      </c>
    </row>
    <row r="10" spans="2:7" ht="13.8" x14ac:dyDescent="0.3">
      <c r="B10" s="18">
        <v>9</v>
      </c>
      <c r="C10" s="18">
        <v>140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34E96-8B9E-43DD-BD6F-C5111D582CF2}">
  <dimension ref="A1:C7"/>
  <sheetViews>
    <sheetView showGridLines="0" zoomScale="160" zoomScaleNormal="160" workbookViewId="0"/>
  </sheetViews>
  <sheetFormatPr baseColWidth="10" defaultColWidth="8.88671875" defaultRowHeight="13.2" x14ac:dyDescent="0.25"/>
  <cols>
    <col min="1" max="1" width="13.88671875" bestFit="1" customWidth="1"/>
    <col min="2" max="2" width="22.33203125" bestFit="1" customWidth="1"/>
    <col min="3" max="3" width="24.33203125" bestFit="1" customWidth="1"/>
  </cols>
  <sheetData>
    <row r="1" spans="1:3" ht="17.399999999999999" x14ac:dyDescent="0.35">
      <c r="A1" s="13" t="s">
        <v>16</v>
      </c>
    </row>
    <row r="3" spans="1:3" x14ac:dyDescent="0.25">
      <c r="A3" s="22" t="s">
        <v>20</v>
      </c>
      <c r="B3" t="s">
        <v>22</v>
      </c>
      <c r="C3" t="s">
        <v>19</v>
      </c>
    </row>
    <row r="4" spans="1:3" x14ac:dyDescent="0.25">
      <c r="A4" s="23" t="s">
        <v>11</v>
      </c>
      <c r="B4" s="26">
        <v>769</v>
      </c>
      <c r="C4" s="28">
        <v>524.70089569764548</v>
      </c>
    </row>
    <row r="5" spans="1:3" x14ac:dyDescent="0.25">
      <c r="A5" s="23" t="s">
        <v>12</v>
      </c>
      <c r="B5" s="26">
        <v>369</v>
      </c>
      <c r="C5" s="28">
        <v>526.49420874642271</v>
      </c>
    </row>
    <row r="6" spans="1:3" x14ac:dyDescent="0.25">
      <c r="A6" s="23" t="s">
        <v>13</v>
      </c>
      <c r="B6" s="26">
        <v>376</v>
      </c>
      <c r="C6" s="28">
        <v>527.53706137713993</v>
      </c>
    </row>
    <row r="7" spans="1:3" x14ac:dyDescent="0.25">
      <c r="A7" s="23" t="s">
        <v>21</v>
      </c>
      <c r="B7" s="26">
        <v>1514</v>
      </c>
      <c r="C7" s="28">
        <v>525.84232952227558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C6EEC-E0F7-439B-95BC-EC7A654455CB}">
  <dimension ref="A1:C16"/>
  <sheetViews>
    <sheetView showGridLines="0" zoomScale="160" zoomScaleNormal="160" workbookViewId="0"/>
  </sheetViews>
  <sheetFormatPr baseColWidth="10" defaultColWidth="8.88671875" defaultRowHeight="13.2" x14ac:dyDescent="0.25"/>
  <cols>
    <col min="1" max="1" width="13.88671875" bestFit="1" customWidth="1"/>
    <col min="2" max="2" width="24.33203125" bestFit="1" customWidth="1"/>
    <col min="3" max="3" width="10.6640625" bestFit="1" customWidth="1"/>
  </cols>
  <sheetData>
    <row r="1" spans="1:3" ht="17.399999999999999" x14ac:dyDescent="0.35">
      <c r="A1" s="13" t="s">
        <v>51</v>
      </c>
    </row>
    <row r="3" spans="1:3" x14ac:dyDescent="0.25">
      <c r="A3" s="22" t="s">
        <v>20</v>
      </c>
      <c r="B3" t="s">
        <v>19</v>
      </c>
      <c r="C3" t="s">
        <v>37</v>
      </c>
    </row>
    <row r="4" spans="1:3" x14ac:dyDescent="0.25">
      <c r="A4" s="27" t="s">
        <v>23</v>
      </c>
      <c r="B4" s="28">
        <v>526.59234286388505</v>
      </c>
      <c r="C4" s="34"/>
    </row>
    <row r="5" spans="1:3" x14ac:dyDescent="0.25">
      <c r="A5" s="27" t="s">
        <v>24</v>
      </c>
      <c r="B5" s="28">
        <v>525.99608674080127</v>
      </c>
      <c r="C5" s="34">
        <v>-1.1322916695693356E-3</v>
      </c>
    </row>
    <row r="6" spans="1:3" x14ac:dyDescent="0.25">
      <c r="A6" s="27" t="s">
        <v>25</v>
      </c>
      <c r="B6" s="28">
        <v>524.53175480226355</v>
      </c>
      <c r="C6" s="34">
        <v>-2.7839217352567764E-3</v>
      </c>
    </row>
    <row r="7" spans="1:3" x14ac:dyDescent="0.25">
      <c r="A7" s="27" t="s">
        <v>26</v>
      </c>
      <c r="B7" s="28">
        <v>527.28290341496268</v>
      </c>
      <c r="C7" s="34">
        <v>5.2449610295495757E-3</v>
      </c>
    </row>
    <row r="8" spans="1:3" x14ac:dyDescent="0.25">
      <c r="A8" s="27" t="s">
        <v>27</v>
      </c>
      <c r="B8" s="28">
        <v>524.02105927552566</v>
      </c>
      <c r="C8" s="34">
        <v>-6.1861367366770103E-3</v>
      </c>
    </row>
    <row r="9" spans="1:3" x14ac:dyDescent="0.25">
      <c r="A9" s="27" t="s">
        <v>28</v>
      </c>
      <c r="B9" s="28">
        <v>526.34176707576216</v>
      </c>
      <c r="C9" s="34">
        <v>4.4286536946529422E-3</v>
      </c>
    </row>
    <row r="10" spans="1:3" x14ac:dyDescent="0.25">
      <c r="A10" s="27" t="s">
        <v>29</v>
      </c>
      <c r="B10" s="28">
        <v>525.86215845530785</v>
      </c>
      <c r="C10" s="34">
        <v>-9.1121140379740956E-4</v>
      </c>
    </row>
    <row r="11" spans="1:3" x14ac:dyDescent="0.25">
      <c r="A11" s="27" t="s">
        <v>30</v>
      </c>
      <c r="B11" s="28">
        <v>526.88597839176964</v>
      </c>
      <c r="C11" s="34">
        <v>1.9469359412915505E-3</v>
      </c>
    </row>
    <row r="12" spans="1:3" x14ac:dyDescent="0.25">
      <c r="A12" s="27" t="s">
        <v>31</v>
      </c>
      <c r="B12" s="28">
        <v>524.6629394547823</v>
      </c>
      <c r="C12" s="34">
        <v>-4.2192030688931728E-3</v>
      </c>
    </row>
    <row r="13" spans="1:3" x14ac:dyDescent="0.25">
      <c r="A13" s="27" t="s">
        <v>32</v>
      </c>
      <c r="B13" s="28">
        <v>526.53909604935893</v>
      </c>
      <c r="C13" s="34">
        <v>3.5759274259513866E-3</v>
      </c>
    </row>
    <row r="14" spans="1:3" x14ac:dyDescent="0.25">
      <c r="A14" s="27" t="s">
        <v>33</v>
      </c>
      <c r="B14" s="28">
        <v>525.65333281126073</v>
      </c>
      <c r="C14" s="34">
        <v>-1.6822364089278822E-3</v>
      </c>
    </row>
    <row r="15" spans="1:3" x14ac:dyDescent="0.25">
      <c r="A15" s="27" t="s">
        <v>34</v>
      </c>
      <c r="B15" s="28">
        <v>526.30904274997295</v>
      </c>
      <c r="C15" s="34">
        <v>1.2474189694668171E-3</v>
      </c>
    </row>
    <row r="16" spans="1:3" x14ac:dyDescent="0.25">
      <c r="A16" s="27" t="s">
        <v>21</v>
      </c>
      <c r="B16" s="28">
        <v>525.84232952227524</v>
      </c>
      <c r="C16" s="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410CC-B67A-46E4-9B75-C5BE6A3C11C3}">
  <dimension ref="A1:C16"/>
  <sheetViews>
    <sheetView showGridLines="0" zoomScale="160" zoomScaleNormal="160" workbookViewId="0"/>
  </sheetViews>
  <sheetFormatPr baseColWidth="10" defaultColWidth="8.88671875" defaultRowHeight="13.2" x14ac:dyDescent="0.25"/>
  <cols>
    <col min="1" max="1" width="13.88671875" bestFit="1" customWidth="1"/>
    <col min="2" max="2" width="29" bestFit="1" customWidth="1"/>
    <col min="3" max="3" width="10.6640625" bestFit="1" customWidth="1"/>
  </cols>
  <sheetData>
    <row r="1" spans="1:3" ht="17.399999999999999" x14ac:dyDescent="0.35">
      <c r="A1" s="13" t="s">
        <v>17</v>
      </c>
    </row>
    <row r="3" spans="1:3" x14ac:dyDescent="0.25">
      <c r="A3" s="22" t="s">
        <v>20</v>
      </c>
      <c r="B3" t="s">
        <v>36</v>
      </c>
      <c r="C3" t="s">
        <v>37</v>
      </c>
    </row>
    <row r="4" spans="1:3" x14ac:dyDescent="0.25">
      <c r="A4" s="27" t="s">
        <v>23</v>
      </c>
      <c r="B4" s="28">
        <v>552.92196000707884</v>
      </c>
      <c r="C4" s="34"/>
    </row>
    <row r="5" spans="1:3" x14ac:dyDescent="0.25">
      <c r="A5" s="27" t="s">
        <v>24</v>
      </c>
      <c r="B5" s="28">
        <v>552.29589107784125</v>
      </c>
      <c r="C5" s="34">
        <v>-1.132291669568658E-3</v>
      </c>
    </row>
    <row r="6" spans="1:3" x14ac:dyDescent="0.25">
      <c r="A6" s="27" t="s">
        <v>25</v>
      </c>
      <c r="B6" s="28">
        <v>550.75834254237691</v>
      </c>
      <c r="C6" s="34">
        <v>-2.7839217352562829E-3</v>
      </c>
    </row>
    <row r="7" spans="1:3" x14ac:dyDescent="0.25">
      <c r="A7" s="27" t="s">
        <v>26</v>
      </c>
      <c r="B7" s="28">
        <v>553.64704858571076</v>
      </c>
      <c r="C7" s="34">
        <v>5.2449610295491611E-3</v>
      </c>
    </row>
    <row r="8" spans="1:3" x14ac:dyDescent="0.25">
      <c r="A8" s="27" t="s">
        <v>27</v>
      </c>
      <c r="B8" s="28">
        <v>550.22211223930219</v>
      </c>
      <c r="C8" s="34">
        <v>-6.1861367366764768E-3</v>
      </c>
    </row>
    <row r="9" spans="1:3" x14ac:dyDescent="0.25">
      <c r="A9" s="27" t="s">
        <v>28</v>
      </c>
      <c r="B9" s="28">
        <v>552.65885542955016</v>
      </c>
      <c r="C9" s="34">
        <v>4.4286536946522787E-3</v>
      </c>
    </row>
    <row r="10" spans="1:3" x14ac:dyDescent="0.25">
      <c r="A10" s="27" t="s">
        <v>29</v>
      </c>
      <c r="B10" s="28">
        <v>552.15526637807375</v>
      </c>
      <c r="C10" s="34">
        <v>-9.112114037962886E-4</v>
      </c>
    </row>
    <row r="11" spans="1:3" x14ac:dyDescent="0.25">
      <c r="A11" s="27" t="s">
        <v>30</v>
      </c>
      <c r="B11" s="28">
        <v>553.23027731135812</v>
      </c>
      <c r="C11" s="34">
        <v>1.9469359412906324E-3</v>
      </c>
    </row>
    <row r="12" spans="1:3" x14ac:dyDescent="0.25">
      <c r="A12" s="27" t="s">
        <v>31</v>
      </c>
      <c r="B12" s="28">
        <v>550.89608642752091</v>
      </c>
      <c r="C12" s="34">
        <v>-4.219203068894087E-3</v>
      </c>
    </row>
    <row r="13" spans="1:3" x14ac:dyDescent="0.25">
      <c r="A13" s="27" t="s">
        <v>32</v>
      </c>
      <c r="B13" s="28">
        <v>552.86605085182714</v>
      </c>
      <c r="C13" s="34">
        <v>3.575927425952783E-3</v>
      </c>
    </row>
    <row r="14" spans="1:3" x14ac:dyDescent="0.25">
      <c r="A14" s="27" t="s">
        <v>33</v>
      </c>
      <c r="B14" s="28">
        <v>551.9359994518237</v>
      </c>
      <c r="C14" s="34">
        <v>-1.6822364089284572E-3</v>
      </c>
    </row>
    <row r="15" spans="1:3" x14ac:dyDescent="0.25">
      <c r="A15" s="27" t="s">
        <v>34</v>
      </c>
      <c r="B15" s="28">
        <v>552.62449488747177</v>
      </c>
      <c r="C15" s="34">
        <v>1.2474189694672395E-3</v>
      </c>
    </row>
    <row r="16" spans="1:3" x14ac:dyDescent="0.25">
      <c r="A16" s="27" t="s">
        <v>21</v>
      </c>
      <c r="B16" s="28">
        <v>552.13444599838783</v>
      </c>
      <c r="C16" s="3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6680-BDAA-42A8-967D-8C41DBD7EC47}">
  <dimension ref="A1:C19"/>
  <sheetViews>
    <sheetView showGridLines="0" zoomScale="160" zoomScaleNormal="160" workbookViewId="0"/>
  </sheetViews>
  <sheetFormatPr baseColWidth="10" defaultColWidth="8.88671875" defaultRowHeight="13.2" x14ac:dyDescent="0.25"/>
  <cols>
    <col min="1" max="1" width="22.33203125" bestFit="1" customWidth="1"/>
    <col min="2" max="2" width="17" bestFit="1" customWidth="1"/>
    <col min="3" max="3" width="9" bestFit="1" customWidth="1"/>
    <col min="4" max="4" width="11.109375" bestFit="1" customWidth="1"/>
  </cols>
  <sheetData>
    <row r="1" spans="1:3" ht="17.399999999999999" x14ac:dyDescent="0.35">
      <c r="A1" s="12" t="s">
        <v>2</v>
      </c>
    </row>
    <row r="3" spans="1:3" x14ac:dyDescent="0.25">
      <c r="A3" s="22" t="s">
        <v>22</v>
      </c>
      <c r="B3" s="22" t="s">
        <v>40</v>
      </c>
    </row>
    <row r="4" spans="1:3" x14ac:dyDescent="0.25">
      <c r="A4" s="22" t="s">
        <v>20</v>
      </c>
      <c r="B4" s="26" t="s">
        <v>41</v>
      </c>
      <c r="C4" s="26" t="s">
        <v>38</v>
      </c>
    </row>
    <row r="5" spans="1:3" x14ac:dyDescent="0.25">
      <c r="A5" s="23" t="s">
        <v>11</v>
      </c>
      <c r="B5" s="26">
        <v>468</v>
      </c>
      <c r="C5" s="26">
        <v>301</v>
      </c>
    </row>
    <row r="6" spans="1:3" x14ac:dyDescent="0.25">
      <c r="A6" s="25">
        <v>1</v>
      </c>
      <c r="B6" s="26">
        <v>112</v>
      </c>
      <c r="C6" s="26">
        <v>68</v>
      </c>
    </row>
    <row r="7" spans="1:3" x14ac:dyDescent="0.25">
      <c r="A7" s="25">
        <v>2</v>
      </c>
      <c r="B7" s="26">
        <v>109</v>
      </c>
      <c r="C7" s="26">
        <v>66</v>
      </c>
    </row>
    <row r="8" spans="1:3" x14ac:dyDescent="0.25">
      <c r="A8" s="25">
        <v>3</v>
      </c>
      <c r="B8" s="26">
        <v>125</v>
      </c>
      <c r="C8" s="26">
        <v>88</v>
      </c>
    </row>
    <row r="9" spans="1:3" x14ac:dyDescent="0.25">
      <c r="A9" s="25">
        <v>4</v>
      </c>
      <c r="B9" s="26">
        <v>94</v>
      </c>
      <c r="C9" s="26">
        <v>67</v>
      </c>
    </row>
    <row r="10" spans="1:3" x14ac:dyDescent="0.25">
      <c r="A10" s="25">
        <v>7</v>
      </c>
      <c r="B10" s="26">
        <v>6</v>
      </c>
      <c r="C10" s="26">
        <v>1</v>
      </c>
    </row>
    <row r="11" spans="1:3" x14ac:dyDescent="0.25">
      <c r="A11" s="25">
        <v>8</v>
      </c>
      <c r="B11" s="26">
        <v>22</v>
      </c>
      <c r="C11" s="26">
        <v>11</v>
      </c>
    </row>
    <row r="12" spans="1:3" x14ac:dyDescent="0.25">
      <c r="A12" s="23" t="s">
        <v>12</v>
      </c>
      <c r="B12" s="26">
        <v>201</v>
      </c>
      <c r="C12" s="26">
        <v>168</v>
      </c>
    </row>
    <row r="13" spans="1:3" x14ac:dyDescent="0.25">
      <c r="A13" s="25">
        <v>7</v>
      </c>
      <c r="B13" s="26">
        <v>70</v>
      </c>
      <c r="C13" s="26">
        <v>58</v>
      </c>
    </row>
    <row r="14" spans="1:3" x14ac:dyDescent="0.25">
      <c r="A14" s="25">
        <v>8</v>
      </c>
      <c r="B14" s="26">
        <v>68</v>
      </c>
      <c r="C14" s="26">
        <v>58</v>
      </c>
    </row>
    <row r="15" spans="1:3" x14ac:dyDescent="0.25">
      <c r="A15" s="25">
        <v>9</v>
      </c>
      <c r="B15" s="26">
        <v>63</v>
      </c>
      <c r="C15" s="26">
        <v>52</v>
      </c>
    </row>
    <row r="16" spans="1:3" x14ac:dyDescent="0.25">
      <c r="A16" s="23" t="s">
        <v>13</v>
      </c>
      <c r="B16" s="26">
        <v>199</v>
      </c>
      <c r="C16" s="26">
        <v>177</v>
      </c>
    </row>
    <row r="17" spans="1:3" x14ac:dyDescent="0.25">
      <c r="A17" s="25">
        <v>5</v>
      </c>
      <c r="B17" s="26">
        <v>44</v>
      </c>
      <c r="C17" s="26">
        <v>143</v>
      </c>
    </row>
    <row r="18" spans="1:3" x14ac:dyDescent="0.25">
      <c r="A18" s="25">
        <v>6</v>
      </c>
      <c r="B18" s="26">
        <v>155</v>
      </c>
      <c r="C18" s="26">
        <v>34</v>
      </c>
    </row>
    <row r="19" spans="1:3" x14ac:dyDescent="0.25">
      <c r="A19" s="23" t="s">
        <v>21</v>
      </c>
      <c r="B19" s="26">
        <v>868</v>
      </c>
      <c r="C19" s="26">
        <v>646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3484E-543D-4AEE-94B8-A1414D12423E}">
  <dimension ref="A1:B10"/>
  <sheetViews>
    <sheetView showGridLines="0" zoomScale="175" zoomScaleNormal="175" workbookViewId="0"/>
  </sheetViews>
  <sheetFormatPr baseColWidth="10" defaultColWidth="8.88671875" defaultRowHeight="13.2" x14ac:dyDescent="0.25"/>
  <cols>
    <col min="1" max="1" width="13.88671875" bestFit="1" customWidth="1"/>
    <col min="2" max="2" width="24.33203125" bestFit="1" customWidth="1"/>
    <col min="3" max="3" width="22.5546875" bestFit="1" customWidth="1"/>
  </cols>
  <sheetData>
    <row r="1" spans="1:2" ht="17.399999999999999" x14ac:dyDescent="0.35">
      <c r="A1" s="12" t="s">
        <v>50</v>
      </c>
    </row>
    <row r="3" spans="1:2" x14ac:dyDescent="0.25">
      <c r="A3" s="22" t="s">
        <v>18</v>
      </c>
      <c r="B3" t="s">
        <v>15</v>
      </c>
    </row>
    <row r="5" spans="1:2" x14ac:dyDescent="0.25">
      <c r="A5" s="22" t="s">
        <v>20</v>
      </c>
      <c r="B5" t="s">
        <v>19</v>
      </c>
    </row>
    <row r="6" spans="1:2" x14ac:dyDescent="0.25">
      <c r="A6" s="29" t="s">
        <v>42</v>
      </c>
      <c r="B6" s="30">
        <v>526.00217041546205</v>
      </c>
    </row>
    <row r="7" spans="1:2" x14ac:dyDescent="0.25">
      <c r="A7" s="23" t="s">
        <v>43</v>
      </c>
      <c r="B7" s="28">
        <v>525.78352665041905</v>
      </c>
    </row>
    <row r="8" spans="1:2" x14ac:dyDescent="0.25">
      <c r="A8" s="23" t="s">
        <v>45</v>
      </c>
      <c r="B8" s="28">
        <v>524.97708166972848</v>
      </c>
    </row>
    <row r="9" spans="1:2" x14ac:dyDescent="0.25">
      <c r="A9" s="23" t="s">
        <v>44</v>
      </c>
      <c r="B9" s="28">
        <v>524.93732913268536</v>
      </c>
    </row>
    <row r="10" spans="1:2" x14ac:dyDescent="0.25">
      <c r="A10" s="23" t="s">
        <v>21</v>
      </c>
      <c r="B10" s="28">
        <v>525.35727569073174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71C7-E94A-4FC7-AE6C-F4DD96F6D8C2}">
  <dimension ref="A1:F13"/>
  <sheetViews>
    <sheetView showGridLines="0" tabSelected="1" zoomScale="160" zoomScaleNormal="160" workbookViewId="0"/>
  </sheetViews>
  <sheetFormatPr baseColWidth="10" defaultColWidth="8.88671875" defaultRowHeight="13.2" x14ac:dyDescent="0.25"/>
  <cols>
    <col min="1" max="1" width="13.88671875" bestFit="1" customWidth="1"/>
    <col min="2" max="2" width="20.6640625" bestFit="1" customWidth="1"/>
    <col min="3" max="3" width="19.109375" bestFit="1" customWidth="1"/>
    <col min="5" max="5" width="95.5546875" bestFit="1" customWidth="1"/>
  </cols>
  <sheetData>
    <row r="1" spans="1:6" ht="17.399999999999999" x14ac:dyDescent="0.35">
      <c r="A1" s="12" t="s">
        <v>46</v>
      </c>
    </row>
    <row r="3" spans="1:6" x14ac:dyDescent="0.25">
      <c r="A3" s="22" t="s">
        <v>20</v>
      </c>
      <c r="B3" t="s">
        <v>47</v>
      </c>
      <c r="C3" t="s">
        <v>54</v>
      </c>
    </row>
    <row r="4" spans="1:6" x14ac:dyDescent="0.25">
      <c r="A4" s="35">
        <v>3</v>
      </c>
      <c r="B4" s="24">
        <v>111988.54855917361</v>
      </c>
      <c r="C4">
        <v>41535</v>
      </c>
    </row>
    <row r="5" spans="1:6" x14ac:dyDescent="0.25">
      <c r="A5" s="35">
        <v>5</v>
      </c>
      <c r="B5" s="24">
        <v>100503.38947761769</v>
      </c>
      <c r="C5">
        <v>37400</v>
      </c>
      <c r="E5" s="19" t="s">
        <v>48</v>
      </c>
      <c r="F5" s="19"/>
    </row>
    <row r="6" spans="1:6" x14ac:dyDescent="0.25">
      <c r="A6" s="23">
        <v>6</v>
      </c>
      <c r="B6" s="24">
        <v>97850.545600186728</v>
      </c>
      <c r="C6">
        <v>33075</v>
      </c>
    </row>
    <row r="7" spans="1:6" x14ac:dyDescent="0.25">
      <c r="A7" s="23">
        <v>1</v>
      </c>
      <c r="B7" s="24">
        <v>94226.401317992291</v>
      </c>
      <c r="C7">
        <v>50400</v>
      </c>
    </row>
    <row r="8" spans="1:6" x14ac:dyDescent="0.25">
      <c r="A8" s="23">
        <v>2</v>
      </c>
      <c r="B8" s="24">
        <v>91721.492713673928</v>
      </c>
      <c r="C8">
        <v>43750</v>
      </c>
    </row>
    <row r="9" spans="1:6" x14ac:dyDescent="0.25">
      <c r="A9" s="23">
        <v>4</v>
      </c>
      <c r="B9" s="24">
        <v>84598.988397467256</v>
      </c>
      <c r="C9">
        <v>30268</v>
      </c>
    </row>
    <row r="10" spans="1:6" x14ac:dyDescent="0.25">
      <c r="A10" s="23">
        <v>8</v>
      </c>
      <c r="B10" s="24">
        <v>83547.148703538813</v>
      </c>
      <c r="C10">
        <v>22578</v>
      </c>
    </row>
    <row r="11" spans="1:6" x14ac:dyDescent="0.25">
      <c r="A11" s="23">
        <v>7</v>
      </c>
      <c r="B11" s="24">
        <v>71186.439802287219</v>
      </c>
      <c r="C11">
        <v>22410</v>
      </c>
    </row>
    <row r="12" spans="1:6" x14ac:dyDescent="0.25">
      <c r="A12" s="23">
        <v>9</v>
      </c>
      <c r="B12" s="24">
        <v>60502.332324786876</v>
      </c>
      <c r="C12">
        <v>16100</v>
      </c>
    </row>
    <row r="13" spans="1:6" x14ac:dyDescent="0.25">
      <c r="A13" s="23" t="s">
        <v>21</v>
      </c>
      <c r="B13" s="24">
        <v>796125.28689672449</v>
      </c>
      <c r="C13">
        <v>297516</v>
      </c>
    </row>
  </sheetData>
  <conditionalFormatting pivot="1" sqref="C4:C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:B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data</vt:lpstr>
      <vt:lpstr>area in m2</vt:lpstr>
      <vt:lpstr>1</vt:lpstr>
      <vt:lpstr>2</vt:lpstr>
      <vt:lpstr>3</vt:lpstr>
      <vt:lpstr>4</vt:lpstr>
      <vt:lpstr>5</vt:lpstr>
      <vt:lpstr>6</vt:lpstr>
    </vt:vector>
  </TitlesOfParts>
  <Company>UAM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UAM</dc:creator>
  <cp:lastModifiedBy>Jaime Montero Anaya</cp:lastModifiedBy>
  <dcterms:created xsi:type="dcterms:W3CDTF">2006-02-08T16:15:26Z</dcterms:created>
  <dcterms:modified xsi:type="dcterms:W3CDTF">2026-06-02T02:50:09Z</dcterms:modified>
</cp:coreProperties>
</file>